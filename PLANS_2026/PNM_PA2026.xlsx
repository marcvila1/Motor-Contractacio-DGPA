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X:\04476\PN_SERRA DE MONTSANT\UO4500\100 DIRECCIO\104 Planificació\PLA ESTRATEGIC 2024\Pla Estratègic Montsant\Programa_actuacions_SINATCAT_2026\"/>
    </mc:Choice>
  </mc:AlternateContent>
  <bookViews>
    <workbookView xWindow="-28920" yWindow="-120" windowWidth="29040" windowHeight="15720" tabRatio="395" firstSheet="1" activeTab="1"/>
  </bookViews>
  <sheets>
    <sheet name="Instruccions" sheetId="18" r:id="rId1"/>
    <sheet name="PROGRAMA ANUAL" sheetId="14" r:id="rId2"/>
    <sheet name="PLA ESTRATÈGIC PN MONTSANT" sheetId="21" r:id="rId3"/>
    <sheet name="PLA ESTRATÈGIC" sheetId="16" r:id="rId4"/>
    <sheet name="Llistes" sheetId="5" r:id="rId5"/>
    <sheet name="Gestors" sheetId="19" r:id="rId6"/>
  </sheets>
  <externalReferences>
    <externalReference r:id="rId7"/>
    <externalReference r:id="rId8"/>
  </externalReferences>
  <definedNames>
    <definedName name="_xlnm._FilterDatabase" localSheetId="3" hidden="1">'PLA ESTRATÈGIC'!$A$4:$P$185</definedName>
    <definedName name="_xlnm._FilterDatabase" localSheetId="2" hidden="1">'PLA ESTRATÈGIC PN MONTSANT'!$A$4:$AR$194</definedName>
  </definedNames>
  <calcPr calcId="162913"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94" i="21" l="1"/>
  <c r="AP194" i="21"/>
  <c r="AN194" i="21"/>
  <c r="AL194" i="21"/>
  <c r="AJ194" i="21"/>
  <c r="AH194" i="21"/>
  <c r="AF194" i="21"/>
  <c r="AD194" i="21"/>
  <c r="AB194" i="21"/>
  <c r="W193" i="21"/>
  <c r="J193" i="21"/>
  <c r="W192" i="21"/>
  <c r="J192" i="21"/>
  <c r="W191" i="21"/>
  <c r="J191" i="21"/>
  <c r="W190" i="21"/>
  <c r="W189" i="21"/>
  <c r="J189" i="21"/>
  <c r="W188" i="21"/>
  <c r="J188" i="21"/>
  <c r="W187" i="21"/>
  <c r="J187" i="21"/>
  <c r="W186" i="21"/>
  <c r="J186" i="21"/>
  <c r="W185" i="21"/>
  <c r="J185" i="21"/>
  <c r="W184" i="21"/>
  <c r="J184" i="21"/>
  <c r="W183" i="21"/>
  <c r="J183" i="21"/>
  <c r="W182" i="21"/>
  <c r="W181" i="21"/>
  <c r="J181" i="21"/>
  <c r="W180" i="21"/>
  <c r="J180" i="21"/>
  <c r="W179" i="21"/>
  <c r="W178" i="21"/>
  <c r="J178" i="21"/>
  <c r="W177" i="21"/>
  <c r="W176" i="21"/>
  <c r="W175" i="21"/>
  <c r="W174" i="21"/>
  <c r="J174" i="21"/>
  <c r="W173" i="21"/>
  <c r="J173" i="21"/>
  <c r="W172" i="21"/>
  <c r="J172" i="21"/>
  <c r="W171" i="21"/>
  <c r="J171" i="21"/>
  <c r="W170" i="21"/>
  <c r="J170" i="21"/>
  <c r="W169" i="21"/>
  <c r="W168" i="21"/>
  <c r="J168" i="21"/>
  <c r="W167" i="21"/>
  <c r="W166" i="21"/>
  <c r="W165" i="21"/>
  <c r="J165" i="21"/>
  <c r="W164" i="21"/>
  <c r="W163" i="21"/>
  <c r="J163" i="21"/>
  <c r="W162" i="21"/>
  <c r="J162" i="21"/>
  <c r="W161" i="21"/>
  <c r="J161" i="21"/>
  <c r="W160" i="21"/>
  <c r="J160" i="21"/>
  <c r="W159" i="21"/>
  <c r="J159" i="21"/>
  <c r="W158" i="21"/>
  <c r="W157" i="21"/>
  <c r="W156" i="21"/>
  <c r="J156" i="21"/>
  <c r="W155" i="21"/>
  <c r="W154" i="21"/>
  <c r="W153" i="21"/>
  <c r="J153" i="21"/>
  <c r="W152" i="21"/>
  <c r="J152" i="21"/>
  <c r="W151" i="21"/>
  <c r="J151" i="21"/>
  <c r="W150" i="21"/>
  <c r="J150" i="21"/>
  <c r="W149" i="21"/>
  <c r="J149" i="21"/>
  <c r="W148" i="21"/>
  <c r="W147" i="21"/>
  <c r="J147" i="21"/>
  <c r="W146" i="21"/>
  <c r="W145" i="21"/>
  <c r="W144" i="21"/>
  <c r="W143" i="21"/>
  <c r="J143" i="21"/>
  <c r="W142" i="21"/>
  <c r="J142" i="21"/>
  <c r="W141" i="21"/>
  <c r="J141" i="21"/>
  <c r="W140" i="21"/>
  <c r="W139" i="21"/>
  <c r="J139" i="21"/>
  <c r="W138" i="21"/>
  <c r="W137" i="21"/>
  <c r="W136" i="21"/>
  <c r="J136" i="21"/>
  <c r="W135" i="21"/>
  <c r="W134" i="21"/>
  <c r="J134" i="21"/>
  <c r="W133" i="21"/>
  <c r="J133" i="21"/>
  <c r="W132" i="21"/>
  <c r="W131" i="21"/>
  <c r="J131" i="21"/>
  <c r="W130" i="21"/>
  <c r="J130" i="21"/>
  <c r="W129" i="21"/>
  <c r="W128" i="21"/>
  <c r="W127" i="21"/>
  <c r="J127" i="21"/>
  <c r="W126" i="21"/>
  <c r="J126" i="21"/>
  <c r="W125" i="21"/>
  <c r="J125" i="21"/>
  <c r="W124" i="21"/>
  <c r="W123" i="21"/>
  <c r="J123" i="21"/>
  <c r="W122" i="21"/>
  <c r="J122" i="21"/>
  <c r="W121" i="21"/>
  <c r="J121" i="21"/>
  <c r="W120" i="21"/>
  <c r="J120" i="21"/>
  <c r="W119" i="21"/>
  <c r="J119" i="21"/>
  <c r="W118" i="21"/>
  <c r="W117" i="21"/>
  <c r="J117" i="21"/>
  <c r="W116" i="21"/>
  <c r="J116" i="21"/>
  <c r="W115" i="21"/>
  <c r="W114" i="21"/>
  <c r="W113" i="21"/>
  <c r="W112" i="21"/>
  <c r="W111" i="21"/>
  <c r="W110" i="21"/>
  <c r="W109" i="21"/>
  <c r="W108" i="21"/>
  <c r="W107" i="21"/>
  <c r="W106" i="21"/>
  <c r="W105" i="21"/>
  <c r="W104" i="21"/>
  <c r="J104" i="21"/>
  <c r="W103" i="21"/>
  <c r="W102" i="21"/>
  <c r="W101" i="21"/>
  <c r="W100" i="21"/>
  <c r="W99" i="21"/>
  <c r="W98" i="21"/>
  <c r="J98" i="21"/>
  <c r="W97" i="21"/>
  <c r="W96" i="21"/>
  <c r="J96" i="21"/>
  <c r="W95" i="21"/>
  <c r="W94" i="21"/>
  <c r="J94" i="21"/>
  <c r="W93" i="21"/>
  <c r="J93" i="21"/>
  <c r="W92" i="21"/>
  <c r="W91" i="21"/>
  <c r="J91" i="21"/>
  <c r="W90" i="21"/>
  <c r="J90" i="21"/>
  <c r="W89" i="21"/>
  <c r="W88" i="21"/>
  <c r="J88" i="21"/>
  <c r="W87" i="21"/>
  <c r="J87" i="21"/>
  <c r="W86" i="21"/>
  <c r="J86" i="21"/>
  <c r="W85" i="21"/>
  <c r="J85" i="21"/>
  <c r="W84" i="21"/>
  <c r="W83" i="21"/>
  <c r="W82" i="21"/>
  <c r="W81" i="21"/>
  <c r="W80" i="21"/>
  <c r="J80" i="21"/>
  <c r="W79" i="21"/>
  <c r="J79" i="21"/>
  <c r="W78" i="21"/>
  <c r="W77" i="21"/>
  <c r="J77" i="21"/>
  <c r="W76" i="21"/>
  <c r="W75" i="21"/>
  <c r="W74" i="21"/>
  <c r="W73" i="21"/>
  <c r="W72" i="21"/>
  <c r="W71" i="21"/>
  <c r="J71" i="21"/>
  <c r="W70" i="21"/>
  <c r="J70" i="21"/>
  <c r="W69" i="21"/>
  <c r="J69" i="21"/>
  <c r="W68" i="21"/>
  <c r="J68" i="21"/>
  <c r="W67" i="21"/>
  <c r="J67" i="21"/>
  <c r="W66" i="21"/>
  <c r="W65" i="21"/>
  <c r="W64" i="21"/>
  <c r="J64" i="21"/>
  <c r="W63" i="21"/>
  <c r="W62" i="21"/>
  <c r="J62" i="21"/>
  <c r="W61" i="21"/>
  <c r="J61" i="21"/>
  <c r="W60" i="21"/>
  <c r="J60" i="21"/>
  <c r="W59" i="21"/>
  <c r="W58" i="21"/>
  <c r="W57" i="21"/>
  <c r="J57" i="21"/>
  <c r="W56" i="21"/>
  <c r="J56" i="21"/>
  <c r="W55" i="21"/>
  <c r="W54" i="21"/>
  <c r="W53" i="21"/>
  <c r="J53" i="21"/>
  <c r="W52" i="21"/>
  <c r="J52" i="21"/>
  <c r="W51" i="21"/>
  <c r="J51" i="21"/>
  <c r="W50" i="21"/>
  <c r="W49" i="21"/>
  <c r="W48" i="21"/>
  <c r="W47" i="21"/>
  <c r="W46" i="21"/>
  <c r="W45" i="21"/>
  <c r="W44" i="21"/>
  <c r="W43" i="21"/>
  <c r="J43" i="21"/>
  <c r="W42" i="21"/>
  <c r="J42" i="21"/>
  <c r="W41" i="21"/>
  <c r="W40" i="21"/>
  <c r="W39" i="21"/>
  <c r="J39" i="21"/>
  <c r="W38" i="21"/>
  <c r="W37" i="21"/>
  <c r="W36" i="21"/>
  <c r="W35" i="21"/>
  <c r="W34" i="21"/>
  <c r="J34" i="21"/>
  <c r="W33" i="21"/>
  <c r="W32" i="21"/>
  <c r="J32" i="21"/>
  <c r="W31" i="21"/>
  <c r="J31" i="21"/>
  <c r="W30" i="21"/>
  <c r="W29" i="21"/>
  <c r="W28" i="21"/>
  <c r="W27" i="21"/>
  <c r="J27" i="21"/>
  <c r="W26" i="21"/>
  <c r="W25" i="21"/>
  <c r="W24" i="21"/>
  <c r="W23" i="21"/>
  <c r="J23" i="21"/>
  <c r="W22" i="21"/>
  <c r="J22" i="21"/>
  <c r="W21" i="21"/>
  <c r="W20" i="21"/>
  <c r="J20" i="21"/>
  <c r="W19" i="21"/>
  <c r="W18" i="21"/>
  <c r="W17" i="21"/>
  <c r="J17" i="21"/>
  <c r="W16" i="21"/>
  <c r="J16" i="21"/>
  <c r="W15" i="21"/>
  <c r="J15" i="21"/>
  <c r="W14" i="21"/>
  <c r="J14" i="21"/>
  <c r="W13" i="21"/>
  <c r="W12" i="21"/>
  <c r="W11" i="21"/>
  <c r="J11" i="21"/>
  <c r="W10" i="21"/>
  <c r="W9" i="21"/>
  <c r="W8" i="21"/>
  <c r="J8" i="21"/>
  <c r="W7" i="21"/>
  <c r="J7" i="21"/>
  <c r="W6" i="21"/>
  <c r="J6" i="21"/>
  <c r="W5" i="21"/>
  <c r="J5" i="21"/>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<sst xmlns="http://schemas.openxmlformats.org/spreadsheetml/2006/main" count="5076" uniqueCount="1962">
  <si>
    <t>Codi:</t>
  </si>
  <si>
    <t>Un codi correlatiu segons l'any, l'Eix i l'acrònim del Parc (25_NA_PNAE_01) Es posen les dues primeres lletres de l'eix, en majúscules.</t>
  </si>
  <si>
    <t>Codi RAE:</t>
  </si>
  <si>
    <t>En el cas de ser una actuació del RAE, posar-hi el codi corresponent.</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</si>
  <si>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</si>
  <si>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</si>
  <si>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</si>
  <si>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</si>
  <si>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</si>
  <si>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</si>
  <si>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</si>
  <si>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</si>
  <si>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model de despesa:</t>
  </si>
  <si>
    <t>Posar a quin tipus de despesa correspon (RAE, PEA, Contracte Programa,...).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</si>
  <si>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</si>
  <si>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</si>
  <si>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</si>
  <si>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</si>
  <si>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</si>
  <si>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</si>
  <si>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</si>
  <si>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</si>
  <si>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Espai natural</t>
  </si>
  <si>
    <t>Codi</t>
  </si>
  <si>
    <t>Codi RAE, si s'escau</t>
  </si>
  <si>
    <t>Actuació</t>
  </si>
  <si>
    <t>Codi de l'OBJECTIU OPERATIU principal a què fa referència</t>
  </si>
  <si>
    <t>Codis d'altres OBJECTIU OPERATIUS relacionats</t>
  </si>
  <si>
    <t>Eix del Pla estratègic</t>
  </si>
  <si>
    <t>Tipus d'actuació segons model de despesa</t>
  </si>
  <si>
    <t>Partida RAE</t>
  </si>
  <si>
    <t>Tipus d'actuació segons MAP</t>
  </si>
  <si>
    <t>Import</t>
  </si>
  <si>
    <t>Grau de compliment de l'indicador definit al Pla estratègic</t>
  </si>
  <si>
    <t>Observacions</t>
  </si>
  <si>
    <t>Gestor responsable</t>
  </si>
  <si>
    <t>Actuació recurrent</t>
  </si>
  <si>
    <t>01.2.3</t>
  </si>
  <si>
    <t>1.Natura</t>
  </si>
  <si>
    <t>Encàrrec directe CREAF</t>
  </si>
  <si>
    <t>25_NA_02</t>
  </si>
  <si>
    <t>25_CU_01</t>
  </si>
  <si>
    <t>2. Cultura</t>
  </si>
  <si>
    <t>25_CU_02</t>
  </si>
  <si>
    <t>25_CU_03</t>
  </si>
  <si>
    <t>3. Coneixement</t>
  </si>
  <si>
    <t>25_CO_02</t>
  </si>
  <si>
    <t>25_CO_03</t>
  </si>
  <si>
    <t>25_CO_04</t>
  </si>
  <si>
    <t>25_CO_05</t>
  </si>
  <si>
    <t>25_CO_06</t>
  </si>
  <si>
    <t>25_DE_01</t>
  </si>
  <si>
    <t>4. Desenvolupament local</t>
  </si>
  <si>
    <t>25_US_01</t>
  </si>
  <si>
    <t>5. Ús públic i social</t>
  </si>
  <si>
    <t>25_US_02</t>
  </si>
  <si>
    <t>25_US_03</t>
  </si>
  <si>
    <t>25_US_04</t>
  </si>
  <si>
    <t>25_US_05</t>
  </si>
  <si>
    <t>25_US_06</t>
  </si>
  <si>
    <t>25_US_07</t>
  </si>
  <si>
    <t>25_ED_01</t>
  </si>
  <si>
    <t>6. Educació, voluntariat i comunicació</t>
  </si>
  <si>
    <t>25_ED_02</t>
  </si>
  <si>
    <t>25_ED_03</t>
  </si>
  <si>
    <t>25_ED_04</t>
  </si>
  <si>
    <t>25_ED_05</t>
  </si>
  <si>
    <t>25_ED_06</t>
  </si>
  <si>
    <t>25_ED_07</t>
  </si>
  <si>
    <t>25_ED_08</t>
  </si>
  <si>
    <t>25_ED_09</t>
  </si>
  <si>
    <t>25_GE_01</t>
  </si>
  <si>
    <t>7. Gestió i Administració</t>
  </si>
  <si>
    <t>25_GE_02</t>
  </si>
  <si>
    <t>25_GE_03</t>
  </si>
  <si>
    <t>25_GE_04</t>
  </si>
  <si>
    <t>25_GE_05</t>
  </si>
  <si>
    <t>25_GE_06</t>
  </si>
  <si>
    <t>25_GE_07</t>
  </si>
  <si>
    <t>25_GE_08</t>
  </si>
  <si>
    <t>25_GE_09</t>
  </si>
  <si>
    <t>25_GE_10</t>
  </si>
  <si>
    <t xml:space="preserve">CAL POSAR AQUÍ EL VOSTRE PLA ESTRATÈGIC TAL I COM HAGI QUEDAT. Només la pestanya del Pla </t>
  </si>
  <si>
    <t>Espai natural protegit:</t>
  </si>
  <si>
    <t>AQUESTES COLUMNES HAN DE CORRESPONDRE AMB LES QUE S'HAN POSAT AL PLA ESTRATÈGIC</t>
  </si>
  <si>
    <t>EIXOS</t>
  </si>
  <si>
    <t>OBJECTIUS Generals (PP)</t>
  </si>
  <si>
    <t>OBJECTIUS Estratègics</t>
  </si>
  <si>
    <t>OBJECTIUS operatius ESTÀNDARDS</t>
  </si>
  <si>
    <t>Comú / Específic</t>
  </si>
  <si>
    <t>Obligatori / Optatiu</t>
  </si>
  <si>
    <t>Objectiu operatiu concretat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</si>
  <si>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</si>
  <si>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</si>
  <si>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</si>
  <si>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</si>
  <si>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</si>
  <si>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</si>
  <si>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</si>
  <si>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</si>
  <si>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</si>
  <si>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</si>
  <si>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</si>
  <si>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</si>
  <si>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</si>
  <si>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</si>
  <si>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</si>
  <si>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</si>
  <si>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01.1.2</t>
  </si>
  <si>
    <t>Adaptar i executar plans de gestió específics per a elements geològics de conservació prioritària dins l'ENP</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</si>
  <si>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</si>
  <si>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</si>
  <si>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</si>
  <si>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</si>
  <si>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</si>
  <si>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ESNATURA</t>
  </si>
  <si>
    <t>SENP: Elaboració d'un manual per la implementació dels OSAM</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</si>
  <si>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</si>
  <si>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</si>
  <si>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</si>
  <si>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</si>
  <si>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</si>
  <si>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</si>
  <si>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</si>
  <si>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01.2.4</t>
  </si>
  <si>
    <t xml:space="preserve">Desplegar els objectius i tasques recollits en els instruments de referència i compromisos internacionals  </t>
  </si>
  <si>
    <t>Específic</t>
  </si>
  <si>
    <t xml:space="preserve">Optatiu </t>
  </si>
  <si>
    <t>01.3</t>
  </si>
  <si>
    <t>Crear ecosistemes complexes, resilients, i d'alta biodiversitat per garantir la recuperació dels processos ecosistèmics</t>
  </si>
  <si>
    <t>01.3.1</t>
  </si>
  <si>
    <t>Identificar espais pel foment de la dinàmica natural i l'aprofitament no extractiu</t>
  </si>
  <si>
    <t>SENP/SFF: Definir criteris metodològics</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</si>
  <si>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</si>
  <si>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</si>
  <si>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</si>
  <si>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</si>
  <si>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</si>
  <si>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</si>
  <si>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</si>
  <si>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</si>
  <si>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</si>
  <si>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</si>
  <si>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</si>
  <si>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</si>
  <si>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</si>
  <si>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</si>
  <si>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</si>
  <si>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</si>
  <si>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</si>
  <si>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</si>
  <si>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</si>
  <si>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</si>
  <si>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</si>
  <si>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</si>
  <si>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</si>
  <si>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</si>
  <si>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</si>
  <si>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</si>
  <si>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</si>
  <si>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02.1.3</t>
  </si>
  <si>
    <t>Participar en la redacció i execució dels instruments d'ordenació forestal sostenible i per la conservació en finques públiques</t>
  </si>
  <si>
    <t>DGEFMN: Redacció d'IOF en finques públiques</t>
  </si>
  <si>
    <t>02.1.4</t>
  </si>
  <si>
    <t>Promoure la redacció d'instruments d'ordenació forestal per reduir la sensibilitat i vulnerabilitat dels boscos al canvi climàtic en finques privades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</si>
  <si>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</si>
  <si>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</si>
  <si>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</si>
  <si>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</si>
  <si>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</si>
  <si>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</si>
  <si>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</si>
  <si>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</si>
  <si>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</si>
  <si>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</si>
  <si>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</si>
  <si>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</si>
  <si>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</si>
  <si>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</si>
  <si>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</si>
  <si>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</si>
  <si>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</si>
  <si>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</si>
  <si>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</si>
  <si>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</si>
  <si>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</si>
  <si>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</si>
  <si>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</si>
  <si>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</si>
  <si>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</si>
  <si>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</si>
  <si>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</si>
  <si>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</si>
  <si>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</si>
  <si>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</si>
  <si>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</si>
  <si>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</si>
  <si>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</si>
  <si>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</si>
  <si>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</si>
  <si>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</si>
  <si>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</si>
  <si>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</si>
  <si>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</si>
  <si>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</si>
  <si>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</si>
  <si>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</si>
  <si>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</si>
  <si>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</si>
  <si>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</si>
  <si>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</si>
  <si>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</si>
  <si>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</si>
  <si>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</si>
  <si>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</si>
  <si>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</si>
  <si>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</si>
  <si>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</si>
  <si>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</si>
  <si>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</si>
  <si>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</si>
  <si>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</si>
  <si>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</si>
  <si>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</si>
  <si>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</si>
  <si>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</si>
  <si>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</si>
  <si>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</si>
  <si>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04.3</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</si>
  <si>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</si>
  <si>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</si>
  <si>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</si>
  <si>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</si>
  <si>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</si>
  <si>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</si>
  <si>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</si>
  <si>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</si>
  <si>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</si>
  <si>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</si>
  <si>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</si>
  <si>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</si>
  <si>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</si>
  <si>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</si>
  <si>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</si>
  <si>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</si>
  <si>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</si>
  <si>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</si>
  <si>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</si>
  <si>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</si>
  <si>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</si>
  <si>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</si>
  <si>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</si>
  <si>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</si>
  <si>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</si>
  <si>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</si>
  <si>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</si>
  <si>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</si>
  <si>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</si>
  <si>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</si>
  <si>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05.3</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</si>
  <si>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</si>
  <si>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</si>
  <si>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</si>
  <si>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</si>
  <si>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</si>
  <si>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</si>
  <si>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</si>
  <si>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</si>
  <si>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</si>
  <si>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</si>
  <si>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</si>
  <si>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Directriva Habitats
Carta emplaçament
ESNATURA
Catàlegs</t>
  </si>
  <si>
    <t>UIC/SFF/SPEN: Definir criteris d'identificació d'elements interès.
UIC/SFF/SPEN: Definició dels objectes de conservació clau comuns a nivell de Xarxa d'ENP o clúster territorial</t>
  </si>
  <si>
    <t>06.1.2</t>
  </si>
  <si>
    <t>Definir espais fràgils i zones d'especial atenció</t>
  </si>
  <si>
    <t>SPEN: Inventari i cartografia d'espais fràgils i zones d'especial atenció</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</si>
  <si>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</si>
  <si>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</si>
  <si>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</si>
  <si>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</si>
  <si>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</si>
  <si>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</si>
  <si>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</si>
  <si>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</si>
  <si>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</si>
  <si>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</si>
  <si>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</si>
  <si>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</si>
  <si>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</si>
  <si>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</si>
  <si>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</si>
  <si>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</si>
  <si>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</si>
  <si>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</si>
  <si>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</si>
  <si>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</si>
  <si>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</si>
  <si>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</si>
  <si>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</si>
  <si>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</si>
  <si>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</si>
  <si>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</si>
  <si>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</si>
  <si>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</si>
  <si>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06.3.4</t>
  </si>
  <si>
    <t>Participar en el grups de treball per a la definició i organització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</si>
  <si>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</si>
  <si>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</si>
  <si>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</si>
  <si>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</si>
  <si>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</si>
  <si>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</si>
  <si>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</si>
  <si>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</si>
  <si>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</si>
  <si>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</si>
  <si>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</si>
  <si>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</si>
  <si>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</si>
  <si>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</si>
  <si>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</si>
  <si>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</si>
  <si>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</si>
  <si>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</si>
  <si>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</si>
  <si>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</si>
  <si>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</si>
  <si>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</si>
  <si>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</si>
  <si>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</si>
  <si>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</si>
  <si>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</si>
  <si>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</si>
  <si>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</si>
  <si>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</si>
  <si>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</si>
  <si>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</si>
  <si>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</si>
  <si>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</si>
  <si>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</si>
  <si>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</si>
  <si>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</si>
  <si>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</si>
  <si>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</si>
  <si>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</si>
  <si>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</si>
  <si>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</si>
  <si>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</si>
  <si>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</si>
  <si>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</si>
  <si>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</si>
  <si>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</si>
  <si>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</si>
  <si>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</si>
  <si>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</si>
  <si>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</si>
  <si>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</si>
  <si>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</si>
  <si>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</si>
  <si>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</si>
  <si>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</si>
  <si>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</si>
  <si>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</si>
  <si>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</si>
  <si>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</si>
  <si>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</si>
  <si>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08.3.2</t>
  </si>
  <si>
    <t>Integrar els productes i activitats locals de qualitat en l'oferta d'activitats d'informació i turístiques de l'ENP</t>
  </si>
  <si>
    <t>ESNATURA
CETS</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</si>
  <si>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</si>
  <si>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</si>
  <si>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</si>
  <si>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</si>
  <si>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</si>
  <si>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</si>
  <si>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</si>
  <si>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</si>
  <si>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</si>
  <si>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</si>
  <si>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</si>
  <si>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</si>
  <si>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</si>
  <si>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</si>
  <si>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</si>
  <si>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</si>
  <si>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</si>
  <si>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</si>
  <si>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</si>
  <si>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</si>
  <si>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</si>
  <si>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</si>
  <si>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</si>
  <si>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</si>
  <si>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</si>
  <si>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</si>
  <si>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</si>
  <si>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</si>
  <si>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</si>
  <si>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</si>
  <si>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</si>
  <si>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</si>
  <si>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</si>
  <si>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</si>
  <si>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</si>
  <si>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SPEN: Elaborar model</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</si>
  <si>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</si>
  <si>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</si>
  <si>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</si>
  <si>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</si>
  <si>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</si>
  <si>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</si>
  <si>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</si>
  <si>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</si>
  <si>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</si>
  <si>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</si>
  <si>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</si>
  <si>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</si>
  <si>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</si>
  <si>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</si>
  <si>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</si>
  <si>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</si>
  <si>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</si>
  <si>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</si>
  <si>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</si>
  <si>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</si>
  <si>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</si>
  <si>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</si>
  <si>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</si>
  <si>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</si>
  <si>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</si>
  <si>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</si>
  <si>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</si>
  <si>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11.2</t>
  </si>
  <si>
    <t>Disposar de la xarxa viària i itineraris oficials de l'ENP</t>
  </si>
  <si>
    <t>11.2.1</t>
  </si>
  <si>
    <t xml:space="preserve">Identificar i classificar la xarxa viària bàsica, secundària, senders i itineraris senyalitzats d'acord amb els ajuntaments </t>
  </si>
  <si>
    <t>Persones i natura: concretar criteris</t>
  </si>
  <si>
    <t>11.2.2</t>
  </si>
  <si>
    <t>Treballar conjuntament amb els principals canals d’informació de rutes  per prioritzar itineraris oficials dins l’ENP</t>
  </si>
  <si>
    <t>Persones i natura: Coordinació</t>
  </si>
  <si>
    <t>11.3</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</si>
  <si>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</si>
  <si>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</si>
  <si>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</si>
  <si>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</si>
  <si>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</si>
  <si>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</si>
  <si>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</si>
  <si>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</si>
  <si>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</si>
  <si>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</si>
  <si>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</si>
  <si>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11.4</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</si>
  <si>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</si>
  <si>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</si>
  <si>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</si>
  <si>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</si>
  <si>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</si>
  <si>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11.5</t>
  </si>
  <si>
    <t>Mantenir i millorar la senyalització de l'ENP</t>
  </si>
  <si>
    <t>11.5.1</t>
  </si>
  <si>
    <t>Realitzar l'inventari de senyalètica de l'ENP</t>
  </si>
  <si>
    <t>11.5.2</t>
  </si>
  <si>
    <t xml:space="preserve">Implantar el programa de senyalització i manteniment </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</si>
  <si>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</si>
  <si>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</si>
  <si>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</si>
  <si>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</si>
  <si>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</si>
  <si>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</si>
  <si>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</si>
  <si>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</si>
  <si>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</si>
  <si>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</si>
  <si>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</si>
  <si>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</si>
  <si>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</si>
  <si>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</si>
  <si>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</si>
  <si>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</si>
  <si>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</si>
  <si>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</si>
  <si>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</si>
  <si>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</si>
  <si>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</si>
  <si>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</si>
  <si>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</si>
  <si>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</si>
  <si>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</si>
  <si>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</si>
  <si>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</si>
  <si>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</si>
  <si>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</si>
  <si>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</si>
  <si>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</si>
  <si>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</si>
  <si>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</si>
  <si>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</si>
  <si>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</si>
  <si>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</si>
  <si>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</si>
  <si>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</si>
  <si>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</si>
  <si>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</si>
  <si>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</si>
  <si>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</si>
  <si>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</si>
  <si>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</si>
  <si>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</si>
  <si>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</si>
  <si>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</si>
  <si>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</si>
  <si>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</si>
  <si>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</si>
  <si>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</si>
  <si>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</si>
  <si>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</si>
  <si>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</si>
  <si>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</si>
  <si>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</si>
  <si>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</si>
  <si>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</si>
  <si>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</si>
  <si>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</si>
  <si>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</si>
  <si>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</si>
  <si>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</si>
  <si>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</si>
  <si>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</si>
  <si>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</si>
  <si>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</si>
  <si>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</si>
  <si>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</si>
  <si>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</si>
  <si>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</si>
  <si>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</si>
  <si>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</si>
  <si>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</si>
  <si>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</si>
  <si>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</si>
  <si>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</si>
  <si>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</si>
  <si>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</si>
  <si>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</si>
  <si>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</si>
  <si>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</si>
  <si>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</si>
  <si>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</si>
  <si>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</si>
  <si>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</si>
  <si>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</si>
  <si>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</si>
  <si>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</si>
  <si>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</si>
  <si>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</si>
  <si>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</si>
  <si>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</si>
  <si>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</si>
  <si>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</si>
  <si>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</si>
  <si>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</si>
  <si>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</si>
  <si>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</si>
  <si>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</si>
  <si>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</si>
  <si>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</si>
  <si>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</si>
  <si>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</si>
  <si>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</si>
  <si>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</si>
  <si>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</si>
  <si>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</si>
  <si>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</si>
  <si>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</si>
  <si>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</si>
  <si>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</si>
  <si>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</si>
  <si>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</si>
  <si>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</si>
  <si>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</si>
  <si>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</si>
  <si>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</si>
  <si>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</si>
  <si>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</si>
  <si>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</si>
  <si>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</si>
  <si>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14.1.2</t>
  </si>
  <si>
    <t>Garantir l'accessibilitat i gestió del coneixement disponible sobre l'ENP</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</si>
  <si>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</si>
  <si>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</si>
  <si>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</si>
  <si>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</si>
  <si>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</si>
  <si>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</si>
  <si>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</si>
  <si>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</si>
  <si>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</si>
  <si>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</si>
  <si>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</si>
  <si>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</si>
  <si>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</si>
  <si>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</si>
  <si>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</si>
  <si>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</si>
  <si>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</si>
  <si>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</si>
  <si>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</si>
  <si>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</si>
  <si>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</si>
  <si>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</si>
  <si>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</si>
  <si>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</si>
  <si>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</si>
  <si>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</si>
  <si>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</si>
  <si>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</si>
  <si>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t>Millorar el sistema de control de l'execució del pressupost, d'acord amb les indicacions de Serveis Centrals</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</si>
  <si>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</si>
  <si>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</si>
  <si>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</si>
  <si>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</si>
  <si>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</si>
  <si>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SENP: Crear espais de coordinació entre ENP per detectar necessitats conjuntes.</t>
  </si>
  <si>
    <t>16.2.2</t>
  </si>
  <si>
    <t>Planificar i detectar les tasques de convocatòries d'ajuts de l'ENP</t>
  </si>
  <si>
    <t>16.2.3</t>
  </si>
  <si>
    <t>Establir i renovar en temps i forma convenis de col·laboració, convenis marc, acords, protocols i altres instruments de col·laboració.</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</si>
  <si>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</si>
  <si>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</si>
  <si>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</si>
  <si>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</si>
  <si>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</si>
  <si>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</si>
  <si>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</si>
  <si>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</si>
  <si>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</si>
  <si>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</si>
  <si>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</si>
  <si>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</si>
  <si>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16.3.5</t>
  </si>
  <si>
    <t>Millorar i mantenir el material i infraestructures de gestió</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</si>
  <si>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</si>
  <si>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</si>
  <si>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</si>
  <si>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</si>
  <si>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</si>
  <si>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</si>
  <si>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</si>
  <si>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</si>
  <si>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</si>
  <si>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</si>
  <si>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16.5.1</t>
  </si>
  <si>
    <t>Millorar l'accessibilitat i la gestió documental del centre o punt de documentació de l'ENP</t>
  </si>
  <si>
    <t>SENP: Disseny d'una metodologia de treball conjunta</t>
  </si>
  <si>
    <t>16.6</t>
  </si>
  <si>
    <t>Gestionar recursos humans</t>
  </si>
  <si>
    <t>16.6.1</t>
  </si>
  <si>
    <t>Gestió de la brigada de manteniment</t>
  </si>
  <si>
    <t>16.6.2</t>
  </si>
  <si>
    <t>Gestió de personal</t>
  </si>
  <si>
    <t>Model despesa</t>
  </si>
  <si>
    <t>Llistat tipologies MAP</t>
  </si>
  <si>
    <t>Eix</t>
  </si>
  <si>
    <t>Partides RAE despeses</t>
  </si>
  <si>
    <t>Partides</t>
  </si>
  <si>
    <t>Contractes</t>
  </si>
  <si>
    <t>Contracte menor a càrrec del RAE</t>
  </si>
  <si>
    <t>1.1 Planificació de la gestió i designació del lloc</t>
  </si>
  <si>
    <t>1. Natura</t>
  </si>
  <si>
    <t>Sí</t>
  </si>
  <si>
    <t>Contracte menor des de la DG</t>
  </si>
  <si>
    <t>1.2 Administració del lloc i comunicació amb les parts interessades</t>
  </si>
  <si>
    <t>201.0001  - Lloguers i cànons de material de transport</t>
  </si>
  <si>
    <t>120 0001 00/5510_Despeses de personal</t>
  </si>
  <si>
    <t>No</t>
  </si>
  <si>
    <t>Contracte obert (licitació des de la DG)</t>
  </si>
  <si>
    <t>1.3 Seguiment, vigilància i notificació</t>
  </si>
  <si>
    <t>203.0001 - Lloguers i cànons d'altre immobilitzat material</t>
  </si>
  <si>
    <t>200 0002 00/5510_Altres lloguers i cànons de terrenys, béns naturals, edificis i altres construccions</t>
  </si>
  <si>
    <t>Pla econòmic actuacions</t>
  </si>
  <si>
    <t>PEA Infraestructures</t>
  </si>
  <si>
    <t xml:space="preserve">1.4 Buits de coneixement i necessitats de recerca </t>
  </si>
  <si>
    <t>210.0001 - Conservació, reparació i manteniment de terrenys</t>
  </si>
  <si>
    <t>204 0001 00/5510_Altres lloguers i cànons</t>
  </si>
  <si>
    <t>PEA Forestal Catalana</t>
  </si>
  <si>
    <t>1.5 Mesures de comunicació i sensibilització, educació i accés de visitants relacionades amb Natura 2000</t>
  </si>
  <si>
    <t>213.0001 - Conservació, reparació i manteniment d'altre immobilitzat material</t>
  </si>
  <si>
    <t>210 0001 00/5510_Conservació, reparació i manteniment de terrenys, béns naturals, edificis i altres construccions</t>
  </si>
  <si>
    <t>Encomanes</t>
  </si>
  <si>
    <t>Encomana Forestal Catalana</t>
  </si>
  <si>
    <t>2.1 Mesures de manteniment i restauració d'aigües marines i costeres (inclou llacunes litorals)</t>
  </si>
  <si>
    <t>214.0001 - Altres despeses de conservació, reparació i manteniment</t>
  </si>
  <si>
    <t>211 0001 00/5510_Conservació, reparació i manteniment en material de transport</t>
  </si>
  <si>
    <t>Encàrrecs directes</t>
  </si>
  <si>
    <t>Encàrrec directe Infraestructures</t>
  </si>
  <si>
    <t>2.2 Mesures de manteniment i restauració de matollars</t>
  </si>
  <si>
    <t>7. Gestió i administració</t>
  </si>
  <si>
    <t>215.0001 - Farmaciola</t>
  </si>
  <si>
    <t>212 0001 00/5510_Manteniment d'aplicacions informàtiques</t>
  </si>
  <si>
    <t>Encàrrec directe Forestal Catalana</t>
  </si>
  <si>
    <t>2.3 Mesures de manteniment i restauració de torberes</t>
  </si>
  <si>
    <t>220.0001 - Material ordinari no inventariable</t>
  </si>
  <si>
    <t>213 0001 00/5510_Conservació, reparació i manteniment d'altre inmobilitzat material</t>
  </si>
  <si>
    <t>2.4 Mesures de manteniment i restauració de prats i pastures</t>
  </si>
  <si>
    <t>220.0002 - Premsa, revistes, llibres i altres publicacions</t>
  </si>
  <si>
    <t>214 0001 00/5510_Altres despeses de conservació, reparació i manteniment</t>
  </si>
  <si>
    <t>Encàrrec directe CTFC</t>
  </si>
  <si>
    <t>2.5 Mesures de manteniment i restauració d'altres agroecosistemes (inclosos els conreus)</t>
  </si>
  <si>
    <t>221.0001 - Aigua i energia</t>
  </si>
  <si>
    <t>221 0001 00/5510_Aigua i electricitat</t>
  </si>
  <si>
    <t>Encàrrec directe TRAGSA</t>
  </si>
  <si>
    <t>2.6 Mesures de manteniment i restauració de boscos i superfícies forestals</t>
  </si>
  <si>
    <t>221.0002 - Combustible per a mitjans de transport</t>
  </si>
  <si>
    <t>221 0002 00/5510_Combustible per mitjans de transport</t>
  </si>
  <si>
    <t>Contractre programa</t>
  </si>
  <si>
    <t>Contracte programa CTFC</t>
  </si>
  <si>
    <t>2.7 Mesures de conservació i restauració d'hàbitats rocosos, dunes i terres de vegetació esparsa</t>
  </si>
  <si>
    <t>221.0003 - Vestuari</t>
  </si>
  <si>
    <t>221 0089 00/5510_Altres subministraments</t>
  </si>
  <si>
    <t>Contracte programa CREAF</t>
  </si>
  <si>
    <t>2.8 Mesures de manteniment i restauració d'hàbitats d'aigua dolça (rius, llacs i zones humides no litorals)</t>
  </si>
  <si>
    <t>221.0005 - Farmaciola</t>
  </si>
  <si>
    <t>222 0001 00/5510_Despeses postals, telèfon i altres</t>
  </si>
  <si>
    <t>Altres</t>
  </si>
  <si>
    <t>2.9 Mesures de conservación i restauración de coves i altres no inclosos als anteriors</t>
  </si>
  <si>
    <t>221.0007 - Queviures</t>
  </si>
  <si>
    <t>223 0001 00/5510_Transports</t>
  </si>
  <si>
    <t xml:space="preserve">2.B Mesures adicionals d'«infraestructura verda» més enllà de Natura 2000 </t>
  </si>
  <si>
    <t>221.0089 - Altres subministraments</t>
  </si>
  <si>
    <t>227 0001 00/5510_Neteja i sanejament</t>
  </si>
  <si>
    <t>3.1 Mesures i programes específics de conservació d'espècies no incloses en altres apartats</t>
  </si>
  <si>
    <t>222.0001 - Despeses postals, missatgeria i altres similars</t>
  </si>
  <si>
    <t>227 0002 00/5510_Seguretat</t>
  </si>
  <si>
    <t>3.2 Prevenció, mitigació o compensació dels danys ocasionats per les espècies protegides</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</si>
  <si>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</si>
  <si>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</si>
  <si>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</si>
  <si>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</si>
  <si>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</si>
  <si>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</si>
  <si>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</si>
  <si>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</si>
  <si>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</si>
  <si>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</si>
  <si>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</si>
  <si>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</si>
  <si>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</si>
  <si>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</si>
  <si>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</si>
  <si>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</si>
  <si>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</si>
  <si>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</si>
  <si>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</si>
  <si>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</si>
  <si>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</si>
  <si>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</si>
  <si>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</si>
  <si>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</si>
  <si>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</si>
  <si>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</si>
  <si>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</si>
  <si>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</si>
  <si>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</si>
  <si>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</si>
  <si>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</si>
  <si>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</si>
  <si>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</si>
  <si>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</si>
  <si>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</si>
  <si>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</si>
  <si>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</si>
  <si>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</si>
  <si>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</si>
  <si>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</si>
  <si>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</si>
  <si>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</si>
  <si>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</si>
  <si>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</si>
  <si>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</si>
  <si>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</si>
  <si>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</si>
  <si>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</si>
  <si>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</si>
  <si>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</si>
  <si>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</si>
  <si>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</si>
  <si>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</si>
  <si>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</si>
  <si>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</si>
  <si>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</si>
  <si>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</si>
  <si>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</si>
  <si>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</si>
  <si>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</si>
  <si>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</si>
  <si>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</si>
  <si>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</si>
  <si>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</si>
  <si>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</si>
  <si>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</si>
  <si>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</si>
  <si>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</si>
  <si>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</si>
  <si>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</si>
  <si>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</si>
  <si>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</si>
  <si>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</si>
  <si>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</si>
  <si>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</si>
  <si>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</si>
  <si>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</si>
  <si>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</si>
  <si>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Referència Taula</t>
  </si>
  <si>
    <t>Paratge Natural d'Interès Nacional de l'Albera</t>
  </si>
  <si>
    <t>Paratge Natural d'Interès Nacional de Poblet</t>
  </si>
  <si>
    <t>Parc Nacional d'Aigüestortes i Estany de Sant Maurici</t>
  </si>
  <si>
    <t>Parc Natural de Cap de Creus</t>
  </si>
  <si>
    <t>Parc Natural de la Serra de Montsant</t>
  </si>
  <si>
    <t>Parc Natural de la Zona Volcànica de la Garrotxa</t>
  </si>
  <si>
    <t>Parc Natural de l'Alt Pirineu</t>
  </si>
  <si>
    <t>Parc Natural de les Capçaleres del Ter i el Freser</t>
  </si>
  <si>
    <t>Parc Natural del Cadí-Moixeró</t>
  </si>
  <si>
    <t>Parc Natural del Delta de l'Ebre</t>
  </si>
  <si>
    <t>Parc Natural del Montgrí, les Illes Medes i el Baix Ter</t>
  </si>
  <si>
    <t>Parc Natural dels Aiguamolls de l'Empordà</t>
  </si>
  <si>
    <t>Parc Natural dels Ports</t>
  </si>
  <si>
    <t>Secans de Lleida</t>
  </si>
  <si>
    <t>ALB</t>
  </si>
  <si>
    <t>Gerard Carrion Salip</t>
  </si>
  <si>
    <t>David Bove Jordana</t>
  </si>
  <si>
    <t>Alba Jordana Lapedra</t>
  </si>
  <si>
    <t>Danae Garcia Sanagustin</t>
  </si>
  <si>
    <t>Alexandre Español Poblet</t>
  </si>
  <si>
    <t>Andreu del Rio i Vilatge</t>
  </si>
  <si>
    <t>Elisenda Montserrat Freixa</t>
  </si>
  <si>
    <t>Anna Planella Bosch</t>
  </si>
  <si>
    <t>Carmen Alcantara Guirado</t>
  </si>
  <si>
    <t>Alícia Bo Mauri</t>
  </si>
  <si>
    <t>Ana Maria Ortiz Velasco</t>
  </si>
  <si>
    <t>Albert Burgas Riera</t>
  </si>
  <si>
    <t>Ana Avila Aguila</t>
  </si>
  <si>
    <t>ADRIA URREA MORA</t>
  </si>
  <si>
    <t>POB</t>
  </si>
  <si>
    <t>Mªpilar Sanllehi Puig</t>
  </si>
  <si>
    <t>Eloy Josa Cos</t>
  </si>
  <si>
    <t>Albert Petit Saludes</t>
  </si>
  <si>
    <t>Francesc Xavier Turra Caussa</t>
  </si>
  <si>
    <t>Berta Navarro Bertran</t>
  </si>
  <si>
    <t>Arnau Dorca Tomas</t>
  </si>
  <si>
    <t>Eva Jorda Affonso</t>
  </si>
  <si>
    <t>Elena Julia Alsina</t>
  </si>
  <si>
    <t>Gisela Picañol Vall</t>
  </si>
  <si>
    <t>Clara Franch Fosch</t>
  </si>
  <si>
    <t>Ariadna Purroy Albet</t>
  </si>
  <si>
    <t>Cecilia Cano Navarro</t>
  </si>
  <si>
    <t>Antoni Curco Masip</t>
  </si>
  <si>
    <t>JOEL PEREZ VIDAL</t>
  </si>
  <si>
    <t>AES</t>
  </si>
  <si>
    <t>Sergio Romero de Tejada Martinez</t>
  </si>
  <si>
    <t>Ester Trullols Sanchez</t>
  </si>
  <si>
    <t>Andrea Benabarre Felez</t>
  </si>
  <si>
    <t>Francesc Xavier Vilabella Pecondon</t>
  </si>
  <si>
    <t>David Iturria March</t>
  </si>
  <si>
    <t>Bernat Perramon Ramos</t>
  </si>
  <si>
    <t>JORDI GUILLEN CUESTA</t>
  </si>
  <si>
    <t>Fatima Rebollo Domingo</t>
  </si>
  <si>
    <t>Joan Casoliva Armengou</t>
  </si>
  <si>
    <t>Fermin Morales Subirats</t>
  </si>
  <si>
    <t>Daniel Salvador Carretero</t>
  </si>
  <si>
    <t>Glòria Rosas Carrion</t>
  </si>
  <si>
    <t>Claudio Baiges Casanova</t>
  </si>
  <si>
    <t>Jordi Parpal Servole</t>
  </si>
  <si>
    <t>CRE</t>
  </si>
  <si>
    <t>Montserrat Sancho Blasco</t>
  </si>
  <si>
    <t>Carlos Gonzalez Farrando</t>
  </si>
  <si>
    <t>Joan Bech Sabat</t>
  </si>
  <si>
    <t>David Martra Colomes</t>
  </si>
  <si>
    <t>Emili Bassols Isamat</t>
  </si>
  <si>
    <t>Josep Pique Palacin</t>
  </si>
  <si>
    <t>Jaume Farriol Rafel</t>
  </si>
  <si>
    <t>Joana Canals Ribó</t>
  </si>
  <si>
    <t>Helena Fanlo Lopez</t>
  </si>
  <si>
    <t>Joaquin Aragones Rabassa</t>
  </si>
  <si>
    <t>Ivan Bustamante Galera</t>
  </si>
  <si>
    <t>Erica Bel Queralt</t>
  </si>
  <si>
    <t>JORDI RODERO PAU</t>
  </si>
  <si>
    <t>MON</t>
  </si>
  <si>
    <t>Ricardo Jesus Collado Tortosa</t>
  </si>
  <si>
    <t>Francesca Gil Gomez</t>
  </si>
  <si>
    <t>Montserrat Pascual Manich</t>
  </si>
  <si>
    <t>Montserrat Bonet Porcel</t>
  </si>
  <si>
    <t>Eva Calm Puig</t>
  </si>
  <si>
    <t>Juan Fernandez Gil</t>
  </si>
  <si>
    <t>Xavier Grive Isern</t>
  </si>
  <si>
    <t>Lorena Dominguez Pons</t>
  </si>
  <si>
    <t>Inmaculada Juan Franch</t>
  </si>
  <si>
    <t>Maria Pilar Carabus Saballs</t>
  </si>
  <si>
    <t>Jorge Planella Santias</t>
  </si>
  <si>
    <t>Joan Mestre Querol</t>
  </si>
  <si>
    <t>Lluis Cullere Garcia</t>
  </si>
  <si>
    <t>ZVG</t>
  </si>
  <si>
    <t>Salvador Nogues Feliu</t>
  </si>
  <si>
    <t>Gerard Giménez Pérez</t>
  </si>
  <si>
    <t>Patricia Hebrard Gras</t>
  </si>
  <si>
    <t>Montserrat Sola Rivera</t>
  </si>
  <si>
    <t>Gerard Roca Canal</t>
  </si>
  <si>
    <t>Marc Garriga Lujan</t>
  </si>
  <si>
    <t>Maria Carme Orriols Alsina</t>
  </si>
  <si>
    <t>Joan Francesc Vidal Esquerre</t>
  </si>
  <si>
    <t>Monica Matencio Cardenas</t>
  </si>
  <si>
    <t>Maria Antonia Rojas Gonzalez</t>
  </si>
  <si>
    <t>Josep Maria Forcadell Roig</t>
  </si>
  <si>
    <t>Oliana Carrasco Aparicio</t>
  </si>
  <si>
    <t>API</t>
  </si>
  <si>
    <t>Jordi Vicente Canillas</t>
  </si>
  <si>
    <t>Ponç Feliu Latorre</t>
  </si>
  <si>
    <t>Noemi Aymami Ortiz</t>
  </si>
  <si>
    <t>Javier Oliver Martinez-Fornes</t>
  </si>
  <si>
    <t>Maria de las Merce Frade Palau</t>
  </si>
  <si>
    <t>Marina Vergés Sánchez</t>
  </si>
  <si>
    <t>Jose Maria Queral Casanova</t>
  </si>
  <si>
    <t>Ramon Alberto Alturo Monne</t>
  </si>
  <si>
    <t>MARTA REIXACH ESTRAGUES</t>
  </si>
  <si>
    <t>Josep Sabate Balsells</t>
  </si>
  <si>
    <t>Sebastia Camarasa Arbos</t>
  </si>
  <si>
    <t>TFR</t>
  </si>
  <si>
    <t>Jose Luis Gomez Bringue</t>
  </si>
  <si>
    <t>Susana Vilares Rubio</t>
  </si>
  <si>
    <t>RAFEL GUARDIA MIQUEL</t>
  </si>
  <si>
    <t>Joan Montserrat Reig</t>
  </si>
  <si>
    <t>Maria Teresa Bel Bauza</t>
  </si>
  <si>
    <t>Montserrat Raurell Sola</t>
  </si>
  <si>
    <t>Juan Carlos Garrido Lomeña</t>
  </si>
  <si>
    <t>Santiago Ramos Lopez</t>
  </si>
  <si>
    <t>Mireia Jimenez Monegal</t>
  </si>
  <si>
    <t>Marc Aixarch Curto</t>
  </si>
  <si>
    <t>CMO</t>
  </si>
  <si>
    <t>Jose Maria Rispa Pifarre</t>
  </si>
  <si>
    <t>Joan Pijoan Coromina</t>
  </si>
  <si>
    <t>Moises Villanueva Coello</t>
  </si>
  <si>
    <t>Queralt Tor Guitart</t>
  </si>
  <si>
    <t>Julia Piccardo Valdemarin</t>
  </si>
  <si>
    <t>Oscar Palou Teixidor</t>
  </si>
  <si>
    <t>Maria Merce San Jose Amat</t>
  </si>
  <si>
    <t>DEB</t>
  </si>
  <si>
    <t>Lluís F. Florit Molina</t>
  </si>
  <si>
    <t>Jordi Giro Quer</t>
  </si>
  <si>
    <t>Natàlia Amores López</t>
  </si>
  <si>
    <t>Maria Lurdes Fontanet Paga</t>
  </si>
  <si>
    <t>Rosa Llinàs Viola</t>
  </si>
  <si>
    <t>Miriam Ralda Albiol</t>
  </si>
  <si>
    <t>MMB</t>
  </si>
  <si>
    <t>Luis Pifarre Marti</t>
  </si>
  <si>
    <t>Josep Riera Massegur</t>
  </si>
  <si>
    <t>Nuria Canals Sangra</t>
  </si>
  <si>
    <t>Maria Lurdes Queral Castells</t>
  </si>
  <si>
    <t>Salvi Ruiz Cruset</t>
  </si>
  <si>
    <t>Salomé Mulet Muria</t>
  </si>
  <si>
    <t>AEM</t>
  </si>
  <si>
    <t>Marc Plans Farrero</t>
  </si>
  <si>
    <t>Marta Ledesma i Bruch</t>
  </si>
  <si>
    <t>Olga Nicolas De Francisco</t>
  </si>
  <si>
    <t>Miquel Angel Franch Casanova</t>
  </si>
  <si>
    <t>Sonia Blanco Esparza</t>
  </si>
  <si>
    <t>Veronica Perez Peña</t>
  </si>
  <si>
    <t>POR</t>
  </si>
  <si>
    <t>Marcel Elias Sanllehy</t>
  </si>
  <si>
    <t>Montserrat Grabolosa Sellabona</t>
  </si>
  <si>
    <t>Oriol Grau Fernandez</t>
  </si>
  <si>
    <t>Natividad Franch Ventura</t>
  </si>
  <si>
    <t>SEC</t>
  </si>
  <si>
    <t>Maria Isabel Sebastia Urbano</t>
  </si>
  <si>
    <t>Nuria Cruset Tonietti</t>
  </si>
  <si>
    <t>Ricard Valls i Fígols</t>
  </si>
  <si>
    <t>Xavier Abril Ferrer</t>
  </si>
  <si>
    <t>Maria Pou Palau</t>
  </si>
  <si>
    <t>XAVIER GARRETA PUYOL</t>
  </si>
  <si>
    <t>Mari-Sol Garcia Ardanuy</t>
  </si>
  <si>
    <t>Miriam Aznar Galan</t>
  </si>
  <si>
    <t>Rosana Senis Garrido</t>
  </si>
  <si>
    <t>Silvia Mara Martins Bazzo</t>
  </si>
  <si>
    <t>Xavier Llimiñana Sabate</t>
  </si>
  <si>
    <t>Posar els Obj. Operatius tal i com surten al Pla estratègic i les actuacions previstes en ell amb la concreció pel 2026.</t>
  </si>
  <si>
    <t>Asfaltat pista Margalef</t>
  </si>
  <si>
    <t>Asfaltat pista Vilella Alta</t>
  </si>
  <si>
    <t>Treballs forestals Bosc de la Vila (prevenció incendis)</t>
  </si>
  <si>
    <t>25_NA_01</t>
  </si>
  <si>
    <t>Tanques de fusta zona Albarca i Escaladei</t>
  </si>
  <si>
    <t>Ampliació zona Starlight a nivell comarcal</t>
  </si>
  <si>
    <t>Curs formadors Starlight</t>
  </si>
  <si>
    <t>CETS</t>
  </si>
  <si>
    <t>08.3.4, 08.3.5, 09.2.1, 13.5.2</t>
  </si>
  <si>
    <t>Continguts guia exposició parc</t>
  </si>
  <si>
    <t>Cicle Escolta Montsant</t>
  </si>
  <si>
    <t>04.3.2, 08.3.2, 13.7.3</t>
  </si>
  <si>
    <t>Tallers de teatre inclusiu i jornada</t>
  </si>
  <si>
    <t>Seguiment de rapinyaires forestals diürns i àguila calçada</t>
  </si>
  <si>
    <t>Realització curs Bon coneixedor del PN Montsant</t>
  </si>
  <si>
    <t xml:space="preserve">Curs Montsant-Montserrat </t>
  </si>
  <si>
    <t>Combustible maquinària brigada de manteniment</t>
  </si>
  <si>
    <t>Subministrament despesa material brigada parc</t>
  </si>
  <si>
    <t>Manteniment de maquinària i material brigada parc</t>
  </si>
  <si>
    <t>Altres subministraments parc-bossa imprevistos</t>
  </si>
  <si>
    <t>Vestuari</t>
  </si>
  <si>
    <t>Edició de materials i continguts de promoció  del parc (itineraris, opuscles, mapes, posters, exposició, etc)</t>
  </si>
  <si>
    <t>Relacions amb entitats locals i voluntariat Priorat</t>
  </si>
  <si>
    <t>Adquisició de material manteniment</t>
  </si>
  <si>
    <t>Material ordinari no inventariable</t>
  </si>
  <si>
    <t>Transport i desplaçament, aparcaments</t>
  </si>
  <si>
    <t>25_ED_11</t>
  </si>
  <si>
    <t>25_ED_12</t>
  </si>
  <si>
    <t>25_GE_11</t>
  </si>
  <si>
    <t>25_GE_12</t>
  </si>
  <si>
    <t>Número concerts: 5</t>
  </si>
  <si>
    <t>Número campanya: 1</t>
  </si>
  <si>
    <t>Número informes: 1</t>
  </si>
  <si>
    <t>Número seguiments: 1</t>
  </si>
  <si>
    <t>Número accions realitzades: 1</t>
  </si>
  <si>
    <t>Percentatge accions realitzades: 80%</t>
  </si>
  <si>
    <t>Percentatge acció realitzada: 100%</t>
  </si>
  <si>
    <t>Percentatge acció realitzada: 25%</t>
  </si>
  <si>
    <t>Percentatge senyalització actualitzada: 25%</t>
  </si>
  <si>
    <t>Número de materials: 1</t>
  </si>
  <si>
    <t>Actualització de l'agenda: 1</t>
  </si>
  <si>
    <t>Número activitats: 8</t>
  </si>
  <si>
    <t>Número agendes repartides: 525</t>
  </si>
  <si>
    <t>Manteniment equipaments, seu del parc i molí de Margalef</t>
  </si>
  <si>
    <t>Número actuacions:1</t>
  </si>
  <si>
    <t>Percentatge assoiliment:100%</t>
  </si>
  <si>
    <t>Manteniment vinyes antic raïm (selecció clonal de raïm de taula)</t>
  </si>
  <si>
    <t>Empelt diferenst varietats Mas Roger: Sí</t>
  </si>
  <si>
    <t>Número de reserves genètiques: 1</t>
  </si>
  <si>
    <t>Revisió manteniment graus equipats de Montsant</t>
  </si>
  <si>
    <t>Percentatge tanques instal·lades: 100%</t>
  </si>
  <si>
    <t>Disseny i continguts guies fauna i flora</t>
  </si>
  <si>
    <t>Número de materials: 2</t>
  </si>
  <si>
    <t>Número activitats realitzades: 2</t>
  </si>
  <si>
    <t>Número de col·laboracions: 1</t>
  </si>
  <si>
    <t>Número xerrades: 5</t>
  </si>
  <si>
    <t>Número d'exemplars nous al  CD: 2</t>
  </si>
  <si>
    <t>Tramitació documentació oficina gestora</t>
  </si>
  <si>
    <t>Tramitació feta: Sí</t>
  </si>
  <si>
    <t>25_GE_13</t>
  </si>
  <si>
    <t>Conservació i reparació de vehicles</t>
  </si>
  <si>
    <t>Reparacions fetes: Sí</t>
  </si>
  <si>
    <t>Material manteniment comprat: Sí</t>
  </si>
  <si>
    <t>25_ED_13</t>
  </si>
  <si>
    <t>4.2.5, 4.3.2</t>
  </si>
  <si>
    <t>Número activitats: 4</t>
  </si>
  <si>
    <t>25_ED_14</t>
  </si>
  <si>
    <t>25_GE_14</t>
  </si>
  <si>
    <t>Senyalització camins interior parc</t>
  </si>
  <si>
    <t>Organització jornades, reunions, conferències, cursos i activitats de promoció</t>
  </si>
  <si>
    <t>Consum aigua de boca</t>
  </si>
  <si>
    <t>Comissions bancàries</t>
  </si>
  <si>
    <t>Adquisició de llibres i publicacions</t>
  </si>
  <si>
    <t>MODEL DE PLA ESTRATÈGIC PELS ENP</t>
  </si>
  <si>
    <t>PN del Montsant</t>
  </si>
  <si>
    <t>Fita a assolir en 4 anys</t>
  </si>
  <si>
    <t>Gestió interna</t>
  </si>
  <si>
    <t>OBJECTIUS operatius / Línia estratègica</t>
  </si>
  <si>
    <t>Objectiu operatiu concret a l'espai</t>
  </si>
  <si>
    <t>Indicador objectiu operatiu</t>
  </si>
  <si>
    <t>Mínim</t>
  </si>
  <si>
    <t>Màxim (Desitjable)</t>
  </si>
  <si>
    <t>Indicadors accions</t>
  </si>
  <si>
    <t>Hores TOTALS    de dedicació OBJECTIU OPERATIU</t>
  </si>
  <si>
    <t>Àrea responsable</t>
  </si>
  <si>
    <t>Persona responsable</t>
  </si>
  <si>
    <t>Persones que també hi intervenen</t>
  </si>
  <si>
    <t>Hores PER ACCIONS dedicació Aymamí, Noemí (detallades per cada acció)</t>
  </si>
  <si>
    <t>Hores TOTALS  dedicació objectiu operatiu Aymamí, Noemí</t>
  </si>
  <si>
    <t>Hores PER ACCIONS dedicació Blanch, Josep (detallades per cada acció)</t>
  </si>
  <si>
    <t>Hores TOTALS dedicació objectiu operatiu Blanch, Josep</t>
  </si>
  <si>
    <t>Hores PER ACCIONS dedicació     Bonet, Montse (detallades per cada acció)</t>
  </si>
  <si>
    <t>Hores TOTALS dedicació objectiu operatiu     Bonet, Montse</t>
  </si>
  <si>
    <t>Hores PER ACCIONS dedicació Brigada (detallades per cada acció)</t>
  </si>
  <si>
    <t>Hores TOTALS dedicació objectiu operatiu Brigada</t>
  </si>
  <si>
    <t>Hores  PER ACCIONS dedicació Collado, Ricardo (detallades per cada acció)</t>
  </si>
  <si>
    <t>Hores  TOTALS dedicació objectiu operatiu   Collado, Ricardo</t>
  </si>
  <si>
    <t>Hores PER ACCIONS dedicació Español, Alexandre (detallades per cada acció)</t>
  </si>
  <si>
    <t>Hores TOTALS dedicació objectiu operatiu      Español, Alexandre</t>
  </si>
  <si>
    <t>Hores PER ACCIONS dedicació         Iturria, David (detallades per cada acció)</t>
  </si>
  <si>
    <t xml:space="preserve">Hores TOTALS dedicació objectiu operatiu   Iturria, David  </t>
  </si>
  <si>
    <t xml:space="preserve">Hores PER ACCIONS dedicació Navarro, Berta (detallades per cada acció) </t>
  </si>
  <si>
    <t xml:space="preserve">Hores TOTALS dedicació objectiu operatiu Navarro, Berta </t>
  </si>
  <si>
    <t xml:space="preserve">Hores PER ACCIONS dedicació       Solà, Montserrat (detallades per cada acció) </t>
  </si>
  <si>
    <t>Hores TOTALS dedicació objectiu operatiu Solà, Montserrat</t>
  </si>
  <si>
    <t>Si</t>
  </si>
  <si>
    <t>MÀXIMA</t>
  </si>
  <si>
    <r>
      <t xml:space="preserve">1. Seguiment sanitari i de la població dels diferents nuclis de </t>
    </r>
    <r>
      <rPr>
        <i/>
        <sz val="11"/>
        <color rgb="FF3D9B35"/>
        <rFont val="Calibri"/>
        <family val="2"/>
        <scheme val="minor"/>
      </rPr>
      <t>T.hermanni</t>
    </r>
    <r>
      <rPr>
        <sz val="11"/>
        <color rgb="FF3D9B35"/>
        <rFont val="Calibri"/>
        <family val="2"/>
        <scheme val="minor"/>
      </rPr>
      <t xml:space="preserve">.                                                                                               2. Redacció i implementaciói d'un pla d'introducció de </t>
    </r>
    <r>
      <rPr>
        <i/>
        <sz val="11"/>
        <color rgb="FF3D9B35"/>
        <rFont val="Calibri"/>
        <family val="2"/>
        <scheme val="minor"/>
      </rPr>
      <t>T.hermann</t>
    </r>
    <r>
      <rPr>
        <sz val="11"/>
        <color rgb="FF3D9B35"/>
        <rFont val="Calibri"/>
        <family val="2"/>
        <scheme val="minor"/>
      </rPr>
      <t>i a PN de Montsant (pels propers 10 anys).                                                                                              
3. Implementació d'un pla de mesures per a la biodiversitat a Mas Roger.                                                                                                 4. Implementació d'un pla de gestió d'ambients oberts (millores d'hàbitat per</t>
    </r>
    <r>
      <rPr>
        <i/>
        <sz val="11"/>
        <color rgb="FF3D9B35"/>
        <rFont val="Calibri"/>
        <family val="2"/>
        <scheme val="minor"/>
      </rPr>
      <t xml:space="preserve"> T.hermanni i A. fasciata</t>
    </r>
    <r>
      <rPr>
        <sz val="11"/>
        <color rgb="FF3D9B35"/>
        <rFont val="Calibri"/>
        <family val="2"/>
        <scheme val="minor"/>
      </rPr>
      <t xml:space="preserve">).                                                                                                                                                                                                                                                        5. Execució planificació d'un programa de seguiment d'indicadors i gestió dels ambients fluvials del Parc (Hidrologia, </t>
    </r>
    <r>
      <rPr>
        <i/>
        <sz val="11"/>
        <color rgb="FF3D9B35"/>
        <rFont val="Calibri"/>
        <family val="2"/>
        <scheme val="minor"/>
      </rPr>
      <t>A.sapidus, A.pallipes</t>
    </r>
    <r>
      <rPr>
        <sz val="11"/>
        <color rgb="FF3D9B35"/>
        <rFont val="Calibri"/>
        <family val="2"/>
        <scheme val="minor"/>
      </rPr>
      <t>, etc).                                                                                                   6. Projecte de suport alimentació cuabarrada.                                                     
7. Projecte del nucli zoològic de tortuga mediterrània.
8. Projecte de millora de la biodiversitat dels ambients forestals.</t>
    </r>
  </si>
  <si>
    <t>Número d'elements de conservació amb mesures executades dins d'un pla de gestió d'actuacions</t>
  </si>
  <si>
    <t>1. Número de seguiments executats sobre T.hermanni                                        2. Pla d'introducció redactat i en execució                                                       3. S'executa un pla de mesures                4. S'executen actuacions per la gestió d'espais oberts                                            5. S'executen actuacions de gestió d'ambients fluvials                                      6. S'executa el projecte d'alliberament de perdiu a Mas Roger                                        7. El nucli zoològic de T.hermanni continua actiu
8. S'executen actuacions dins d'un pla de millora d'ambients forestals</t>
  </si>
  <si>
    <t>1. 4                     2. Sí                    3. Sí                    4. Sí                    5. Sí                    6. Sí                    7. Sí
8. Sí</t>
  </si>
  <si>
    <t xml:space="preserve">1. 4                 
2. Sí                
3. Sí                
4. Sí                
5. Sí               
6. Sí               
7. Sí
8. Sí
</t>
  </si>
  <si>
    <t>Patrimoni natural</t>
  </si>
  <si>
    <t>RC</t>
  </si>
  <si>
    <t>JB                            B (9, 11, 12)        DI</t>
  </si>
  <si>
    <t>1. 20                            2. 20                                                          3. 25                                                                                                                                        5. 25                                                                                             7. 25                                                                                               6. 35                       8. 20                                                                               9. 20                       10. 30                      11. 50</t>
  </si>
  <si>
    <t>5. 1280                      6. 1800             7. 500</t>
  </si>
  <si>
    <t>1. 20
2. 100
3. 75
4. 100
5. 150
6. 15
7. 15
8.20</t>
  </si>
  <si>
    <t xml:space="preserve">1. 40                            2. 80                                                       3. 40
4. 10                                                                                                                                       5. 10 
6. 10                                                                                        7. 5                                                                                              8. 20
                                                                            </t>
  </si>
  <si>
    <t>ALTA</t>
  </si>
  <si>
    <t>1. Elaboració de l'inventari d'elements geològics a l'espai.                  
2. Aplicació de les directrius de gestió de l'inventari de patrimoni geològic (ICGC).                                                                                                                                            3. Creació plànol geològic (turístic).</t>
  </si>
  <si>
    <t>Número d'accions realitzades completament</t>
  </si>
  <si>
    <t>1. Inventari geològic realitzat                                       2. Percentatge directrius aplicades                                                                                                    3. Plànol geològic realitzat</t>
  </si>
  <si>
    <t xml:space="preserve">1. 1                            2. 50%                                                                                                                               3. 1                                                             </t>
  </si>
  <si>
    <t xml:space="preserve">1. 1                    2. 100%                         3. 1       </t>
  </si>
  <si>
    <t>JB</t>
  </si>
  <si>
    <t>DI</t>
  </si>
  <si>
    <t xml:space="preserve">1. 30                            2. 40                                                                                                                                    3. 40                                                             </t>
  </si>
  <si>
    <t>1. 5
3. 5</t>
  </si>
  <si>
    <t>1. Priorització d'espècies en base a laDirectiva.                                                             
2. Priorització d'hàbitats a conservar en base a la Directiva.                                       
3. Aplicació dels Open Standard (creació d'un document en base a un diagrama de flux sobre els OS del Parc).</t>
  </si>
  <si>
    <t>Document/informe dels OS a implementar</t>
  </si>
  <si>
    <t>Tot l'equip</t>
  </si>
  <si>
    <t xml:space="preserve">1. 10                           2. 25                                                       3. 15                                                                                                                                        </t>
  </si>
  <si>
    <t>1. 10
2. 10
3. 60</t>
  </si>
  <si>
    <t>1. Execució de les accions dins els plans que pertoquin a cada ENP.</t>
  </si>
  <si>
    <t>Percentatge d'accions executades</t>
  </si>
  <si>
    <t>JB / DI</t>
  </si>
  <si>
    <t xml:space="preserve">                                                                     4. 30                                                             </t>
  </si>
  <si>
    <t xml:space="preserve">1. 40
</t>
  </si>
  <si>
    <t xml:space="preserve">1. Monitoratge de la presència del visó a través de la instal·lació de trampes de sorra.                                                                              2. Executar un projecte de millora d'hàbitats fluvials a través de l'eliminació de flora exòtica i promoció d'herbassars d'helòfits autòctons. </t>
  </si>
  <si>
    <t>Número de projectes en execució</t>
  </si>
  <si>
    <t>1. Presència de visò americà                         2. Percentatge de superfície ocupada per flora invasora</t>
  </si>
  <si>
    <t>1. No                2. Reducció d'un 20 %</t>
  </si>
  <si>
    <t>1. No                  2. Reducció d'un 50 %</t>
  </si>
  <si>
    <t>B / DI</t>
  </si>
  <si>
    <t xml:space="preserve">1. 20                           2. 30                                                                                                                                                                                               </t>
  </si>
  <si>
    <t>1. 5
1. 5</t>
  </si>
  <si>
    <t>NA</t>
  </si>
  <si>
    <t>No tenim compromisos internacionals adquirits. Entenent que no són marcs legals internacionals d'aplicació obligatòria</t>
  </si>
  <si>
    <t>A l'espera de l'aprovació del Pla Especial.</t>
  </si>
  <si>
    <t>FORA DEL TERMINI DEL PLA</t>
  </si>
  <si>
    <t>Ja es tendeix a la maduresa forestal, partint de la no gestió de les masses forestals de l'ENP</t>
  </si>
  <si>
    <t>No hi ha previsió de fer-ne cap en aquest període</t>
  </si>
  <si>
    <t>MITJANA</t>
  </si>
  <si>
    <t>1. Eliminació d'infraestructures, per tal de millorar la connectivitat ecològica dels cursos fluvials del Parc.</t>
  </si>
  <si>
    <t>Km de riu en dinàmica natural o seminatural</t>
  </si>
  <si>
    <t>1. 40</t>
  </si>
  <si>
    <t xml:space="preserve">1. Projecte ramaderia - Gestió i coordinació de la participació dels ramats locals en actuacions de restauració de pastures i desembosc (per la gestió del territori).       </t>
  </si>
  <si>
    <t>1. Percentatge relació entre superfícies obertes i forestals
2. Superfície tractada (plantacions, ramats, etc.) (ha)</t>
  </si>
  <si>
    <t>1. 0,02
2. 10</t>
  </si>
  <si>
    <t>1. 0,1%
2. 50</t>
  </si>
  <si>
    <t>Paisatge</t>
  </si>
  <si>
    <t>1. 160</t>
  </si>
  <si>
    <t>1.  Gestió batudes (comunicacions).                                                      
2.  Informar batudes autoritzades Secció de Caça.                                                
3.  Millorar la compatibilització de la caça amb l'ús públic.                                                                                               4. Assegurar el manteniment de la població de la cabra salvatge en els rangs estipulats pel Pla de Gestió (200 ind/zona censada).                                                                                                                       5. Programa seguiment del senglar.                                                                    
6. Cens de cabra i cabirol.</t>
  </si>
  <si>
    <t>Número d'accions executades completament</t>
  </si>
  <si>
    <t xml:space="preserve">1. Percentatge batudes comunicades (en relació a les realitzades)                                           2. Percentatge batudes autoritzades Secció de caça informades                                          3. Número de reunions/acords caçadors - secció de caça                        4. Número de reunions caçadors - secció de caça - CAR per valorar la situació de la cabra
5. Percentatge carnets batudes (Entregats/recollits)
6. Número jornades de participació en cens         </t>
  </si>
  <si>
    <t>1. 80                2. 100                3. 2                  4. 4
5. 100
6. 10</t>
  </si>
  <si>
    <t>1. 100         
2. 100         
3. 4              
4. 4
5. 100
6. 15</t>
  </si>
  <si>
    <t>JB / B</t>
  </si>
  <si>
    <r>
      <rPr>
        <sz val="11"/>
        <color rgb="FF000000"/>
        <rFont val="Calibri"/>
        <family val="2"/>
        <scheme val="minor"/>
      </rPr>
      <t xml:space="preserve">1. 100                                                                                      2. 40                                                                            </t>
    </r>
    <r>
      <rPr>
        <sz val="11"/>
        <color rgb="FFFF0000"/>
        <rFont val="Calibri"/>
        <family val="2"/>
        <scheme val="minor"/>
      </rPr>
      <t>3. 70</t>
    </r>
    <r>
      <rPr>
        <sz val="11"/>
        <color rgb="FF000000"/>
        <rFont val="Calibri"/>
        <family val="2"/>
        <scheme val="minor"/>
      </rPr>
      <t xml:space="preserve">                     4. 70                        5. 5                      6. 40                                                      </t>
    </r>
  </si>
  <si>
    <t>5. 480                          6. 1440</t>
  </si>
  <si>
    <t>1. 10
2. 5
3. 10
4. 10
5. 10</t>
  </si>
  <si>
    <t>01.3.7</t>
  </si>
  <si>
    <t>Afavorir la connectivitat ecològica del territori</t>
  </si>
  <si>
    <t>1. Eliminació del pantà de la Vilella Baixa.</t>
  </si>
  <si>
    <t>Acció executada</t>
  </si>
  <si>
    <t>Millora rural</t>
  </si>
  <si>
    <t>RC / JB</t>
  </si>
  <si>
    <t>Quan s'ha fet han sorgit problemes legals</t>
  </si>
  <si>
    <t>En aquest pla es priortizen altres obejctius operatius, amb els recursos existents</t>
  </si>
  <si>
    <t xml:space="preserve">1. Mas Roger.
2. Bosc de la Vila. </t>
  </si>
  <si>
    <t>Número actuacions coordinades executades</t>
  </si>
  <si>
    <t>1.Número actuacions
2.Número actuacions</t>
  </si>
  <si>
    <t>1. 4
2. 2</t>
  </si>
  <si>
    <t>1. 200
2. 50</t>
  </si>
  <si>
    <t>Manca de recursos per a realitzar el pla.</t>
  </si>
  <si>
    <t>Natura</t>
  </si>
  <si>
    <t xml:space="preserve">1. Manteniment, conservació i monitoratge de les fonts i els aqüifers de l'ENP. </t>
  </si>
  <si>
    <t>Document sobre la planificació/gestió dels recursos hídrics</t>
  </si>
  <si>
    <t>Percentatge d'aqüífers/fonts monitoritzats</t>
  </si>
  <si>
    <t>JB/RC/B</t>
  </si>
  <si>
    <t>1. 70</t>
  </si>
  <si>
    <t>1. 960</t>
  </si>
  <si>
    <t>1. 10</t>
  </si>
  <si>
    <t>1. Participació en la redacció d'IOF de finques públiques (en cas que es redactin).
2. Participar en l'execució d'IOF i realització de tractaments silvícoles, tallades selectives, etc en finques públiques.</t>
  </si>
  <si>
    <t>Percentatge de finques públiques en les que es participa en l'ordenació o l'execució de treballs planificats</t>
  </si>
  <si>
    <t xml:space="preserve">1. Percentatge IOF redactats per finques públiques en què es participa
2. Número d'actuacions silvícoles de qualsevol tipologia executades en finques públiques. </t>
  </si>
  <si>
    <t>1. 100%           2. 2</t>
  </si>
  <si>
    <t>1. 100% 
2. 4</t>
  </si>
  <si>
    <t>1. 30                   2. 170</t>
  </si>
  <si>
    <t>2. 40</t>
  </si>
  <si>
    <t xml:space="preserve">Implementar el Pla de Prevenció d'Incendis </t>
  </si>
  <si>
    <t>Ja tenim redactat el PPI.</t>
  </si>
  <si>
    <t xml:space="preserve">1. Implementació el Pla de Prevenció d'Incendis de l'ENP. </t>
  </si>
  <si>
    <t>Percentatge d'àrees estratègiques executades (de les que siguin viables tècnicament)</t>
  </si>
  <si>
    <t>DI / JB</t>
  </si>
  <si>
    <t>1. 90</t>
  </si>
  <si>
    <t>1. 80</t>
  </si>
  <si>
    <t>1. Manteniment i millora de les pistes de l'ENS.                                
2. Coordinació o col·laboració amb els diferents actors en relació a la prevenció d'incendis.                                                                        
3. Franges protecció d'incendis.                                                            
4. Manteniment de basses d'extinció.</t>
  </si>
  <si>
    <t>Número d'actuacions executades o on s'ha participat / col·laborat</t>
  </si>
  <si>
    <t>1. Número de pistes arranjades            2. Número actuacions coordinades o "col·laborades"
3. Número actuacions en franges de protecció d'incendis
4. Percentatge de basses extinció mantingudes</t>
  </si>
  <si>
    <t>1. 2                  2. 2
3. 3
4. 50</t>
  </si>
  <si>
    <t>1. 4              
2. 4
3. 4
4. 100</t>
  </si>
  <si>
    <t xml:space="preserve">1. 150                                                                                     2. 50                                                                                                                                       </t>
  </si>
  <si>
    <t>1. 1800             3. 3000            4. 480</t>
  </si>
  <si>
    <t>1. 50
2. 50</t>
  </si>
  <si>
    <t>Participar en les consultes dels processos d'Avaluació Ambiental que afectin directament o indirectament l’espai del ENP</t>
  </si>
  <si>
    <t>Donar resposta a les peticions d'informe, tant de processos d'Avaluacio Ambiental com que puguin afectar als valors de l'espai</t>
  </si>
  <si>
    <t>La gestió preventiva també inclou informes sobre usos i activitats que sense passar una AA poden tenir impactes ambientals o afectacions al Parc</t>
  </si>
  <si>
    <t xml:space="preserve">1. Informes - gestió preventiva.                                                           </t>
  </si>
  <si>
    <t>l</t>
  </si>
  <si>
    <t>Percentatge resposta peticions d'informe</t>
  </si>
  <si>
    <t>Ús públic i social</t>
  </si>
  <si>
    <t>1. 600</t>
  </si>
  <si>
    <t>1. 100</t>
  </si>
  <si>
    <t>Exercir un seguiment efectiu de les obres o actuacions autoritzades directament pel Parc o informades pel Parc i autoritzades per altri (seguiment conjunt amb la OTAA o altres organismes), als efectes d'assegurar la correcta translació de la tutela administrativa.</t>
  </si>
  <si>
    <t xml:space="preserve">El seguiment s'hauria de fer pel conjunt d'activitats autoritzades al Parc que puguin implicar un impacte ambiental (independentement de si passa Avaluació Ambiental o no) </t>
  </si>
  <si>
    <r>
      <rPr>
        <sz val="11"/>
        <color rgb="FF3D9B35"/>
        <rFont val="Calibri"/>
        <family val="2"/>
        <scheme val="minor"/>
      </rPr>
      <t xml:space="preserve">1. Seguiment de les obres o actuacions autoritzades pel Parc.
2. Seguiment de les obres o actuacions autoritzades per altri.
</t>
    </r>
    <r>
      <rPr>
        <sz val="11"/>
        <color rgb="FFF85C26"/>
        <rFont val="Calibri"/>
        <family val="2"/>
        <scheme val="minor"/>
      </rPr>
      <t xml:space="preserve">3. Crear GIS obres - actuacions autoritzades.      </t>
    </r>
    <r>
      <rPr>
        <sz val="11"/>
        <color rgb="FF000000"/>
        <rFont val="Calibri"/>
        <family val="2"/>
        <scheme val="minor"/>
      </rPr>
      <t xml:space="preserve"> </t>
    </r>
    <r>
      <rPr>
        <sz val="11"/>
        <color rgb="FFFF0000"/>
        <rFont val="Calibri"/>
        <family val="2"/>
        <scheme val="minor"/>
      </rPr>
      <t xml:space="preserve">                                                                                           </t>
    </r>
  </si>
  <si>
    <t>Percentatge seguiment de les autortizacions</t>
  </si>
  <si>
    <t>1. Percentatge seguiment de les autoritzades pel Parc.                                                     2. Percentatge Seguiment de les autoritzades per altri.                                                          3. Creació GIS obres - actuacions</t>
  </si>
  <si>
    <t xml:space="preserve">1. 50                2. 30                3. 1  </t>
  </si>
  <si>
    <t>1. 100          
2. 100             
3. 1</t>
  </si>
  <si>
    <t xml:space="preserve">1. 80                                                                                     2. 80                    3. 25                                                                                                                                      </t>
  </si>
  <si>
    <t>Es participa en el procés de redacció de l'informe corresponent</t>
  </si>
  <si>
    <t>Depèn del Servei de Parcs</t>
  </si>
  <si>
    <t xml:space="preserve">1. Participació en el seguiment del cabal en els trams dins ENP. </t>
  </si>
  <si>
    <t>Participació en les reunions sobre el seguiment del cabal</t>
  </si>
  <si>
    <t>1. 5</t>
  </si>
  <si>
    <t>L'organisme competent és l'ACA i nosaltres hi participem a nivell d'informe</t>
  </si>
  <si>
    <r>
      <rPr>
        <sz val="11"/>
        <color rgb="FF3D9B35"/>
        <rFont val="Calibri"/>
        <family val="2"/>
        <scheme val="minor"/>
      </rPr>
      <t xml:space="preserve">1. Participació de forma coordinada amb l'administració competent en l'avaluació i control d'actuacions dins els límits de l'ENP.
</t>
    </r>
    <r>
      <rPr>
        <sz val="11"/>
        <color rgb="FFFF0000"/>
        <rFont val="Calibri"/>
        <family val="2"/>
        <scheme val="minor"/>
      </rPr>
      <t xml:space="preserve">2. Realització de denúncies per incompliment cap a l'administració competent.
</t>
    </r>
    <r>
      <rPr>
        <sz val="11"/>
        <color rgb="FF3D9B35"/>
        <rFont val="Calibri"/>
        <family val="2"/>
        <scheme val="minor"/>
      </rPr>
      <t xml:space="preserve">3. Participació en les comunitats d'usuaris de les conques.                                
4. GIS impactes.        </t>
    </r>
    <r>
      <rPr>
        <sz val="11"/>
        <color rgb="FF000000"/>
        <rFont val="Calibri"/>
        <family val="2"/>
        <scheme val="minor"/>
      </rPr>
      <t xml:space="preserve">                                                                                
</t>
    </r>
    <r>
      <rPr>
        <sz val="11"/>
        <color rgb="FF3D9B35"/>
        <rFont val="Calibri"/>
        <family val="2"/>
        <scheme val="minor"/>
      </rPr>
      <t>5. Implementar un sistema de monitoratge dels aqüifers i les fonts.</t>
    </r>
  </si>
  <si>
    <t>Informe anual</t>
  </si>
  <si>
    <t>1. Reunions realitzades
3. Reunions realitzades amb els usuaris
4. GIS d'impactes
5. Percentatge d'aqüífers/fonts monitoritzats</t>
  </si>
  <si>
    <t>1. 1                      3. 1                     4. Sí                    5. 70%</t>
  </si>
  <si>
    <t>1. 2                 
3. 2                 
4. Sí               
5. 100%</t>
  </si>
  <si>
    <t>1.10
3. 20</t>
  </si>
  <si>
    <t>En aquest pla es priortizen altres obejctius operatius, amb els recursos existents, entent que hi ha l'ACA o el cos d'Agents Rurals encarregats d'aquest tipus de tasques</t>
  </si>
  <si>
    <t>03.3.5</t>
  </si>
  <si>
    <t>Col·laborar amb l'òrgan competent per la conservació del domini públic d'acord amb les delimitacions i la normativa d'usos vigents</t>
  </si>
  <si>
    <t>No està previst als propers 4 anys</t>
  </si>
  <si>
    <t xml:space="preserve">1.Identificació i restauració dels indrets més degradats dels hàbitats o les àrees amb presència d'espècies d'interès comunitari.
2. Delimitació de zones de protecció al voltant de les àrees més ben conservades de determinats hàbitats d'interès comunitari per l'esmorteïment de possibles impactes.
</t>
  </si>
  <si>
    <t>Superfície d'espais prioritaris identificats</t>
  </si>
  <si>
    <t xml:space="preserve">JB / DI /RC                         </t>
  </si>
  <si>
    <t>1. 20</t>
  </si>
  <si>
    <t>1. 40
2. 10</t>
  </si>
  <si>
    <r>
      <rPr>
        <sz val="11"/>
        <color rgb="FF3D9B35"/>
        <rFont val="Calibri"/>
        <family val="2"/>
        <scheme val="minor"/>
      </rPr>
      <t>1. Actualització de l'Inventari de Béns d'Interès Patrimonial (IBIP). Actualització i Elaboració de cartografia.</t>
    </r>
    <r>
      <rPr>
        <sz val="11"/>
        <color rgb="FFFF0000"/>
        <rFont val="Calibri"/>
        <family val="2"/>
        <scheme val="minor"/>
      </rPr>
      <t xml:space="preserve">                                                      
</t>
    </r>
    <r>
      <rPr>
        <sz val="11"/>
        <color rgb="FF3D9B35"/>
        <rFont val="Calibri"/>
        <family val="2"/>
        <scheme val="minor"/>
      </rPr>
      <t xml:space="preserve">2. Inventari i cartografia d'elements de la geografia popular (roques singular).                                                                                          3. Inventari del patrimoni immaterial (festes i activitats tradicionals).
4. Elaborar la cartografia de la xarxa de camins ramaders i senders tradicionals de l'ENP.
5. Inventariar punts d'interès de Memòria Democràtica-Guerra Civil (Cabacés-Ulldemolins-Cornudella).
6. Inventari i senyalització d'itineraris dels molins hidràulics del riu Montsant (Cabacés, La Bisbal de Falset, Margalef, Ulldemolins). </t>
    </r>
  </si>
  <si>
    <t>Número d'elements inventariats de patrimoni cultural material i immaterial</t>
  </si>
  <si>
    <t>1. Incloure mínim de 50 elements al IBIP i a la cartografia
2.  Número d'elements de geografia popular inventariats i elaboració de capa cartogràfica
3. Número d'elements de patrimoni immaterial
4. Mapa amb els camins ramaders i tradicionals
5. Número d'elements de memòria històrica i cartografia
6. Estudi dels molins hidràulics del riu de Montsant i cartografia</t>
  </si>
  <si>
    <t>1. 30 
2. 25
3. 25
4. 1
5. 5
6. 1</t>
  </si>
  <si>
    <t>1. 100
2. 50
3. 50
4. 1
5. 10
6. 1</t>
  </si>
  <si>
    <t>Patrimoni cultural</t>
  </si>
  <si>
    <t xml:space="preserve">MS </t>
  </si>
  <si>
    <t>RC/JB / DI</t>
  </si>
  <si>
    <t>1.60</t>
  </si>
  <si>
    <t>4. 10
5. 10
6. 10</t>
  </si>
  <si>
    <t>1.60
2.20
3.30
4.30
5.20
6.125</t>
  </si>
  <si>
    <t>Es patrimoni immaterial i queda inclós en el 04.1.1</t>
  </si>
  <si>
    <t>És patrimoni etnològic i immaterial i queda inclòs en el 04.1.1</t>
  </si>
  <si>
    <t xml:space="preserve">1. Inventari de les entitats de referència en patrimoni.                     </t>
  </si>
  <si>
    <t>Número d'entitats de referència inventariades</t>
  </si>
  <si>
    <t>1. 50%</t>
  </si>
  <si>
    <t>1. 100%</t>
  </si>
  <si>
    <t>MS</t>
  </si>
  <si>
    <t xml:space="preserve">1. Elaboració de proposta d'actuacions comunes amb les entitats que treballen amb el patrimoni de Montsant (Carrutxa / Migdia cb /Memorial Democràtic...).
2. Foment de la cooperació tècnica dels gestors de l'ENP amb la Cartoixa d'Escaladei.                                                                              3.Foment de la cooperació tècnica dels gestors de l'ENP amb Memorial Democràtic. Creació de la Ruta del pas del front de guerra.
4. Participació activa en el grup de treball entre Parcs i XME.           </t>
  </si>
  <si>
    <t xml:space="preserve">Número d'accions conjuntes amb entitats de patrimoni </t>
  </si>
  <si>
    <t>1. Número de treballs concretats amb cadascuna de les entitats
2. Número de projectes executats amb la Cartoixa comuns
3. Número de senyalització de EM i creació de tríptic de la ruta
4. Número de reunions del grup</t>
  </si>
  <si>
    <t>1. 3
2. 2
3. 4
4. 3</t>
  </si>
  <si>
    <t>1. 6
2. 3
3. 4
4. 4</t>
  </si>
  <si>
    <t>1. 20
2. 10
3. 5
4. 80</t>
  </si>
  <si>
    <t>1.120
2.100
3.100
4.85</t>
  </si>
  <si>
    <t>Impulsar i/o participar dels treballs de restauració arquitectònica i del patrimoni cultural</t>
  </si>
  <si>
    <t>Impulsar i/o participar dels treballs de restauració arquitectònica, arqueològica i del patrimoni cultural</t>
  </si>
  <si>
    <t>CANVI DE REDACTAT AL MODEL DE LA DG</t>
  </si>
  <si>
    <t>1. Execució treballs de restauració  arquitectònica i del patrimoni cultural.</t>
  </si>
  <si>
    <t>Número de treballs de restauració arquitectònica i del patrimoni cultural.</t>
  </si>
  <si>
    <t>B / DI /</t>
  </si>
  <si>
    <t>1. 1800</t>
  </si>
  <si>
    <t>2. 10</t>
  </si>
  <si>
    <t>1.25</t>
  </si>
  <si>
    <t>Fomentar el coneixement del patrimoni cultural entre el personal del Parc</t>
  </si>
  <si>
    <t>1. Formació del personal tècnic de l'ENP en la gestió i conservació dels valors culturals de l'ENP.</t>
  </si>
  <si>
    <t>Sessions formatives anuals del personal tècnic</t>
  </si>
  <si>
    <t>1.40</t>
  </si>
  <si>
    <t>04.2.5</t>
  </si>
  <si>
    <t>Donar suport tècnic als equips de recerca vinculats als jaciments arqueològics en actiu dins ENP</t>
  </si>
  <si>
    <t xml:space="preserve">1. Suport tècnic durant la realització dels treballs.                                   
2. Realització d'activitats divulgatives sobre el patrimoni arqueològic de Montsant.
3. Suport brigada durant la realització en treballs d'arqueologia.                                                                      </t>
  </si>
  <si>
    <t>Número d'actuacions relacionades amb el patrimoni arqueològic</t>
  </si>
  <si>
    <t>1. Hores de coordinació amb equips arqueòlegs
2. Número d'activitats relacionades amb arqueologia
3. Número de suports brigada</t>
  </si>
  <si>
    <t>1. 20
2. 5
3. 4</t>
  </si>
  <si>
    <t>1. 30
2. 8
3. 8</t>
  </si>
  <si>
    <t xml:space="preserve">B / DI </t>
  </si>
  <si>
    <t>3. 240</t>
  </si>
  <si>
    <t>1.40
2.30</t>
  </si>
  <si>
    <t xml:space="preserve">Recuperar i conservar el patrimoni cultural rural immaterial (associat a les activitats i aprofitaments tradicionals) i els valors espirituals </t>
  </si>
  <si>
    <t>Divulgar i dinamitzar les propostes sobre valors espirituals de l'iniciativa DELOS</t>
  </si>
  <si>
    <t>Iniciativa Delos on s'aproven per junta rectora (2009) una sèrie de recomanacions a complir tant en l'estudi, gestió i planificació de l'ENPE</t>
  </si>
  <si>
    <r>
      <rPr>
        <sz val="11"/>
        <color rgb="FF3D9B35"/>
        <rFont val="Calibri"/>
        <family val="2"/>
        <scheme val="minor"/>
      </rPr>
      <t>Propostes derivades de la Iniciativa DELOS:
1. Elaboració i actualització del mapa de la tranquil·litat de Montsant (com a eina de gestió i planificació).
2. Incoporar els valos intangibles de la natura i els valors espirituals de Montsant en els materials de divulgació del Parc i materials d'educació ambiental  (idea clau: mont sant),  
3. Informe sobre la recuperació d'algunes ermites per a la seva funció original.
4. Suport a les ermitanes de Cornudella de Montsant i Margalef</t>
    </r>
    <r>
      <rPr>
        <sz val="11"/>
        <color rgb="FF000000"/>
        <rFont val="Calibri"/>
        <family val="2"/>
        <scheme val="minor"/>
      </rPr>
      <t xml:space="preserve">.     
</t>
    </r>
    <r>
      <rPr>
        <sz val="11"/>
        <color rgb="FF3D9B35"/>
        <rFont val="Calibri"/>
        <family val="2"/>
        <scheme val="minor"/>
      </rPr>
      <t>5. Accions conjuntes amb la Cartoixa d'Escaladei - Turisme religiós.</t>
    </r>
  </si>
  <si>
    <t>Percentatge grau de compliment de les recomanacions de la iniciativa DELOS</t>
  </si>
  <si>
    <t>1. Mapa de la tranquil·litat
2. Materials divulgatius sobre tema espiritualitat
3. Informe de viabilitat recuperació ermites - espais de recés (Mas de l'Estrem)
4. Número de trobades amb les ermitanes
5. Desenvolupar accions vinculades Turisme religiós-Cartoixa d'Escaladei</t>
  </si>
  <si>
    <t>1. 1
2. 1
3. 0
4. 8
5. 1</t>
  </si>
  <si>
    <t>1. 1
2. 3
3. 1
4. 8
5. 4</t>
  </si>
  <si>
    <t>RC / DI</t>
  </si>
  <si>
    <t>1. 50</t>
  </si>
  <si>
    <t>4. 10</t>
  </si>
  <si>
    <t xml:space="preserve">1.30
2.40
3.40
4.50 </t>
  </si>
  <si>
    <t xml:space="preserve">Recuperar i conservar el patrimoni cultural rural vinculat específicament a construccions de pedra en sec </t>
  </si>
  <si>
    <t>1. Realització d'activitats relacionades amb la restauració i conservació de la pedra seca  (Agenda d'activitats).                                                              
2. Promoure l'organització d'un curs de mestre margener amb entitats vinculades.
3.Executar  treballs de restauració d'arquitectura de la pedra sec (brigada).
4.  Coordinar-seamb els responsables dels treballs de restauració arquitectònica i del patrimoni cultural.
5. Recuperació i manteniment d'arquitectura de pedra en sec.
6. Executar treballs de restauració  arquitectònica i del patrimoni cultural.</t>
  </si>
  <si>
    <t xml:space="preserve">Número d'actuacions relacionades amb l'arquitectura de pedra seca </t>
  </si>
  <si>
    <t>1. Número d'activitats realitzades
2. Alumnes certificats amb curs de mestre marger
3. Número d'elements restaurats
4. Reunions amb responsables de patrimoni cultural d'altres administracions
5. Número d'actuacions de recuperació de pedra en sec</t>
  </si>
  <si>
    <t>1. 5
2. 1
5. 4</t>
  </si>
  <si>
    <t>1. 8
2. 2
5. 8</t>
  </si>
  <si>
    <t>B</t>
  </si>
  <si>
    <t xml:space="preserve">1. 240           
3. 2400
</t>
  </si>
  <si>
    <t>1.40
2.70
4.25</t>
  </si>
  <si>
    <t xml:space="preserve">Fomentar la recuperació i conservació de l'arquitectura tradicional d'interès de les edificacions i construccions </t>
  </si>
  <si>
    <t>Això ve regulat pel POUM.</t>
  </si>
  <si>
    <t>Identificar i conservar la diversitat domesticada de varietats agrícoles locals: BIODIVERSITAT CULTIVADA</t>
  </si>
  <si>
    <t>Es treballa en aquest projecte en concret des de fa uns anys.</t>
  </si>
  <si>
    <t>1. Accions de suport al programa Biodiversitat cultivada.
2. Localització i presa de mostres de varietats agrícoles locals.
3. Suport brigada projecte biodiversitat cultivada.</t>
  </si>
  <si>
    <t>1. Número actuacions realitzades
2. Percentatge de varietats localitzades i mostrejades
3. Número d'accions de suport</t>
  </si>
  <si>
    <t>1. 4
2. 75
3. 4</t>
  </si>
  <si>
    <t>1. 4
2. 100
3. 8</t>
  </si>
  <si>
    <t>2. 100
3. 390</t>
  </si>
  <si>
    <t>1. 160
2. 20</t>
  </si>
  <si>
    <t>1. Elaboració de tríptics dels itineraris i cartellereria vinculats als itineraris temàtics (Ruta de l'aigües de Cabacés/Ruta dels Cartoixans/ La Pietat-ruta de l'aigua/Montalts. Pedra seca).</t>
  </si>
  <si>
    <t>Número de tríptics temàtics publicats</t>
  </si>
  <si>
    <t xml:space="preserve">JB / DI                          </t>
  </si>
  <si>
    <t xml:space="preserve">1.125
</t>
  </si>
  <si>
    <t xml:space="preserve">1. Coordinació xerrades patrimoni cultural.                                                                
2. Disseny i coordinació activitats difusió patrimoni cultural.                                         </t>
  </si>
  <si>
    <t>Número d'activitats relacionades amb el patrimoni cultural</t>
  </si>
  <si>
    <t>1. Número de xerrades sobre patrimoni cultural
2. Número d'activitats</t>
  </si>
  <si>
    <t>1. 15
2. 10</t>
  </si>
  <si>
    <t>1. 25
2. 20</t>
  </si>
  <si>
    <t>2.75</t>
  </si>
  <si>
    <t>1.40
2.25</t>
  </si>
  <si>
    <t>1. Incloure formació sobre patrimoni cultural dins el curs de punt d'informació del Parc i sessions d'actualització.</t>
  </si>
  <si>
    <t>Número de participants anuals a les sessions sobre patrimoni cultural</t>
  </si>
  <si>
    <t>1. 60</t>
  </si>
  <si>
    <t>Actalment no tenim constància d'elements t'interès paisatgísitc degradats</t>
  </si>
  <si>
    <t>Gestionar l'abandonament d'infraestructures i instal·lacions amb impactes sobre els valors de l'espai</t>
  </si>
  <si>
    <t>1. Treballs brigada Mas Roger i altres.</t>
  </si>
  <si>
    <t>Nombre d'elements abandonats denunciats/retirats/corregits</t>
  </si>
  <si>
    <t xml:space="preserve"> B</t>
  </si>
  <si>
    <t>1. 3600</t>
  </si>
  <si>
    <t>2. 100</t>
  </si>
  <si>
    <t>1. Actuacions brigada gestió deixalles, vandalisme i males praxis dins de l'ENP.</t>
  </si>
  <si>
    <t>Número d'actuacions</t>
  </si>
  <si>
    <t>Manteniment-vigilància / Ús públic</t>
  </si>
  <si>
    <t>1. 1440</t>
  </si>
  <si>
    <t>Desenvolupar el pla d'accions ZEPQUA vinculades a la qualitat del cel nocturn</t>
  </si>
  <si>
    <t>Hem canviat el títol de l'obejctiu operatiu perquè nosaltres ja tenim la certificació.</t>
  </si>
  <si>
    <r>
      <rPr>
        <sz val="11"/>
        <color rgb="FF3D9B35"/>
        <rFont val="Calibri"/>
        <family val="2"/>
        <scheme val="minor"/>
      </rPr>
      <t xml:space="preserve">Accions punt de referència i Starlight:
1. Promocionar l'ampliació de l'àrea d'influència de protecció lumínica.
2. Aplicació de criteris de prevenció en equipaments, monuments municipals i del Parc.
3. Incorporació de criteris de prevenció  lumínica als tràmits administratius.
4. Senyalització de la zona protegida.
5. Sensibilització al voltant de la tranquil·litat, els sons naturals i foscor del medi nocturn.
6. Sensiblització i implicació dels agents del territori en la ZEPQA i el Punt de referència.
7. Realització de campanyes de sensibilització a les escoles.
8. Promoció de la destianció Destí Turísitic Starlight i renovar l'existent.
9. Elaboració de material de promoció i difusió.
10. Promoció de les infraestructures d'astronomia de la zona de protecció.
11. Creació i manteniment d'una comissió de valoració de les mesures del Pla.
</t>
    </r>
    <r>
      <rPr>
        <sz val="11"/>
        <color rgb="FFF85C26"/>
        <rFont val="Calibri"/>
        <family val="2"/>
        <scheme val="minor"/>
      </rPr>
      <t>12. Realització del curs de monitor Startlight.</t>
    </r>
  </si>
  <si>
    <t>Percentatge Seguiment accions del Pla específic de mesures 2024-2030</t>
  </si>
  <si>
    <t>1. Número de trobades/reunions amb municipis de l'àrea d'influència.                                                              6. Número de trobades amb agents del territori                                                      
7. Execució Campanya escolar "Per un Montsant, fosc i tranquil"                       
9. Revisió i actualització de materials (tríptic xarxa de miradors, recursos pedagògics itinerari astronòmic, planisferi astronomia popular...)  
10. Número d'activitats d'astronomia als miradors a l'estiu
11. Número de reunions realitzades
12. Alumnes amb titulació Starlight</t>
  </si>
  <si>
    <t>1. 2 / 50%      10. 20 /50%          6. 4 /50%        7. 1 /100%       
11. 2
12. 5</t>
  </si>
  <si>
    <t>1. 4 / 100%  
6. 8 / 100%  
7. 1 / 100% 
10. 40/100%
11. 4
12.10</t>
  </si>
  <si>
    <t>AE / DI</t>
  </si>
  <si>
    <t>10. 160
6. 80   
7. 100   
9. 200                           12. 10</t>
  </si>
  <si>
    <t>1. 50
2. 40
3. 10
4. 40
5. 20
6. 20
7. 5
8. 10
9. 50
10. 10
11. 30
12. 20</t>
  </si>
  <si>
    <t>Desenvolupar el pla d'accions ZEPQUA vinculades al al qualitat acústica.</t>
  </si>
  <si>
    <t>Accions ZEPQA:
1. Restriccions d'activitats, pas de vehicles i promoció de vehicles silenciosos (ZEPQA).
2. Incorporació de criteris de prevenció acústica als tràmits administratius.
3. Senyalització de la zona protegida.
4. Sensibilització al voltant de la tranquil·litat, els sons naturals i foscor del medi nocturn.
5. Sensibilització i implicació dels agents del territori en la ZEPQA.
6. Realització de campanyes de sensibilització a les escoles.
7. Elaboració de material de promoció i difusió.
8. Creació i manteniment d'una comissió de valoració de les mesures del Pla.</t>
  </si>
  <si>
    <t>Percentatge d'execució de les accions del pla ZEPQUA</t>
  </si>
  <si>
    <t>4. Número d'accions realitzades
5. Numero d'accions realitzades
6. Número de campanyes realitzades
7. Número material editats
8. Número de reunions</t>
  </si>
  <si>
    <t>4. 4
5. 4
6. 1
7. 2
8. 2</t>
  </si>
  <si>
    <t>4. 4
5. 4
6. 1
7. 4
8. 4</t>
  </si>
  <si>
    <t>4. 5. 6. No he posat hores perquè estan agrupades juntament amb la contaminació lumínica.</t>
  </si>
  <si>
    <t>2. 5
3. 10
4. 10
5. 5
7. 5
8. 5</t>
  </si>
  <si>
    <t>Identificar i prioritzar els elements clau i d'interès per la gestió de la biodiversitat i geodiversitat de Catalunya que es troben dins l'ENP (especies amenaçades, espècies exòtiques invasores,.. )</t>
  </si>
  <si>
    <t xml:space="preserve">1. Elaboració d'un document que per tal de decidir i definir la priorització d'espècies i hàbitats d'interès en base als criteris definits per Serveis Centrals i criteris de l'equip gestor del Parc.                                       </t>
  </si>
  <si>
    <t>Informe generat sobre els elements clau i d'interès per la gestió (OS)</t>
  </si>
  <si>
    <t>1. 5
2. 5</t>
  </si>
  <si>
    <t xml:space="preserve">1. Aportació d'informació per a l'inventari i cartografia d'espais fràgils.                                                                                                             </t>
  </si>
  <si>
    <t>Cartografia generada</t>
  </si>
  <si>
    <t>1. Participació en la programació de la realització de la cartografia d'hàbitats en el contracte plurienal que existeix amb GeoVeg-UB.</t>
  </si>
  <si>
    <t>Reunions realitzades</t>
  </si>
  <si>
    <t xml:space="preserve">JB                           </t>
  </si>
  <si>
    <t>Conèixer i estudiar els elements i processos naturals propis de l’espai, la seva tendència, funcionalitat, i ecologia, per al desenvolupament d'accions de gestió i conservació</t>
  </si>
  <si>
    <r>
      <rPr>
        <sz val="11"/>
        <color rgb="FF3D9B35"/>
        <rFont val="Calibri"/>
        <family val="2"/>
        <scheme val="minor"/>
      </rPr>
      <t xml:space="preserve">1. Estudi d'una possible nova comunitat vegetal (cornereda).                                                                                         
2. Realització d'estudis vinculats als processos naturals i ecologia del Parc.              </t>
    </r>
    <r>
      <rPr>
        <sz val="11"/>
        <color rgb="FFF85C26"/>
        <rFont val="Calibri"/>
        <family val="2"/>
        <scheme val="minor"/>
      </rPr>
      <t xml:space="preserve">                                                                                            </t>
    </r>
  </si>
  <si>
    <t>1. Realització de l'estudi                         
2. Número d'estudis realitzats / contractats</t>
  </si>
  <si>
    <t>1. 1
2. 2</t>
  </si>
  <si>
    <t>1. 1
2. 4</t>
  </si>
  <si>
    <t xml:space="preserve">JB </t>
  </si>
  <si>
    <t>RC / AE / DI</t>
  </si>
  <si>
    <t>2. 80</t>
  </si>
  <si>
    <t>1. 25</t>
  </si>
  <si>
    <t>BAIXA</t>
  </si>
  <si>
    <t>1. Establiment de parcel·les de seguiment per avaluació de l'impacte del canvi climàtic en l'ENP i la seva capacitat d'adaptació i resiliència.
2. Estudi bàsic d'afectació del canvi climàtic a l'ENP</t>
  </si>
  <si>
    <t>Projectes duts a terme que avaluin l'afectació de processos i activitats sobre l'ENP</t>
  </si>
  <si>
    <t>1. Número de parcel·les monotoritzades                                        2. Estudi bàsic realitzat</t>
  </si>
  <si>
    <t>1. 1                  2. 1</t>
  </si>
  <si>
    <t>1. 4              
2. 1</t>
  </si>
  <si>
    <t xml:space="preserve">1. 40                                                                                     2. 20                                                                                                                                               </t>
  </si>
  <si>
    <t>Actualment no té constància d'espècies plaga que afectin a l'ENP</t>
  </si>
  <si>
    <t>1. Realització i foment dels estudis de forma coordinada amb el SFF.                                                                                                            2. Seguiment i control del visó americà mentres es consideri factible la seva arribada des de conques veines (Francolí i Gaià).</t>
  </si>
  <si>
    <t>% d'EEI estudiades del conjunt d'EEI presents a l'ENP</t>
  </si>
  <si>
    <t>1. Número d'estudis realitzats en coordinació amb el SFF                              2. Número de campanyes pel control i seguiment del visó americà</t>
  </si>
  <si>
    <t>1. 2                     2. 2</t>
  </si>
  <si>
    <t>1. 5                 
2. 4</t>
  </si>
  <si>
    <t>1. Cartografia detallada i actualitzada de connectors ecològics.</t>
  </si>
  <si>
    <r>
      <t>1. Suport a la UIC en la definició dels sistemes de seguiment (</t>
    </r>
    <r>
      <rPr>
        <i/>
        <sz val="11"/>
        <color rgb="FF3D9B35"/>
        <rFont val="Calibri"/>
        <family val="2"/>
        <scheme val="minor"/>
      </rPr>
      <t>T.hermanni</t>
    </r>
    <r>
      <rPr>
        <sz val="11"/>
        <color rgb="FF3D9B35"/>
        <rFont val="Calibri"/>
        <family val="2"/>
        <scheme val="minor"/>
      </rPr>
      <t>, cranc).</t>
    </r>
  </si>
  <si>
    <t>Sistemes de seguiment en els que s'ha participat/col·laborat</t>
  </si>
  <si>
    <r>
      <rPr>
        <sz val="11"/>
        <color rgb="FF3D9B35"/>
        <rFont val="Calibri"/>
        <family val="2"/>
      </rPr>
      <t xml:space="preserve">1. Seguiment de les directrius del sistema de seguiment establerts segons la versió més recent aportada per la UIC.
2. Reforç i estabilització de la xarxa de voluntariat per a determinats seguiments de biodiversitat.
3. Contractació plurianual d’especialistes per a seguiments d'objectes de conservació
4. Aplicació del protocol establert de compartir informació per al seguiment global d’indicadors de l’estat de la natura o el seguiment dels pol·linitzadors silvestres.
5. Seguiment rapinyaries (cuabarrada i calçada).
6. Seguiment projecte Segre/noctàmbuls.
7. Seguiment de les poblacions de somereta de Montsant.
8. Censos de flora </t>
    </r>
    <r>
      <rPr>
        <i/>
        <sz val="11"/>
        <color rgb="FF3D9B35"/>
        <rFont val="Calibri"/>
        <family val="2"/>
      </rPr>
      <t xml:space="preserve">Delphinium bolosii Leodonton crispus.
</t>
    </r>
    <r>
      <rPr>
        <sz val="11"/>
        <color rgb="FF3D9B35"/>
        <rFont val="Calibri"/>
        <family val="2"/>
      </rPr>
      <t xml:space="preserve">9. Seguiment flora prioritària d'interès.
10. Cens de cranc autòcton.
11. Seguiment de les poblacions de ratpenats.
12. Seguiment de bioindicadors i objectes de conservació fluvials o d'ambients aquàtics </t>
    </r>
  </si>
  <si>
    <t>Número de seguiments dels elements clau estandaritzats</t>
  </si>
  <si>
    <t>JB/RC</t>
  </si>
  <si>
    <t xml:space="preserve">1.10
2.25
3.25
4.25
5.10
6.10
7.25
8.10
9.15
10.10
11.20                                                                                                                                           </t>
  </si>
  <si>
    <t>1.20
2.25
3.50
4.50
5.20
6.20
7.50
8.20
9.30
10.20
11.40                       12. 20</t>
  </si>
  <si>
    <t>2. 5
3. 10
5. 10
6. 5
7. 10</t>
  </si>
  <si>
    <t>Acció recollida al'OP 01.</t>
  </si>
  <si>
    <t>Base de dades actualitzada</t>
  </si>
  <si>
    <t>Participar en la definició, organització i bolcatge del SINATCAT</t>
  </si>
  <si>
    <t>Participar en la definició, organització i bolcatge de dades del SINATCAT</t>
  </si>
  <si>
    <t>1. Participació a demanda.</t>
  </si>
  <si>
    <t>Percentatge de participació de l'ENP en reunions del SINATCAT</t>
  </si>
  <si>
    <t>JB / RC</t>
  </si>
  <si>
    <t>DI / B</t>
  </si>
  <si>
    <t>punts d'informació</t>
  </si>
  <si>
    <t>Crear sinèrgies i col·laborar amb museus i equipaments de referència per definir línies d'actuació conjuntes del patrimoni natural</t>
  </si>
  <si>
    <t xml:space="preserve">1. Suport en projectes ciutadania (museu de Granollers, CREAF, GEPEC, ICO, CRARCT axus,...).                                                                                   </t>
  </si>
  <si>
    <t>Nombre de museus/equipaments col·laboradors</t>
  </si>
  <si>
    <t>Establir col·laboracions amb les institucions de recerca i naturalistes per al desenvolupament d'estudis i inventaris dins l'ENP en el marc de les seves línies de recerca</t>
  </si>
  <si>
    <t>Segons instruccions de Serveis Centrals, els ENP no poden establir acords</t>
  </si>
  <si>
    <t>1. Realització d'estudis i inventaris de fauna i flora amb institucions de recerca.</t>
  </si>
  <si>
    <t>Nombre de col·laboracions</t>
  </si>
  <si>
    <t>No es potenciarà, però qualsevol iniciativa de ciència ciutadana a l'ENP serà considerada</t>
  </si>
  <si>
    <t>Perquè ja està recollit a l'eix d'Educació, Voluntariat i Comunicació</t>
  </si>
  <si>
    <t>1. Gestió materials i equipaments cedits.</t>
  </si>
  <si>
    <t>Número gestions realitzades</t>
  </si>
  <si>
    <t>Ús públic</t>
  </si>
  <si>
    <t>1. Assistència reunions d'ús públic del SENP.</t>
  </si>
  <si>
    <t>Número de reunions que s'ha assistit</t>
  </si>
  <si>
    <t>1. Seguiment de la freqüentació de l'ENP.                                    
2. Manteniment comptadors de freqüentació.</t>
  </si>
  <si>
    <t>Nombre de punts de recollida de dades</t>
  </si>
  <si>
    <t xml:space="preserve">1. Números d'informes
2. Percentatge de manteniment estat comptadors                                      </t>
  </si>
  <si>
    <t>1. 4
3. 80%</t>
  </si>
  <si>
    <t>1. 4
3. 100%</t>
  </si>
  <si>
    <t>MS/DI</t>
  </si>
  <si>
    <t>AE / B</t>
  </si>
  <si>
    <t>2. 480</t>
  </si>
  <si>
    <t>1. 320</t>
  </si>
  <si>
    <t>1. 80
2. 40</t>
  </si>
  <si>
    <t>Ja els tenim identificats</t>
  </si>
  <si>
    <t>Adaptar i mantenir un registre d'activitats, actors i incidències en ús públic (curses, conflictes, queixes, etc)</t>
  </si>
  <si>
    <t>Manca de recursos humans</t>
  </si>
  <si>
    <t xml:space="preserve">Promoure i/o col·laborar en l'aplicació de Plans de Desenvolupament Local Sostenible </t>
  </si>
  <si>
    <t>Col·laborar d'acord segons promoció del departament o del Consell Comarcal</t>
  </si>
  <si>
    <t>En l'àmbit de formació del departament</t>
  </si>
  <si>
    <t xml:space="preserve">1. Fomentar les sol·licituds d'ajuts enfocades als objectes de conservació de l'ENP.                                                                                                                   2. Manteniment d'infraestructures vinculades a la ramaderia i a l'agricultura.  
3. Instal·lació d'abeuredors alternatius en punts d'aigua d'interès per a la biodiversitat.                         </t>
  </si>
  <si>
    <t>Nombre d'espais objecte de gestió i conservació</t>
  </si>
  <si>
    <t>DI / JB / B / RC</t>
  </si>
  <si>
    <t>2. 960
3. 180</t>
  </si>
  <si>
    <t>1. 20
2. 40
3. 10</t>
  </si>
  <si>
    <t>Es treballa des de la CETS i el seu pla d'accions</t>
  </si>
  <si>
    <t>1. Treball amb la xarxa de ENP per generar un segell comú (responsabilitat de SENP vinculat a Montsant a taula).
2. Establiment dels criteris propis de l'ENP per poder facilitar identificació de productes de qualitat i respectuosos.</t>
  </si>
  <si>
    <t>1. Creació Segell
2. Llistat criteris identificació productes de qualitat i respectuosos</t>
  </si>
  <si>
    <t>1. 1
2. 1</t>
  </si>
  <si>
    <t>DI / NA</t>
  </si>
  <si>
    <t>1. 40                        2. 40</t>
  </si>
  <si>
    <t>1. 50
2. 10</t>
  </si>
  <si>
    <r>
      <t>1. Incloure visites a productors o artesans en l'agenda d'activitats de Parc. Promoció d'activitats a partir de valors locals - de pagès - per fomentar el consum i el coneixement local.</t>
    </r>
    <r>
      <rPr>
        <sz val="11"/>
        <color rgb="FF3D9B35"/>
        <rFont val="Calibri"/>
        <family val="2"/>
        <scheme val="minor"/>
      </rPr>
      <t xml:space="preserve">                                                                                                                      </t>
    </r>
  </si>
  <si>
    <t>Número d'activitats realitzades</t>
  </si>
  <si>
    <t>MS / NA</t>
  </si>
  <si>
    <t>1.30</t>
  </si>
  <si>
    <t xml:space="preserve">Des del parc no es promou cap fira, però en determinats casos es poden establir col·laboracions </t>
  </si>
  <si>
    <t xml:space="preserve">1. Establiment de suport a la gestió de col·laboracions entre les empreses CETS Fase II.                                                                                                  </t>
  </si>
  <si>
    <t>Número accions de suport realitzades</t>
  </si>
  <si>
    <t>1. Diagnosi de Montsant a Taula.
2. Diagnosi del sector turístic del Priorat - CETS.</t>
  </si>
  <si>
    <t>1. Guia Montsant a Taula
2. Diagnosi sector turístic</t>
  </si>
  <si>
    <t>1. 2
2. 2</t>
  </si>
  <si>
    <t xml:space="preserve">1. 10
</t>
  </si>
  <si>
    <t>Promoure els agents del territori que potencien i difonen els productes alimentaris locals i de qualitat (allotjaments, restaurants, cellers, establiments, elaboradors i productors) que afavoreixin la conservació</t>
  </si>
  <si>
    <t>Promoure els agents del territori que potencien i difonen els productes locals i de qualitat (artesanies, allotjaments, restaurants, cellers, establiments, elaboradors i productors) que afavoreixin la conservació</t>
  </si>
  <si>
    <t>1. Avaluació guia Montsant a taula.
2. Dinamització del Montsant a taula.</t>
  </si>
  <si>
    <t>Nova guia "Montsant a taula" actualitzada</t>
  </si>
  <si>
    <t>1. Nova guia actualitzada 
2. Percentatge contactes amb les empreses</t>
  </si>
  <si>
    <t>1. 1                          2. 70 %</t>
  </si>
  <si>
    <t>1. 1                   2. 100%</t>
  </si>
  <si>
    <t xml:space="preserve">NA / AE   </t>
  </si>
  <si>
    <t>1. 10
2. 40</t>
  </si>
  <si>
    <t>1. Incorporació objectius de conservació d’espècies i hàbitats en la revisió dels Plans de Gestió Cinegètica.</t>
  </si>
  <si>
    <t>Percentatge d'informes sobre PTGC on es proposa la incorporació d'aquests objectius</t>
  </si>
  <si>
    <t>Col·laborar en la regulació i ordenació de la caça i la pesca en zones sensibles o amb risc d'afectació d'elements clau objecte de conservació.</t>
  </si>
  <si>
    <r>
      <rPr>
        <sz val="11"/>
        <color rgb="FF3D9B35"/>
        <rFont val="Calibri"/>
        <family val="2"/>
        <scheme val="minor"/>
      </rPr>
      <t>1. Control que no es duguin a terme batudes en zones/períodes sensibles cuabarrada, etc</t>
    </r>
    <r>
      <rPr>
        <sz val="11"/>
        <color rgb="FF000000"/>
        <rFont val="Calibri"/>
        <family val="2"/>
        <scheme val="minor"/>
      </rPr>
      <t>.</t>
    </r>
    <r>
      <rPr>
        <sz val="11"/>
        <color rgb="FFFF0000"/>
        <rFont val="Calibri"/>
        <family val="2"/>
        <scheme val="minor"/>
      </rPr>
      <t xml:space="preserve">                                            </t>
    </r>
  </si>
  <si>
    <t xml:space="preserve">Percentatge batudes que no afecten zones sensibles / elements clau                     </t>
  </si>
  <si>
    <t>1.10</t>
  </si>
  <si>
    <t xml:space="preserve"> 1. Petició d'informació al CAR sobre les indicències causades per les diferents espècies (senglar, cabirol i cabra salvatge especialment): danys conreus, accidents carreteres, degradació hàbitats, etc i mantenir-ne un registre.                                                                                                                                                                                                                </t>
  </si>
  <si>
    <t xml:space="preserve">Percentatge informes de danys rebuts del CAR (del total realitzat)              </t>
  </si>
  <si>
    <t xml:space="preserve">1. 60                       </t>
  </si>
  <si>
    <t xml:space="preserve">1. 20
</t>
  </si>
  <si>
    <t xml:space="preserve">Renovació de la CETS 2026 i canvi d'àmbit d'influència </t>
  </si>
  <si>
    <t>El PN de Montsant va obtenir l'acreditació l'any 2016, per tant, el 2026 efectuaria la 2a renovació, després d'haver demanat a Europar un any de prórroga</t>
  </si>
  <si>
    <r>
      <rPr>
        <sz val="11"/>
        <color rgb="FF3D9B35"/>
        <rFont val="Calibri"/>
        <family val="2"/>
        <scheme val="minor"/>
      </rPr>
      <t xml:space="preserve">1. Execució i prórroga del Pla d'Accions de la CETS del Priorat 2021-2025.
2. Justificació i coordinació del canvi d'àmbit d'influència de la </t>
    </r>
    <r>
      <rPr>
        <sz val="11"/>
        <color rgb="FF3D9B35"/>
        <rFont val="Calibri"/>
        <family val="2"/>
        <scheme val="minor"/>
      </rPr>
      <t>CETS (2025)                                                                                             3. Elaboració de l'informa de Renovació de la CETS pel 2026-2030. 
4. Elaboració del Pla d'Accions 2026-2030 de la CETS del Parc Natural de Montsant (canvi d'àmbit)</t>
    </r>
    <r>
      <rPr>
        <sz val="11"/>
        <color rgb="FF7030A0"/>
        <rFont val="Calibri"/>
        <family val="2"/>
        <scheme val="minor"/>
      </rPr>
      <t xml:space="preserve">
</t>
    </r>
  </si>
  <si>
    <t>Percentatge renovació de la CETS i augment d'empreses fase 2</t>
  </si>
  <si>
    <t>1. Realització pròrroga i memòria 2021-2025                                                             2. Canvi àmbit influència CETS  
3. Informe de renovació               
4. Pla d'accions CETS 2026-2030</t>
  </si>
  <si>
    <t>1. 1                                       2. 1                    3. 1
4. 1</t>
  </si>
  <si>
    <t xml:space="preserve">1. 1                 
2. 2                   3. 1
4. 1
</t>
  </si>
  <si>
    <t>1. 40                
2. 10                          3. 30
4. 300</t>
  </si>
  <si>
    <t>1. 10
2. 40
3. 10
4. 30</t>
  </si>
  <si>
    <t>1.40
2.30
3.40
4.200</t>
  </si>
  <si>
    <t>09.1.3</t>
  </si>
  <si>
    <t>Fomentar la creació d'allotjaments i altres recursos turístics d'acord amb les necessitats i els agents turístics del territori que es vinculin als valors naturals de l'espai</t>
  </si>
  <si>
    <t>En tot cas, es treballaria des del pla d'accions de la CETS</t>
  </si>
  <si>
    <t>Potenciació de la fase 2 de la CETS</t>
  </si>
  <si>
    <t>A l'ENP ja tenim implementat el model de turisme sostenible i de qualitat de la CETS</t>
  </si>
  <si>
    <t xml:space="preserve">1. Augment del número d'empreses acreditades en fase 2
2. Creació i dinamització del grup de treball d'empreses CETS Fase 2.       
3. Desenvolupament d'accions comunes Parc/empreses fase 2.                                                                                                              </t>
  </si>
  <si>
    <t>Percentatge actuacions realitzades potenciar Fase 2 CETS</t>
  </si>
  <si>
    <t xml:space="preserve">1. Número empreses acreditades           2. Número reunions grups empreses CETS                                                              3. Accions comunes realitzades                                      </t>
  </si>
  <si>
    <t>1. 17                  2. 4                     3. 2</t>
  </si>
  <si>
    <t>1.35              
2. 8                 
3. 4</t>
  </si>
  <si>
    <t>NA/MS</t>
  </si>
  <si>
    <t xml:space="preserve">1. 125                      2. 64                         3. 24                       </t>
  </si>
  <si>
    <t>1. 30
2. 10
3. 10</t>
  </si>
  <si>
    <t>1.125
2.30
3.10</t>
  </si>
  <si>
    <t>Ja fem propostes a través de la Fase 2 de la CETS</t>
  </si>
  <si>
    <t>Estandaritzar de regulació d'usos i aprofitaments  en base al model de Pla de protecció</t>
  </si>
  <si>
    <t>10.1.2</t>
  </si>
  <si>
    <t>Ordenar els aprofitaments i extraccions dins l'espai</t>
  </si>
  <si>
    <t>No tenim Pla de protecció</t>
  </si>
  <si>
    <t>Ordenar l'acampada i pernoctació  en base al model de Pla de protecció</t>
  </si>
  <si>
    <t>Ordenar l'acampada i pernoctació  en base a un model estandarditzat de Pla de protecció</t>
  </si>
  <si>
    <t>1. Acords/reunions amb els ajuntaments implicats per determinar les zones de pernocta, acampada i àrees d'autocaravanes
2. Nou document de regulació de l'acampada i la pernoctació.
3. Nou plànol de regulació de l'acampada i la pernoctació 
4. Seguiment del compliment de la regulació per part dels visitants (sol·licitar la presència dels mossos determinats dies de màxima afluència per fer-la complir i "escampar la por" )
5. Pla de comunicació al visitant de la regulació de l'acampada i la pernoctació</t>
  </si>
  <si>
    <t>Nou document de regulació de l'acampada i la pernoctació del Parc d'acord amb les noves ordenances municipials i/o les necessitats del municipi</t>
  </si>
  <si>
    <t>1. Percentatge d'ajuntaments contactats                   
2. Document de regulació de l'acampada i la pernoctació actualitzat                                               3. Plànol de regulació de l'acampada i la pernoctació actualitzat.                                          4. Percentatge del grau de satisfacció dels municipis amb el compliment de la normativa
5. Disseny del pla de comunicació</t>
  </si>
  <si>
    <t>1. 100              2. 1                  3. 1                   4. 75
5. 70</t>
  </si>
  <si>
    <t>1. 100              2. 1                  3. 1              
4. 100
5. 100</t>
  </si>
  <si>
    <t>MS (comunica) / DI</t>
  </si>
  <si>
    <t>1. 30                      2. 30                   3. 40</t>
  </si>
  <si>
    <t>1. 10
2. 10
4. 5
5. 5</t>
  </si>
  <si>
    <t>Ordenar la circulació rodada no motoritzada en base al model de Pla de protecció</t>
  </si>
  <si>
    <t>Ordenar la circulació rodada no motoritzada en base a un model estàndard de Pla de protecció</t>
  </si>
  <si>
    <t xml:space="preserve">1. Quantificació aprox. l'increment del cicloturisme al Parc amb bicicletes elèctriques
2. Seguiment de si existeix degradació de camins/senders per la circulació de bicicletes.                                                     
3. Elaboració llistat o mapa de camins/senders sensibles al pas de bicicletes (tant per la seva degradació com per la "sensibilitat" de la zona)                                                          </t>
  </si>
  <si>
    <t>Mesures executades  per regular la circulació rodada no motoritzada</t>
  </si>
  <si>
    <t xml:space="preserve">1. Cerca rutes bicicleta elèctrica al wikiloc                                                             2. Obertura registre de camins afectats                                                   3. Llistat o mapa de camins/senders sensibles al pas de bicicletes (tant per la seva degradació com per la "sensibilitat" de la zona)                                                          </t>
  </si>
  <si>
    <t>1. 1                    2. 1                      3. 1</t>
  </si>
  <si>
    <t>1. 4                    2. 1                      3. 1</t>
  </si>
  <si>
    <t>1. 20                     2. 5                      3. 30</t>
  </si>
  <si>
    <t>1. 5
2. 5
3. 5</t>
  </si>
  <si>
    <t>5.30</t>
  </si>
  <si>
    <t>Ordenar l'escalada i alpinisme, barranquisme, i espeleologia  en base al model de Pla de protecció</t>
  </si>
  <si>
    <t>Ordenar l'escalada i alpinisme, barranquisme, i espeleologia  en base a un model estàndard de Pla de protecció</t>
  </si>
  <si>
    <t xml:space="preserve">1. Reunions amb la comissió de l'escalada 
2. Substitució de les senyals de regulació d'escalada  antigues d'acord amb nova regulació (xapetes)
3. Col·locació de senyals petites amb codi QR al plànol de regulació a les entrades dels sectors d'escalada
</t>
  </si>
  <si>
    <t xml:space="preserve">Mesures executades  per regular l'escalada </t>
  </si>
  <si>
    <t xml:space="preserve">1. Número reunions amb la comissió de l'escalada.                                                      2. Percentatge substitució de les senyals de regulació d'escalada  antigues d'acord amb nova regulació (xapetes)                                                  
3. Percentatge col·locació de senyals petites amb codi QR al plànol de regulació a les entrades dels sectors d'escalada                     
</t>
  </si>
  <si>
    <t xml:space="preserve">1. 2                    2. 100                      3. 50                 </t>
  </si>
  <si>
    <t xml:space="preserve">1. 4                   2. 100                     3. 100        
</t>
  </si>
  <si>
    <t>1. 20                   2. 20                      3. 25                   4. 10</t>
  </si>
  <si>
    <t>Ordenar les curses i altres activitats esportives organitzades en base al model de Pla de protecció</t>
  </si>
  <si>
    <t>Ordenar les curses i altres activitats esportives organitzades en base a un model estàndard de Pla de protecció</t>
  </si>
  <si>
    <t>1. Reunions amb els promotors de les curses (a peu o en bicicleta) per tal que implementin el Codi de Bones Pràctiques
2. Seguiment de la retirada de la senyalització en 24 hores (Brigada o agents rurals si cal fer acta).</t>
  </si>
  <si>
    <t xml:space="preserve">Percentatge  curses a l'interior del Parc que s'ajusten força al Codi de Bones Pràctiques. </t>
  </si>
  <si>
    <t>1. Percentatge de curses que s'han traslladat fora de l'època de nidificació respecte l'any 2024.                                                                        2. Percentatge de curses en què la senyalització es retira en 24 hores</t>
  </si>
  <si>
    <t xml:space="preserve">1. 75                   1. 75 </t>
  </si>
  <si>
    <t>1. 100               1. 100</t>
  </si>
  <si>
    <t xml:space="preserve">1. 25                   2. 5                      </t>
  </si>
  <si>
    <t>Ordenar els enregistraments i l'observació de fauna i natura en base al model de Pla de protecció</t>
  </si>
  <si>
    <t>Ordenar els enregistraments i l'observació de fauna i natura en base a un model estàndard de Pla de protecció</t>
  </si>
  <si>
    <t>1. Implementació de la normativa i els acords amb el Servei de Fauna en relació a les autoritzacions d'enregistraments i observació de la fauna.</t>
  </si>
  <si>
    <t>Percentatge d'autoritzacions on s'implementa la normativa i els acords amb el Servei de Fauna</t>
  </si>
  <si>
    <t>Ordenar les activitats científiques en base al model de Pla de protecció</t>
  </si>
  <si>
    <t>Ordenar les activitats científiques en base a un model estàndard de Pla de protecció</t>
  </si>
  <si>
    <t>1.  Implementació de la normativa en les autoritzacions de les activitats científiques.</t>
  </si>
  <si>
    <t>Percentatge d'autoritzacions on s'implementa la normativa en relació a les activitats científiques.</t>
  </si>
  <si>
    <t>1. 120</t>
  </si>
  <si>
    <t>Ordenar les zones de bany</t>
  </si>
  <si>
    <t>D'acord amb la normativa per banyar-te necessites autorització expressa del Parc</t>
  </si>
  <si>
    <t>ORDENAR l'ÚS PÚBLIC per a la protecció dels hàbitats, es`pècies i elements geològics</t>
  </si>
  <si>
    <t>Ordenar l'enlairament i aterratge sense motor</t>
  </si>
  <si>
    <t xml:space="preserve">1. Implementació de la normativa en relació a les autoritzacions d'enlairament i aterratge sense motor.                                               
2. Actualització del plànol de limitacions que s'utilitza actualment a les autoritzacions.                                                                                                    3. Seguiment que els usuaris demanen els permisos pertinents (actualment molts no el demanen). </t>
  </si>
  <si>
    <t>Percentatge d'usuaris que demanen autorització</t>
  </si>
  <si>
    <t xml:space="preserve">1. Autoritzacions en què s'implementa la normativa                                                      2. Actualització plànol                                3. Percentatge d'usuaris sense autorització multats                                             </t>
  </si>
  <si>
    <t>1. 100               2. 1                  3. 50</t>
  </si>
  <si>
    <t>1. 100          
2. 1               
3. 100</t>
  </si>
  <si>
    <t xml:space="preserve">1. 40                   2. 20                        3. 5                     </t>
  </si>
  <si>
    <t>Ordenar el submarinisme i l'snorkel</t>
  </si>
  <si>
    <t>No tenim mar</t>
  </si>
  <si>
    <t>Ordenar les activitats aquàtiques i nàutiques i zones de fondeig</t>
  </si>
  <si>
    <t>Ordenar la presència d'animals de companyia</t>
  </si>
  <si>
    <t>A l'espera de l'aprovació del Pla Especial</t>
  </si>
  <si>
    <t>1.Campanya sensibilització portar gossos lligats (Parc t'escolta)</t>
  </si>
  <si>
    <t>Nombre de campanyes realitzades</t>
  </si>
  <si>
    <t>1.5</t>
  </si>
  <si>
    <t>Ordenar lels activitats d'educació ambiental i el lleure educatiu</t>
  </si>
  <si>
    <t>Identificar i classificar la xarxa viària bàsica, secundària, senders i itineraris senyalitzats</t>
  </si>
  <si>
    <t>1. Definició d'una xarxa d'itineraris oficials i categoritzada per tipus d'ús per on es poden realitzar activitats.(CAMINAT). 
2. Divulgació i dinamització del nou Pla d'itineraris del PARC.</t>
  </si>
  <si>
    <t>Número d'itineraris de la xarxa</t>
  </si>
  <si>
    <t>1. Número d'itinerari defintis
2. Número de tríptics interpretatius</t>
  </si>
  <si>
    <t>1. 20
2. 3</t>
  </si>
  <si>
    <t>1. 20
2. 6</t>
  </si>
  <si>
    <t>MS / DI</t>
  </si>
  <si>
    <t>1. 200</t>
  </si>
  <si>
    <r>
      <rPr>
        <sz val="11"/>
        <color rgb="FF3D9B35"/>
        <rFont val="Calibri"/>
        <family val="2"/>
        <scheme val="minor"/>
      </rPr>
      <t xml:space="preserve">1. Treball amb wikiloc o Google Maps. (CAMINAT).                         
2. Treball amb altres plataformes (Komoot i AllTrails).     </t>
    </r>
    <r>
      <rPr>
        <sz val="11"/>
        <color rgb="FF262626"/>
        <rFont val="Calibri"/>
        <family val="2"/>
        <scheme val="minor"/>
      </rPr>
      <t xml:space="preserve">   </t>
    </r>
    <r>
      <rPr>
        <sz val="11"/>
        <color rgb="FFFF0000"/>
        <rFont val="Calibri"/>
        <family val="2"/>
        <scheme val="minor"/>
      </rPr>
      <t xml:space="preserve">                   </t>
    </r>
  </si>
  <si>
    <t>Número de plataformes de rutes de senderisme on apareixen els itineraris oficials del Parc</t>
  </si>
  <si>
    <t xml:space="preserve">1. Percentatge rutes oficials del Parc publicades a wikiloc.                                                        2. Percentatge rutes oficials del Parc publicades a Komoot i AllTrails.  </t>
  </si>
  <si>
    <t>1. 100                     2.  50</t>
  </si>
  <si>
    <t xml:space="preserve">1. 100         
2. 100            </t>
  </si>
  <si>
    <t>JB / MS</t>
  </si>
  <si>
    <t xml:space="preserve">1. 30                   2. 30 </t>
  </si>
  <si>
    <t>Ordenar l'accés i la circulació</t>
  </si>
  <si>
    <t>1. Actualització i millora del document de regulació d'accés motoritzat al Parc Natural (redacció, camins de l'ajuntament de Margalef), així com el/s plànol/s de regulació.
2. Instal·lació tanques/baranes de vehicles necessàries.</t>
  </si>
  <si>
    <t>1. Actualització document de regulació (i plànol/s)
2. Percentatge tanques necessàries instal·lades</t>
  </si>
  <si>
    <t>1. 1
2. 100%</t>
  </si>
  <si>
    <t>1.50</t>
  </si>
  <si>
    <t>2. 1200</t>
  </si>
  <si>
    <t>1. 30
2.  5</t>
  </si>
  <si>
    <t>Ordenar la xarxa viària principal, secundària i restringida</t>
  </si>
  <si>
    <t xml:space="preserve">1. Revisió, actualització i incorporació de senyalització informativa a l'inici dels camins restringits. </t>
  </si>
  <si>
    <t>Percentatge camins restringits senyalitzats</t>
  </si>
  <si>
    <t>1. 35</t>
  </si>
  <si>
    <t>Ordenar l'ús de drons, l'enlairament i l'aterratge</t>
  </si>
  <si>
    <t>Treballar a nivell de parcs</t>
  </si>
  <si>
    <t>1. Implementació de la normativa a les autoritzacions.                   
2. Actualització dels condicionants de les autoritzacions.                  
3. Realització d'una proposta de protocol i plànol de regulació de l'ús de dron (ampliar limitacions) amb servei de Fauna, UIC, etc.                                                                             
4. Valoració de la possibilitat "teòrica" de restringir l'ús de dron per esbarjo (almenys durant l'època de nidificació) a tot el Parc.</t>
  </si>
  <si>
    <t>Nou document de regulació de lús de drons, l'enlairament i l'aterratge</t>
  </si>
  <si>
    <t>1. Percentatge d'autoritzacions on s'implementa la normativa                                             2. Consulta al grup de conservació quines fan servir altres Parcs                     
3. Protocol + plànol regulació drons       
4. Consulta al grup de conservació quins Parcs ho fan + legislació drons PN MontserrPercentatget</t>
  </si>
  <si>
    <t>1. 100              2. 1                  3. 1                     4. 1</t>
  </si>
  <si>
    <t xml:space="preserve">1. 120                   2. 20                        3. 40                    4. 20                     </t>
  </si>
  <si>
    <t>1. 5
3. 5
4 . 5</t>
  </si>
  <si>
    <t>1. Adaptació i implementació del protocol de limitacions temporals d'accés o circulació: Pla Alfa, incendis o catastrofes naturals
2. Coordinació amb el CAR la vinculació amb el Pla Alfa</t>
  </si>
  <si>
    <t xml:space="preserve">Percentatge Implementació del protocol de limitació d'accés o circulació </t>
  </si>
  <si>
    <r>
      <rPr>
        <sz val="11"/>
        <color rgb="FF000000"/>
        <rFont val="Calibri"/>
        <family val="2"/>
        <scheme val="minor"/>
      </rPr>
      <t xml:space="preserve">1. Número de reunions de coordinació amb organismes responsables  </t>
    </r>
    <r>
      <rPr>
        <sz val="11"/>
        <color rgb="FFFF0000"/>
        <rFont val="Calibri"/>
        <family val="2"/>
        <scheme val="minor"/>
      </rPr>
      <t xml:space="preserve">             
</t>
    </r>
    <r>
      <rPr>
        <sz val="11"/>
        <color rgb="FF000000"/>
        <rFont val="Calibri"/>
        <family val="2"/>
        <scheme val="minor"/>
      </rPr>
      <t>2. Percentatge d'implementació del protocol amb el CAR pel Pla Alfa (Brigada)</t>
    </r>
  </si>
  <si>
    <t>1. 1
2. 75%</t>
  </si>
  <si>
    <t>1. 4
2. 100%</t>
  </si>
  <si>
    <t>1. 30</t>
  </si>
  <si>
    <t>2. 1800</t>
  </si>
  <si>
    <t>1. 10
2. 5</t>
  </si>
  <si>
    <t>Ordenar l'aparcament de vehícles</t>
  </si>
  <si>
    <t>A l'espera de l'aprovació del Pla Especial. En general, l'aparcament no genera un problema</t>
  </si>
  <si>
    <t>1.Desenvolupament d'accions derivades del Grup de treball de freqüentació (Margalef/Cornudella).</t>
  </si>
  <si>
    <t>Percentatge acompliment d'accions desenvolupades</t>
  </si>
  <si>
    <t>DI / MS</t>
  </si>
  <si>
    <t>1. Suport als ajuntaments en l'ordenació de l'ús públic municipal.</t>
  </si>
  <si>
    <t>Accions suport realitzades</t>
  </si>
  <si>
    <t>MS / JB</t>
  </si>
  <si>
    <r>
      <rPr>
        <sz val="11"/>
        <color rgb="FF3D9B35"/>
        <rFont val="Calibri"/>
        <family val="2"/>
        <scheme val="minor"/>
      </rPr>
      <t xml:space="preserve">1. Continuació de l'actualització de la cartografia SIG de les senyals del Parc.                                                                    2. Actualització de l'app de senyalètica Survey123.       </t>
    </r>
    <r>
      <rPr>
        <sz val="11"/>
        <color rgb="FFFF0000"/>
        <rFont val="Calibri"/>
        <family val="2"/>
        <scheme val="minor"/>
      </rPr>
      <t xml:space="preserve">                   </t>
    </r>
    <r>
      <rPr>
        <sz val="11"/>
        <color rgb="FF000000"/>
        <rFont val="Calibri"/>
        <family val="2"/>
        <scheme val="minor"/>
      </rPr>
      <t xml:space="preserve">                                                </t>
    </r>
  </si>
  <si>
    <t>Percentatge d'actualització de l'inventari de senyals</t>
  </si>
  <si>
    <t xml:space="preserve">1. Percentatge d'actualització de la cartografia SIG de senyalització                                           2. Percentatge d'actualització de la senyaletica inclosa a l'app Survey123                                                                                                   </t>
  </si>
  <si>
    <t>1. 85                   2. 75</t>
  </si>
  <si>
    <t>1. 100           
2. 100</t>
  </si>
  <si>
    <t xml:space="preserve">1. 50                   2. 20                                           </t>
  </si>
  <si>
    <t>Crear i implantar el programa de senyalització i manteniment</t>
  </si>
  <si>
    <t>No tenim cap programa creat, així que primer l'hem de crear</t>
  </si>
  <si>
    <t xml:space="preserve">1. Creació d'un programa de senyalització, començant pels itineraris oficials, sota la premisa de quan menys millor. 
2. Actualització senyalització (afegir, substituir, eliminació) dels itineraris oficials i cartelleres malmeses (prioritari).
3. Actualització senyalització d'altres senders (secundari).
4. Realització d'un acord amb el Consell Comarcal pel que fa a les seves senyals       </t>
  </si>
  <si>
    <t>Percentatge compliment porgrama senyalització</t>
  </si>
  <si>
    <t xml:space="preserve">1. Creació programa
2. Percentatge d'itineraris oficials amb senyalització actualitzada                         3. Percentatge senyalització propia del Parc en bon estat (exceptuant itineraris)           
4. Acord amb el Consell de què es fa amb la seva senyalització                                    </t>
  </si>
  <si>
    <t>1. 1                   2. 70                 3. 70                        4. 1</t>
  </si>
  <si>
    <t>1. 1               
2. 100            
3. 100              4. 1</t>
  </si>
  <si>
    <t xml:space="preserve">2. 500                   3. 200                L'1 està vinculat amb 2 i 3             4. 20                                        </t>
  </si>
  <si>
    <t>2. 1.800
3. 600</t>
  </si>
  <si>
    <t>1. 5
4. 5</t>
  </si>
  <si>
    <t>No ho potenciem, però  sí que donem suport a les propostes orientades a aquest objectiu</t>
  </si>
  <si>
    <t>1. Campanya de difusió de l'ordenació i regulació de l'ús públic (acampada, pernoctacions, aparcaments . Parc t'escolta.
2. Definició i priortizació de les mesures de regulació.</t>
  </si>
  <si>
    <t>1. Número de materials de difusió
2. Número d'accions de regulació</t>
  </si>
  <si>
    <t>1. 1
2. 5</t>
  </si>
  <si>
    <t>1. 4
2. 15</t>
  </si>
  <si>
    <t>1. 10
2. 10</t>
  </si>
  <si>
    <t xml:space="preserve">1. 120 </t>
  </si>
  <si>
    <t>1. Manteniment i millora dels accessos, aparcaments i centres d'interès.
2. Manteniment dels espais: àrees de lleure, de pernoctació, autocarvanes, etc.
3. Millora i neteja de la xarxa principal de camins, senders i graus.</t>
  </si>
  <si>
    <t>1. Percentatge de sol·licituds de manteniment ateses
2. Percentatge espais mantinguts
3. Percentatge de camins, senders i graus principals mantinguts</t>
  </si>
  <si>
    <t>1. 50%       
2. 50%
3. 75%</t>
  </si>
  <si>
    <t>1. 100% 
2. 100%
3. 100%</t>
  </si>
  <si>
    <t>B / JB</t>
  </si>
  <si>
    <t>1. 20
2. 20                   3. 100</t>
  </si>
  <si>
    <t>1. 3240
2. 3240
3. 9600</t>
  </si>
  <si>
    <t>1. 40
2. 10
3. 5</t>
  </si>
  <si>
    <t>Disposar i mantenir els serveis, equipaments i infraestructures necessàries i accessibles per acollir, informar, facilitar la visita i garantir la seguretat dels visitants i la protecció de l'entorn</t>
  </si>
  <si>
    <r>
      <rPr>
        <sz val="11"/>
        <color rgb="FF3D9B35"/>
        <rFont val="Calibri"/>
        <family val="2"/>
        <scheme val="minor"/>
      </rPr>
      <t xml:space="preserve">1. Revisió i actualització dels equipaments al SIEQ.
2. Redacció i actualització dels protocols de funcionament dels equipaments del Parc que funcionen com a punts d'informació.
3. Trobades amb titulars d'espais emblemàtics (Fundació, Mas Roger).                                                                                                              4. Establiment dels acords necessaris amb la propietat. 
5 .Formacions i actualitzacions a les persones que han d'informar als visitants.
6. Manteniment instal·lacions i equipaments del Parc (seu i Molí de Margalef).
7. Seguiment per resoldre incidències que surgeixen en els equipaments vinculats als punts d'informació.   </t>
    </r>
    <r>
      <rPr>
        <sz val="11"/>
        <color rgb="FF000000"/>
        <rFont val="Calibri"/>
        <family val="2"/>
        <scheme val="minor"/>
      </rPr>
      <t xml:space="preserve">                     </t>
    </r>
    <r>
      <rPr>
        <sz val="11"/>
        <color rgb="FFFF0000"/>
        <rFont val="Calibri"/>
        <family val="2"/>
        <scheme val="minor"/>
      </rPr>
      <t xml:space="preserve">                   
</t>
    </r>
    <r>
      <rPr>
        <sz val="11"/>
        <color rgb="FF000000"/>
        <rFont val="Calibri"/>
        <family val="2"/>
        <scheme val="minor"/>
      </rPr>
      <t xml:space="preserve">
</t>
    </r>
    <r>
      <rPr>
        <sz val="11"/>
        <color rgb="FFFF0000"/>
        <rFont val="Calibri"/>
        <family val="2"/>
        <scheme val="minor"/>
      </rPr>
      <t xml:space="preserve">
</t>
    </r>
  </si>
  <si>
    <t>Percentatge d'equipaments d'acollida revisats i adequats</t>
  </si>
  <si>
    <t>1. SIEQ actualitzat anualment
2. Nombre de protocols
3. Número de trobades
4. Número d'acords
5. Nombre de formacions i actualitzacions
6. Percentatge de manteniments
7. Percentatge seguiment de les incidències</t>
  </si>
  <si>
    <t>1. 4
2. 3
3. 1
4. 0
5. 4
6. 75%</t>
  </si>
  <si>
    <t>1. 4
2. 3
3. 4
4. 10
5. 8
6. 100%</t>
  </si>
  <si>
    <t>AE / B / MS</t>
  </si>
  <si>
    <t>6. 960</t>
  </si>
  <si>
    <t>5. 20
6. 40
7. 80</t>
  </si>
  <si>
    <t>2. 10
3. 40
4. 40
5. 20
6.  30</t>
  </si>
  <si>
    <t>1.40
2.25
5.60</t>
  </si>
  <si>
    <t>Quan el facin, l'apliquem.</t>
  </si>
  <si>
    <t>Quan el facin l'apliquem</t>
  </si>
  <si>
    <t>AE</t>
  </si>
  <si>
    <t>1. Reunions i contacte periòdic amb mossos i agents rurals.</t>
  </si>
  <si>
    <t>Número reunions realitzades</t>
  </si>
  <si>
    <t>El seguiment d'informes i autoritzacions s'ha desenvolupat al punt 03.1.2; es considera que el compliment de la normativa l'ha d'assegurar el cos d'agents rurals i mossos d'esquadra</t>
  </si>
  <si>
    <t>Dels diversos plans d'emergències, estem adscrits al pla logístic i seguirem instruccions de Protecció civil</t>
  </si>
  <si>
    <t>GESTIONAR els RISCOS NATURALS  per a l'autoprotecció de la població local</t>
  </si>
  <si>
    <t>1. Col·laboració amb Protecció Civil i altres cossos competents en seguretat (PROCICAT, plans d’emergència INFOCAT, INUNCAT, etc).
2. Suport brigada en diferents plans d'emergències.
3. Senyalitzacio de zones sense cobertura 112.</t>
  </si>
  <si>
    <t>1. Número reunions realitzades
2. Percentatge d'actuacions
3.  Percentatge de senyalització de zones sense cobertura 112</t>
  </si>
  <si>
    <t>1. 4
2. 100%
3. 50%</t>
  </si>
  <si>
    <t>1. 4
2. 100%
3. 100%</t>
  </si>
  <si>
    <t>2. 240</t>
  </si>
  <si>
    <t>1. 50
3. 10</t>
  </si>
  <si>
    <t>Consolidar la Xarxa de Centres Educatius de Montsant (Priorat)</t>
  </si>
  <si>
    <t>Al nostre ENP ja treballem amb una xarxa d'escoles indirecta perquè l'àmbit d'actuació és comarcal.</t>
  </si>
  <si>
    <t xml:space="preserve">1. Creació/revisió/actualització d'un sentiment de pertinença entre els/les alumnes dels centres educatius de la comarca a través de l'edició anual de l'agenda escolar per a tots els centres.
2. Creació de vincles i xarxa entre els centres escolars a través de la realització d'una jornada conjunta.
3. Coordinació amb les escoles i instituts del Parc a través de la consolidació de la Xarxa de Centres Educatius de Montsant.
4. Creació de la xarxa d'escoles del Montsant.
</t>
  </si>
  <si>
    <t xml:space="preserve">Creació de la Xarcxa d'Escoles del Parc                     </t>
  </si>
  <si>
    <t>1. Número agendes repartides
2. Jornada anual
3. Número de reunions amb els centres
4. Número xarxa d'escoles</t>
  </si>
  <si>
    <t>1. 2100              
2. 2                 
3. 4
4. 1</t>
  </si>
  <si>
    <t>1. 2400                  2. 2                     3. 8
4. 1</t>
  </si>
  <si>
    <t>MS/            AE                MP</t>
  </si>
  <si>
    <t>1. 40                            2. 160                           3. 160                            4. 160</t>
  </si>
  <si>
    <t>Previst en la nova licitació d'educació ambiental i punts d'informació</t>
  </si>
  <si>
    <t xml:space="preserve">1. Trobada xarxa d'escoles de l'espai natural.                                     
2. Projecte comú: l'agenda.                                                                  </t>
  </si>
  <si>
    <t>1. Nombre de trobades de la xarxa       
2. Actualització del projecte comú</t>
  </si>
  <si>
    <t>1. 4
2. 4</t>
  </si>
  <si>
    <t>AE / NA</t>
  </si>
  <si>
    <t>1. 32                        2. 16</t>
  </si>
  <si>
    <t>1. 80        
2. 20</t>
  </si>
  <si>
    <t>1. Formacions sobre els valors de Montsant al professorat dels centres educatius locals.</t>
  </si>
  <si>
    <t>Número de formacions sobre els valors de Montsant
(una cada any a ZER Montsant - Serra de Prades més Cornudella)</t>
  </si>
  <si>
    <t>1. 16</t>
  </si>
  <si>
    <t>1. Consolidació de la campanya escolar Coneguem el Parc Natural de Montsant.</t>
  </si>
  <si>
    <t>Número d'activitats amb escoles</t>
  </si>
  <si>
    <t>AE /NA</t>
  </si>
  <si>
    <t>1. 400</t>
  </si>
  <si>
    <t>En aquest pla es prioritzen altres objectius operatius, amb els recursos existents</t>
  </si>
  <si>
    <t>1. Disposició de nous recursos educatius per als centres.
2. Actualització i dinamització de l'inventari de recursos educatius (difusió web, CRP...).
3. Cessió de materials als centres educatius.
4. Incloure visites a productors o artesans i promoció d'activitats a partir dels productes locals dins la campanya d'educació ambiental adreçada als centres educatius.</t>
  </si>
  <si>
    <t>Nombre de recursos educatius disponibles</t>
  </si>
  <si>
    <t>1. Número de nous recursos educatius
2. Nous recursos educatius incorporats a l'inventari de recursos pedagògics
3. Número de cessions als centres educatius
4. Número d'activitats</t>
  </si>
  <si>
    <t>1. 4                      2. 4
3. 8  
4. 4</t>
  </si>
  <si>
    <t>1. 8                
2. 8
3. 16
4. 8</t>
  </si>
  <si>
    <t xml:space="preserve">1. 200
2. 80   
3. 80
4. 200                           </t>
  </si>
  <si>
    <t>Acollir estudiants de final de grau i pràctiques en empreses, de diferents centres universitaris i de recerca per a promoure el coneixement i donar suport al món acadèmic</t>
  </si>
  <si>
    <t>1. Acollida d'un mínim d'estudiants al Parc.</t>
  </si>
  <si>
    <t>Nombre estudiants acollits</t>
  </si>
  <si>
    <t xml:space="preserve">DI </t>
  </si>
  <si>
    <t>TOTS</t>
  </si>
  <si>
    <t>13.2.5</t>
  </si>
  <si>
    <t>Desplegar el Pla estratègic 2021-2030 d'educació ambiental i voluntariat ambiental de Parc Natural de la Serra de Montsant (PEEVA): Educació ambiental</t>
  </si>
  <si>
    <t>1. Vinculació de les accions del programa general al programa d'educació ambiental del Parc Natural de la Serra de Montsant.</t>
  </si>
  <si>
    <t>Percentatge de les accions vinculades</t>
  </si>
  <si>
    <t>AE/NA</t>
  </si>
  <si>
    <t>Queda inclòs a l'objectiu operatiu 13.3.1</t>
  </si>
  <si>
    <t>1. Coordinació amb el Agents Rurals en els continguts de l'oferta pedgògica als centres educatius.
2. Coordinació amb el Consorci de l'ENS Serra de Llaberia en els continguts de l'oferta pedgògica als centres educatius.
3. Coordinació i exploració de les vies de col·laboració amb Taxus com agent clau de la dinamitazció del voluntariat ambiental a la comarca.
4. Coordinació amb el GEPEC.
5. Coordinació i assessorament amb La Mandorla. Camp de treball de joventut.</t>
  </si>
  <si>
    <t>Nombre de col·laboracions amb agents claus del territori</t>
  </si>
  <si>
    <t>1. Número de reunions de coordinació
2. Número de reunions de coordianció
3. Número de reunions de coordinació treball
4. Número de reunions de coordinació treball
5. Número de reunions de coordinació treball</t>
  </si>
  <si>
    <t>1. 4              
2. 4                  
3. 4
4.4
5. 4</t>
  </si>
  <si>
    <t>1. 8                         2. 8                       3. 8 
4. 8
5. 8</t>
  </si>
  <si>
    <t xml:space="preserve">AE </t>
  </si>
  <si>
    <t>DI / MS / NA</t>
  </si>
  <si>
    <t xml:space="preserve">1. 80                                         2. 80                                         3. 80  </t>
  </si>
  <si>
    <t>3. 20
4. 10
5. 10</t>
  </si>
  <si>
    <t>5.15</t>
  </si>
  <si>
    <t xml:space="preserve">1. Realització del curs de formació de Bons coneixedors/es.
2. Realització de cursos de formació per acreditar punts d'informació del parc i actualització dels continguts.     
3. Realització de cursos d'actualització de les formacions de bon coneixedor i punt d'informació.                                         </t>
  </si>
  <si>
    <t>Nombre de cursos realitzats</t>
  </si>
  <si>
    <t xml:space="preserve">1.  Número alumnes acreditats com a bons coneixedors
2. Número de punts d'informació acreditats    
3. Número d'assistents al curs d'actualització                  </t>
  </si>
  <si>
    <t>1. 5                      1. 15                         
3. 50</t>
  </si>
  <si>
    <t xml:space="preserve">1. 10                    2. 30
3. 100                          </t>
  </si>
  <si>
    <t>DI / NA / AE</t>
  </si>
  <si>
    <t>1. 40
2. 80
3. 40</t>
  </si>
  <si>
    <t>1. 30
2. 30                          3. 30</t>
  </si>
  <si>
    <t>1. 40     
2. 50
3. 40</t>
  </si>
  <si>
    <t xml:space="preserve">1. 40
2. 50
3. 20
</t>
  </si>
  <si>
    <t>1.250
2.240
3.90</t>
  </si>
  <si>
    <t xml:space="preserve">1. Participació en la concreció dels missatges i peces creatives de la campanya de la DG.
</t>
  </si>
  <si>
    <t>Número accions realitzades</t>
  </si>
  <si>
    <t xml:space="preserve">1. Programació de l'agenda d'activitats del Parc dirigida a públic familiar.
</t>
  </si>
  <si>
    <t xml:space="preserve">Número d'activitats dins la programació de l'agenda d'activitats
</t>
  </si>
  <si>
    <t xml:space="preserve">1. MS  </t>
  </si>
  <si>
    <t>NA / AE / B ???</t>
  </si>
  <si>
    <t>1. Realització d'una diagnosi de les possibles activitats a incorporar.</t>
  </si>
  <si>
    <t>Informe diagnosi</t>
  </si>
  <si>
    <t>Aquestes activitats s'organitzen quan sorgeix la demanda</t>
  </si>
  <si>
    <r>
      <rPr>
        <sz val="11"/>
        <color rgb="FFFF0000"/>
        <rFont val="Calibri"/>
        <family val="2"/>
      </rPr>
      <t xml:space="preserve">
</t>
    </r>
    <r>
      <rPr>
        <sz val="11"/>
        <color rgb="FF000000"/>
        <rFont val="Calibri"/>
        <family val="2"/>
      </rPr>
      <t xml:space="preserve">
</t>
    </r>
  </si>
  <si>
    <t>Establir col·laboracions amb entitats del territori (excursionistes)</t>
  </si>
  <si>
    <t xml:space="preserve">1. Concreció de les activitats conjuntes amb entitats esportives del territori (AECM i AEM).
</t>
  </si>
  <si>
    <t>Número de reunions</t>
  </si>
  <si>
    <t xml:space="preserve">1. Promoció d'activitats conjuntes de sensibilització amb les empreses Fase 2 de la CETS (pla d'accions de les empreses).
</t>
  </si>
  <si>
    <t>Contemplat al 13.4.2</t>
  </si>
  <si>
    <t>1.Desenvolupament del Pla d'acció de voluntariat amb Taxus.                                                                                                            2. Implicació de la ciutadania en la gestió de l'ENP a partir de programes de voluntariat.</t>
  </si>
  <si>
    <t>1. Número d'accions realitzades.            
2. Número de programes de voluntariat</t>
  </si>
  <si>
    <t xml:space="preserve">1. 1                  2. 1 </t>
  </si>
  <si>
    <t>1. 4               
2. 4</t>
  </si>
  <si>
    <t>1. 120  
2. 20</t>
  </si>
  <si>
    <t xml:space="preserve">1. Creació d'iniciatives comunitàries entre la Brigada del Parc i els veïns i veïnes per millorar la neteja dels boscos, a partir d'accions de voluntariat.
2. Desenvolupar el Pla de voluntariat de la comarca que afecti a l'ENP.                                                                                        
</t>
  </si>
  <si>
    <t>1. Número d'accions realitzades
2. Número d'accions realitzades</t>
  </si>
  <si>
    <t>1. 4
2. 0</t>
  </si>
  <si>
    <t>1. 8
2. 4</t>
  </si>
  <si>
    <t>13.6.3</t>
  </si>
  <si>
    <t>Desplegar el Pla Estratègic 2021-2030 d'educació ambiental i voluntariat ambiental del Parc Natural de la Serra de Montsant (PPEVA): Voluntariat</t>
  </si>
  <si>
    <t>1. Vinculació de les accions del programa general al programa de voluntariat del Parc Natural de la Serra de Montsant.</t>
  </si>
  <si>
    <t>1. Programa "Montsant escenari de diversitat".</t>
  </si>
  <si>
    <t>Número d'activitats del programa</t>
  </si>
  <si>
    <t>1.80</t>
  </si>
  <si>
    <t>1. Activitats de l'agenda realitzades per dones del territori.</t>
  </si>
  <si>
    <t>Número d'activitats</t>
  </si>
  <si>
    <t>Entenem que ja tenim itineraris saludables en l'oferta actual</t>
  </si>
  <si>
    <t>Millor rural</t>
  </si>
  <si>
    <t>1. Incorporació al pla d'acció de la CETS, o la seva renovació, l'Eix Salut i Natura.
2. Incorporació als cursos i formacions de l'ENP elements de la interdependència salut i natura. 
3. Oferiment i difusió dels recursos que es generin en relació aquesta temàtica a la Xarxa d'Escoles del parc, entitats i altres agents del territori.</t>
  </si>
  <si>
    <t>1. Número d'accions relacionades amb l'eix salut i natura
2. Número d'hores de les formacions dedicades a salut i natura
3. Número de recursos</t>
  </si>
  <si>
    <t>1. 2
2. 4
3. 4</t>
  </si>
  <si>
    <t>1. 4
2. 6
3. 8</t>
  </si>
  <si>
    <t>3. 30</t>
  </si>
  <si>
    <t>3. 40</t>
  </si>
  <si>
    <t>1.10
2.25</t>
  </si>
  <si>
    <t>Desplegar i/o participar a les Taules territorials de Salut i Natura</t>
  </si>
  <si>
    <t>No hi estem convocats</t>
  </si>
  <si>
    <t>1. Realització a petició de sessions informatives Memòria Anual.                      
2. Organització periòdica de jornades de Parc 
3. Organització de seminaris temàtics.</t>
  </si>
  <si>
    <t>Número de sessions dedicades a explicació de les línies de gestió de l'ENP</t>
  </si>
  <si>
    <t>1. Número de sessions a poble
2. Número de jornades
3. Número de seminaris</t>
  </si>
  <si>
    <t>1. 1
2. 1
3. 2</t>
  </si>
  <si>
    <t>1. 9
2. 2
3. 4</t>
  </si>
  <si>
    <t>DI/JB/RC/NA/AE</t>
  </si>
  <si>
    <t>1. 20
2. 20
3. 20</t>
  </si>
  <si>
    <t>2. 20</t>
  </si>
  <si>
    <t>1. 100
2. 20
3. 20</t>
  </si>
  <si>
    <t>1.25 
2.300
3.40</t>
  </si>
  <si>
    <t>1. Facilitació a la societat els estudis i informes que s'han fet del Parc (accés web).
2.  Disposició del  programari servei de parcs. 
3. Organització del banc d'imatges.</t>
  </si>
  <si>
    <t>1. Número d'estudis accessibles
2. Programari de banc d'imatges</t>
  </si>
  <si>
    <t>1. 70%
2. 25%</t>
  </si>
  <si>
    <t>1. 100%
2. 50%</t>
  </si>
  <si>
    <t>1 o 3. 60</t>
  </si>
  <si>
    <t xml:space="preserve">1. Disseny i instal·lació de l'exposició permanent del parc a la seu.
2. Realització de materials i activitats dedicades a la flora i fauna de Montsant.
3. Creació de material divulgatiu a partir de campanyes de comunicació elaborades conjuntament amb Serveis Centrals.
4. Foment de la formació de l'equip del Parc.
5. Manteniment del Centre de Documentació.
</t>
  </si>
  <si>
    <t>Número de materials i accions divulgatives sobre els valors del Parc</t>
  </si>
  <si>
    <t>1.Exposició permanent instal·lada i oberta
2. Número d'activitats
3. Número de materials diferents
4. Número de sessions de formació interna
5. Número d'exemplars nous al CD</t>
  </si>
  <si>
    <t>1. 1
2. 8
3. 8
4. 4
5. 6</t>
  </si>
  <si>
    <t>1. 1
2. 16
3. 16
4. 8
5. 20</t>
  </si>
  <si>
    <t>5. 90</t>
  </si>
  <si>
    <t xml:space="preserve">1. 60
2. 20
3. 20
4. 10
</t>
  </si>
  <si>
    <t>1.700
2.50
3.25
4.10</t>
  </si>
  <si>
    <t>1.Publicació del butlletí digital mensual.
2. Publicació bianual butlletí paper "El Parc informa".
3. Creació  i manteniment del ebando del Parc Natural de Montsant.
4. Ordenació i actualització del web segons el format i estàndards establerts des de Serveis Centrals. Incorporació d'apartat "Preguntes freqüents" (Equilibri natural).
5. Revisió i actualització de les cartelleres informatives del Parc als pobles.
6. Millora de la comunicació digital (QR, xarxes socials...) i manteniment de les xarxes socials del Parc.
7. Reunions d'equip periòdiques amb una freqüència no superior a 15 dies.                                                                                                            8. Sortida trimestral de l'equip del Parc per a conèixer les gestions al territori.
9. Reunions bimensuals de coordinació de la Xarxa dels grups de conservació, d’ús públic i turisme, de gestió econòmica o RAE, d’educació ambiental, de centres de documentació, de millora rural i de direcció.</t>
  </si>
  <si>
    <t>1. Número de butlletins digitals
2. Número de butlletí "El Parc Informa"
3. Número de publicacions en bando
4. Actualització de continguts a la web vigent
5. Número de renovacions cartelleres actualitzades
6. Número publicacions digitals
7. Número de reunions                             8. Número de sortides</t>
  </si>
  <si>
    <t>1. 48
2. 2
3. 200
4. 60%
5. 90%
6. 60
7. 96%
8. 16%</t>
  </si>
  <si>
    <t>1. 55
2. 2
3. 500
4. 90%
5. 100%
6. 300
7. 100% 
8. 100%</t>
  </si>
  <si>
    <t>/RC/JB/NA/AE</t>
  </si>
  <si>
    <t>Hores?                   7. 200              
8. 84</t>
  </si>
  <si>
    <t>2.20
4.30
7. 200
8. 50
9. 120</t>
  </si>
  <si>
    <t>6. 280
7. 200</t>
  </si>
  <si>
    <t>7. 200</t>
  </si>
  <si>
    <t>4. 160  
7. 200  
8. 60
9. 100</t>
  </si>
  <si>
    <t>1. 10
2. 10
3. 10
4. 20
7. 100
8. 50
9. 100</t>
  </si>
  <si>
    <t>1.300
2.200
3.30
4.350
5.40
6.350
7.300
8.60</t>
  </si>
  <si>
    <t>1. Planificació i disseny de la comunicació de cada Parc conjuntament amb els Serveis Centrals,  per garantir-ne la imatge corporativa i la coherència com a xarxa (publicacions, xxss, web, NP, merxandatge etc).
2. Implementació dels protocols vigents d'informació i comunicació.
3. Aplicació dels manuals existents i vigents en quan a comunicació corporativa.
4. Elaboració i aplicació del Pla de comunicació de l'ENP.
5. Aplicació del protocol comunicatiu específic per a Juntes Rectores d'ENP.</t>
  </si>
  <si>
    <t>Percentatge de les comunicacions/materials difosos harmonitzats amb la xarxa de PN</t>
  </si>
  <si>
    <t xml:space="preserve">1. Reunions de treball amb Serveis Centrals i gabinet comunicació
2.Percentatge aplicació document dels protocols vigents d'informació
3. Percentatge aplicació manual actualitzat de comunicació corporativa
4. Percentatge compliment dels indicadors del Pal de comunicació de l'ENP
5. Percentatge aplicació protocol comunicatiu de juntes rectores
</t>
  </si>
  <si>
    <t>1. 4
2. 50%
3. 50%
4. 50%
5. 50%</t>
  </si>
  <si>
    <t>1. 8
2. 100%
3. 100%
4. 100%
5. 100%</t>
  </si>
  <si>
    <t xml:space="preserve">1. 10
2. 10
3. 10
4. 20
5. 20
</t>
  </si>
  <si>
    <t>El parc disposa de la Comissió Permanent i de la Junta rectora i, en aquest pla es prioritzen altres objectius operatius, amb els recursos existents</t>
  </si>
  <si>
    <t>Mai s'ha disposat d'assessorament científic i no es preveu en els propers 4 anys</t>
  </si>
  <si>
    <t>Continuem amb la governança actual mentre no s'estableixi una governaça alternativa per part dels SSCC</t>
  </si>
  <si>
    <t>Direcció</t>
  </si>
  <si>
    <t>Gestionar i administrativament els pressupostos anuals d'entrades i despeses</t>
  </si>
  <si>
    <t xml:space="preserve">Gestionar i millorar administrativament els pressupostos anuals d'entrades i despeses </t>
  </si>
  <si>
    <t>1. Ús i aplicació del nou sistema de seguiment pressupostari conjunt per a tots els ENP per al control de les despeses (quan entri en funcionament).
2. Aplicació del manual per al règim de gestió econòmica als ENP per traspassar dades al RAE.
3. Participació dels espais de coordinació entre ENP per identificar les despeses comunes tramitables a càrrec del pressupost de la DG.</t>
  </si>
  <si>
    <t>Percentatge compliment pressupost anual</t>
  </si>
  <si>
    <t>1. Número de gestions del programa comptable         
2. Actualitzacions anuals del manual i noves normatives i decrets       
3. Reunions de RAE</t>
  </si>
  <si>
    <t>Administració</t>
  </si>
  <si>
    <t>BN</t>
  </si>
  <si>
    <t>1.</t>
  </si>
  <si>
    <t>MILLORAR l'EFICIÈNCIA de la GESTIÓ administrativa</t>
  </si>
  <si>
    <t>Planificar, detectar les necessitats de contractació de l'ENP per a l'optimització dels contractes a nivell de Xarxa i gestionar els contractes</t>
  </si>
  <si>
    <t xml:space="preserve">1. Participació dels espais de coordinació entre ENP per detectar necessitats conjuntes que es puguin agrupar en contractes únics (amb o sense lots) o en convocatòries amb concurrència.
2. Encaix de les necessitats específiques de cada ENP a les necessitats conjuntes detectades a nivell de Xarxa.
</t>
  </si>
  <si>
    <t>Número de nous contractes realitzats de forma coordinada amb altres espais</t>
  </si>
  <si>
    <t>DI/NA/MS/AE</t>
  </si>
  <si>
    <t xml:space="preserve">1. 20
2. 20
</t>
  </si>
  <si>
    <t>Planificar i gestionar els ajuts</t>
  </si>
  <si>
    <t>1. Gestió tècnica i administrativa dels expedients.
2. Treball amb SSCC per adaptar les convocatòries d'ajuts a les necessitats de l'ENP.
3. Foment de la sol·licitud d'ajuts d'actuacions estratègiques del parc.</t>
  </si>
  <si>
    <t xml:space="preserve">Percentatge de convocatòries d'ajut gestionades integrament </t>
  </si>
  <si>
    <t>1. Percentatge expedients tramitats      2. Número aportacions a les convocatòries d'ajuts                               3. Percentatge d'expedients d'ajuts realment interessants pel Parc</t>
  </si>
  <si>
    <t>1. 100 %                   2. 1                  3. 35 %</t>
  </si>
  <si>
    <t>1. 100 %         2. 4                     3. 100 %</t>
  </si>
  <si>
    <t>DI / BN</t>
  </si>
  <si>
    <t>1.850                   2. 10                      3. 60</t>
  </si>
  <si>
    <t>1. 600                       2. 20                          3. 100</t>
  </si>
  <si>
    <t>1. 100
2. 10
3. 40</t>
  </si>
  <si>
    <t>Des de fa anys no realitzaem ni convenis ni acords.</t>
  </si>
  <si>
    <t>1. Manteniment d'una comunicació continuada amb l'UGA.
2. Implementació de gestor d'expedients.</t>
  </si>
  <si>
    <t>1. Grau compliment recomanacions UGA.
2. Grau Implementació de gestor d'expedients</t>
  </si>
  <si>
    <t>1. 75%             2. 100%</t>
  </si>
  <si>
    <t>1. 100%        
2. 100%</t>
  </si>
  <si>
    <t>JB / RC / NA</t>
  </si>
  <si>
    <t>1. 20
2. 100</t>
  </si>
  <si>
    <t>1. 20                         2. 80</t>
  </si>
  <si>
    <t>1. Ús dels formularis simplificats.
2. Implementació de gestor d'expedients.</t>
  </si>
  <si>
    <t>1. Grau d'ús dels formularis simplificats.
2. Grau d'implementació de gestor d'expedients.</t>
  </si>
  <si>
    <t>BN / MB</t>
  </si>
  <si>
    <t>En funció de les necessitats</t>
  </si>
  <si>
    <t>1. Adequar les norves normatives de procediemnt administratiu.</t>
  </si>
  <si>
    <t>Conèixer la nova normativa de procediment administrtiu</t>
  </si>
  <si>
    <t>BN/ MB</t>
  </si>
  <si>
    <t>1. Difusió o permís de l'accés a la informació pública.
2. Atenció de les sol·licituds d'informació.</t>
  </si>
  <si>
    <t>Percentatge de resposta a tota la informació sol.licitada (peticions efectuades i actualització informació pàgina web)</t>
  </si>
  <si>
    <t>1. 160
2. 160</t>
  </si>
  <si>
    <t>1. 20
2. 80</t>
  </si>
  <si>
    <t>Millorar i mantenir el material,  infraestructures i equipaments de gestió de l'espai</t>
  </si>
  <si>
    <t>1. Millora del material i els serveis informàtics.
2. Compra de material d'oficina.
3. Reparació i millora del material de la brigada.</t>
  </si>
  <si>
    <t xml:space="preserve">Percentage del control i millora del material pel bon funcionament de la gestió del parc </t>
  </si>
  <si>
    <t>1. Percentatge bon funcionament dels equips informàtics.                                                 2. Compra de material.                                                    3. Percentatge adquisició i millora eines i material per la brigada</t>
  </si>
  <si>
    <t>1. 100 %
3. 75%</t>
  </si>
  <si>
    <t>1. 100 %
3. 100%</t>
  </si>
  <si>
    <t>1. 50
2. 44</t>
  </si>
  <si>
    <t>3. 1.920</t>
  </si>
  <si>
    <t xml:space="preserve">1. Revisió de tota la documentació relativa als béns patrimonials de l'ENP.
2. Traspàs de tota la informació del béns patrimonials i col·laborar amb el Servei de Contractació i Patrimoni per tramitar els expedients de cessió de titularitat, declaracions d'obra nova, compra, lloguer...             </t>
  </si>
  <si>
    <t xml:space="preserve">    </t>
  </si>
  <si>
    <t>1. Percentatge del control dels béns patrimonials del parc.                                                               2. Percentatge atenció peticions del servei de contractació</t>
  </si>
  <si>
    <t>1. 60%
2. 100%</t>
  </si>
  <si>
    <t>1. 100%
2. 100%</t>
  </si>
  <si>
    <t>1.150
2. 150</t>
  </si>
  <si>
    <t>Tenir cobertes les pèrdues o danys materials del patrimoni de la Direcció General que hi ha a l'àmbit territorial del Parc, com a conseqüència de la materialització de qualsevol dels riscs emparats en el plec de prescripcions tècniques de la pòlissa</t>
  </si>
  <si>
    <t>1. Revisió de que tots els equipaments del parc estiguin correctament assegurats dins la pòlissa d'assegurança de danys materials (número 86-5034332) de la Generalitat, en col·laboració amb  serveis centrals i d'acord amb les seves directrius.
2. Col·laboració amb el Servei de Contractació i Patrimoni per tramitar les assegurances dels béns patrimonials.</t>
  </si>
  <si>
    <t>Percentatge d'equipaments i béns assegurats/amb alarma</t>
  </si>
  <si>
    <t xml:space="preserve">1. Percentatge actualització i revisió de les assegurances i contracte alarmes
2. Percentatge resposta petició col·laboracions          </t>
  </si>
  <si>
    <t>1. 100%
1. 100%</t>
  </si>
  <si>
    <t>2. 100%
2. 100%</t>
  </si>
  <si>
    <t>BN/ DI / MB</t>
  </si>
  <si>
    <t>1. 20
2. 10</t>
  </si>
  <si>
    <t>BERTA</t>
  </si>
  <si>
    <t>Millorar l'accessibilitat i la gestió documental i digital de l'ENP</t>
  </si>
  <si>
    <r>
      <rPr>
        <sz val="11"/>
        <color rgb="FFF85C26"/>
        <rFont val="Calibri"/>
        <family val="2"/>
        <scheme val="minor"/>
      </rPr>
      <t xml:space="preserve">1. Desenvolupament del repositori digital, recollint, preservant i difonent la informació generada.
</t>
    </r>
    <r>
      <rPr>
        <sz val="11"/>
        <color rgb="FF3D9B35"/>
        <rFont val="Calibri"/>
        <family val="2"/>
        <scheme val="minor"/>
      </rPr>
      <t xml:space="preserve">2. Catalogació i digitalització del fons documental.
</t>
    </r>
    <r>
      <rPr>
        <sz val="11"/>
        <color rgb="FFF85C26"/>
        <rFont val="Calibri"/>
        <family val="2"/>
        <scheme val="minor"/>
      </rPr>
      <t xml:space="preserve">3. Millora de l'accessibilitat documental al web.
</t>
    </r>
    <r>
      <rPr>
        <sz val="11"/>
        <color rgb="FF3D9B35"/>
        <rFont val="Calibri"/>
        <family val="2"/>
        <scheme val="minor"/>
      </rPr>
      <t xml:space="preserve">4. Actualització de la base de dades en format GIS dels elements a conservar.
</t>
    </r>
  </si>
  <si>
    <t>Percentatge documents digitalitzats</t>
  </si>
  <si>
    <t>1. Percentatge d'estudis registrats al repositori digital
2. Número d'exemplars catalogats
3. Percentatge del web accessible
4. Percentatge actualització base de dades GIS</t>
  </si>
  <si>
    <t>1. 50%
2. 50
3. 20%
4. 25%</t>
  </si>
  <si>
    <t>1. 100%
2. 80
3. 80%
4. 75%</t>
  </si>
  <si>
    <t>MS / RC</t>
  </si>
  <si>
    <t>4. 50</t>
  </si>
  <si>
    <t>1.50
2.50</t>
  </si>
  <si>
    <t>4. 100</t>
  </si>
  <si>
    <t>3.80</t>
  </si>
  <si>
    <t>Gestionar la brigada de manteniment</t>
  </si>
  <si>
    <t>1. Gestió administrativa personal brigada.</t>
  </si>
  <si>
    <t>Percentatge gestió dels calendaris de treball i vacances</t>
  </si>
  <si>
    <t>MB / B</t>
  </si>
  <si>
    <t>Gestionar, enfortir i consolidar l'equip de gestió del parc</t>
  </si>
  <si>
    <t>1. Consolidació de la plaça d'administració a jornada complerta. 
2. Consolidació dels tècnics i l'administratiu de reforç com a plantilla fixa.</t>
  </si>
  <si>
    <t>1. Número places administració a jornada complerta consolidades
2. Número de tècnics/ques administratiu/va reforç amb plantilla fixa</t>
  </si>
  <si>
    <t>1. 1                         2. 3</t>
  </si>
  <si>
    <t>1.1                    
2. 3</t>
  </si>
  <si>
    <t>1. 10
2. 20</t>
  </si>
  <si>
    <t>16.6.3</t>
  </si>
  <si>
    <t>Gestió ordinària i d'imprevistos no contemplats en cap dels objectius operatius anteriors</t>
  </si>
  <si>
    <t>1. Redacció de les memories del Parc: memòria anual, memòria reduïda i resum d'actuacions (memòria reduïda format titulars).
2. Elaboració i tramitació de documentació administrativa.
3. Atenció telefònica i visitants al punt d'informació.
4. Gestió del correu electrònic bústia general.
5. Control estoc de material de venda i noves encomanes.
6. Gestió de reunions Junta Rectora.
7. Suport àrea de direcció i Tècnics.
8. Gestió de tasques sobrvingudes a nivell administratiu.
9. Altres.</t>
  </si>
  <si>
    <t>1. Número de memòries redactades  (anual, reduïda i resum d'actuacions format titulars)    
2. Redacció i tramitació documentació administrativa                                          
3. Control de trucades i visitants per control estadístic                                           4. Control estadístic de peticions via correu electrònic                                         5. Número de Juntes Rectores anuals.  
6. Peticions de suport per les diferens àrees
7. Gestions administratives
8. Imprevistos</t>
  </si>
  <si>
    <t>1. 12                            2. 100%                             3. 100%                    4. 100%                 5. 100%  
6. 100%
7. 100%          8. 100%</t>
  </si>
  <si>
    <t>1. 12 
2. 100% 
3. 100% 
4. 100% 
5. 100% 
6. 100%
7. 100%               8. 100%</t>
  </si>
  <si>
    <t>BN/MB</t>
  </si>
  <si>
    <t>8. 1400</t>
  </si>
  <si>
    <t xml:space="preserve">1. 40      
2. 400
3. 200
4. 700
5. 200
6. 600
7. 759             </t>
  </si>
  <si>
    <t>7. 1800</t>
  </si>
  <si>
    <t>1. 1000                          3. 80
7. 400                            8. 240</t>
  </si>
  <si>
    <t xml:space="preserve">1. 100
2. 50
3. 100
4. 100
6. 100
9. 1500
</t>
  </si>
  <si>
    <t>TOTAL HORES PERSONA</t>
  </si>
  <si>
    <t>També ho gestiona David Iturria</t>
  </si>
  <si>
    <t>211.0001 - Conservació, reparació i manteniment en material de transport</t>
  </si>
  <si>
    <t>Desplaçaments fets: Sí</t>
  </si>
  <si>
    <t>Material no inventariable comprat: Sí</t>
  </si>
  <si>
    <t>Vestuari comprat: Sí</t>
  </si>
  <si>
    <t>Comissions pagades: Sí</t>
  </si>
  <si>
    <t>Número dipòsits aigua: 60</t>
  </si>
  <si>
    <t xml:space="preserve">Aigua </t>
  </si>
  <si>
    <t>Material brigada comprat: Sí</t>
  </si>
  <si>
    <t>Manteniment maquinària: Sí</t>
  </si>
  <si>
    <t>Combustible maquinària comprat: Sí</t>
  </si>
  <si>
    <t>Manteniment fets: Sí</t>
  </si>
  <si>
    <t>Imprevistos solventats: Sí</t>
  </si>
  <si>
    <t>Aigua consumida: 135 m3</t>
  </si>
  <si>
    <t>Número alumnes:15</t>
  </si>
  <si>
    <t>Edició agenda escolar, inclosa la revisió lingüística</t>
  </si>
  <si>
    <t>Número alumnes acreditats com a bon coneixedor: 26 (inscrits)</t>
  </si>
  <si>
    <t>Número exemplars: 2</t>
  </si>
  <si>
    <t>Número de materials per temàtica: 5</t>
  </si>
  <si>
    <t>Reintroducció de tortuga mediterrània al Montsant</t>
  </si>
  <si>
    <t>Xerrades sobre Patrimoni cultural de Montsant: Cultura i paisatge</t>
  </si>
  <si>
    <t>Vigilància i control de l'entrada de visó americà als ambients fluvials de Montsant</t>
  </si>
  <si>
    <t>Seguiment de la freqüentació al Parc Natural de Montsant</t>
  </si>
  <si>
    <t>Biodiversitat cultivada</t>
  </si>
  <si>
    <t>Manteniment de la via ferrata del Montsant</t>
  </si>
  <si>
    <t>Comunicació, catalogació i organització del centre de documentació</t>
  </si>
  <si>
    <t>Implementació de l'agenda d'activitats del Parc Natural de Montsant</t>
  </si>
  <si>
    <t>Disseny i maquetació de l'agenda escolar del Parc Natural de Montsant</t>
  </si>
  <si>
    <t>25_CO_01</t>
  </si>
  <si>
    <t>25_ED_10</t>
  </si>
  <si>
    <t>Condicionament zona era Albarca</t>
  </si>
  <si>
    <t>Programari ulleres exposició parc</t>
  </si>
  <si>
    <t>Programari fet: 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</si>
</sst>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0.00\ &quot;€&quot;;[Red]\-#,##0.00\ &quot;€&quot;"/>
  </numFmts>
  <fonts count="50">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C00000"/>
      <name val="Arial"/>
      <family val="2"/>
    </font>
    <font>
      <sz val="10"/>
      <color theme="1"/>
      <name val="Calibri"/>
      <family val="2"/>
      <scheme val="minor"/>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
      <sz val="11"/>
      <color theme="1"/>
      <name val="Calibri"/>
      <family val="2"/>
      <scheme val="minor"/>
    </font>
    <font>
      <sz val="11"/>
      <color rgb="FF3D9B35"/>
      <name val="Calibri"/>
      <family val="2"/>
      <scheme val="minor"/>
    </font>
    <font>
      <i/>
      <sz val="11"/>
      <color rgb="FF3D9B35"/>
      <name val="Calibri"/>
      <family val="2"/>
      <scheme val="minor"/>
    </font>
    <font>
      <sz val="11"/>
      <color rgb="FFFABC20"/>
      <name val="Calibri"/>
      <family val="2"/>
    </font>
    <font>
      <sz val="11"/>
      <color rgb="FF7030A0"/>
      <name val="Calibri"/>
      <family val="2"/>
      <scheme val="minor"/>
    </font>
    <font>
      <sz val="11"/>
      <color rgb="FF00B050"/>
      <name val="Calibri"/>
      <family val="2"/>
      <scheme val="minor"/>
    </font>
    <font>
      <sz val="11"/>
      <color theme="1" tint="4.9989318521683403E-2"/>
      <name val="Calibri"/>
      <family val="2"/>
      <scheme val="minor"/>
    </font>
    <font>
      <i/>
      <sz val="11"/>
      <color rgb="FF7030A0"/>
      <name val="Calibri"/>
      <family val="2"/>
      <scheme val="minor"/>
    </font>
    <font>
      <sz val="11"/>
      <color rgb="FFF85C26"/>
      <name val="Calibri"/>
      <family val="2"/>
      <scheme val="minor"/>
    </font>
    <font>
      <sz val="11"/>
      <color rgb="FF242424"/>
      <name val="Aptos Narrow"/>
      <family val="2"/>
    </font>
    <font>
      <sz val="11"/>
      <color rgb="FF000000"/>
      <name val="Aptos Narrow"/>
      <family val="2"/>
    </font>
    <font>
      <sz val="11"/>
      <color rgb="FF3D9B35"/>
      <name val="Calibri"/>
      <family val="2"/>
    </font>
    <font>
      <i/>
      <sz val="11"/>
      <color rgb="FF3D9B35"/>
      <name val="Calibri"/>
      <family val="2"/>
    </font>
    <font>
      <strike/>
      <u/>
      <sz val="11"/>
      <color rgb="FFFF0000"/>
      <name val="Calibri"/>
      <family val="2"/>
      <scheme val="minor"/>
    </font>
    <font>
      <strike/>
      <sz val="11"/>
      <color rgb="FF000000"/>
      <name val="Calibri"/>
      <family val="2"/>
      <scheme val="minor"/>
    </font>
    <font>
      <sz val="11"/>
      <color rgb="FFC5A385"/>
      <name val="Calibri"/>
      <family val="2"/>
      <scheme val="minor"/>
    </font>
    <font>
      <sz val="11"/>
      <color rgb="FF262626"/>
      <name val="Calibri"/>
      <family val="2"/>
      <scheme val="minor"/>
    </font>
    <font>
      <b/>
      <sz val="11"/>
      <color rgb="FFFF0000"/>
      <name val="Calibri"/>
      <family val="2"/>
      <scheme val="minor"/>
    </font>
    <font>
      <sz val="11"/>
      <color rgb="FFFF0000"/>
      <name val="Calibri"/>
      <family val="2"/>
    </font>
    <font>
      <sz val="11"/>
      <color theme="1"/>
      <name val="Calibri"/>
      <family val="2"/>
    </font>
    <font>
      <b/>
      <sz val="9"/>
      <color indexed="81"/>
      <name val="Tahoma"/>
      <family val="2"/>
    </font>
    <font>
      <sz val="9"/>
      <color indexed="81"/>
      <name val="Tahoma"/>
      <family val="2"/>
    </font>
    <font>
      <sz val="11"/>
      <color rgb="FFFF0000"/>
      <name val="Arial"/>
      <family val="2"/>
    </font>
  </fonts>
  <fills count="48">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5" tint="0.39994506668294322"/>
        <bgColor indexed="64"/>
      </patternFill>
    </fill>
    <fill>
      <gradientFill degree="90">
        <stop position="0">
          <color theme="0"/>
        </stop>
        <stop position="1">
          <color theme="8" tint="-0.25098422193060094"/>
        </stop>
      </gradientFill>
    </fill>
    <fill>
      <gradientFill degree="90">
        <stop position="0">
          <color theme="0"/>
        </stop>
        <stop position="1">
          <color theme="7" tint="-0.25098422193060094"/>
        </stop>
      </gradientFill>
    </fill>
    <fill>
      <gradientFill degree="90">
        <stop position="0">
          <color theme="0"/>
        </stop>
        <stop position="0.5">
          <color theme="4"/>
        </stop>
        <stop position="1">
          <color theme="0"/>
        </stop>
      </gradientFill>
    </fill>
    <fill>
      <patternFill patternType="solid">
        <fgColor theme="0" tint="-0.14999847407452621"/>
        <bgColor indexed="64"/>
      </patternFill>
    </fill>
    <fill>
      <patternFill patternType="solid">
        <fgColor theme="5"/>
        <bgColor indexed="64"/>
      </patternFill>
    </fill>
    <fill>
      <patternFill patternType="solid">
        <fgColor theme="9" tint="0.59996337778862885"/>
        <bgColor indexed="64"/>
      </patternFill>
    </fill>
    <fill>
      <patternFill patternType="solid">
        <fgColor theme="0"/>
        <bgColor indexed="64"/>
      </patternFill>
    </fill>
    <fill>
      <patternFill patternType="solid">
        <fgColor theme="9"/>
        <bgColor indexed="64"/>
      </patternFill>
    </fill>
    <fill>
      <patternFill patternType="solid">
        <fgColor rgb="FFFFFFFF"/>
        <bgColor indexed="64"/>
      </patternFill>
    </fill>
  </fills>
  <borders count="107">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5"/>
      </left>
      <right/>
      <top/>
      <bottom/>
      <diagonal/>
    </border>
    <border>
      <left style="thin">
        <color theme="5"/>
      </left>
      <right/>
      <top/>
      <bottom style="thin">
        <color theme="5"/>
      </bottom>
      <diagonal/>
    </border>
    <border>
      <left/>
      <right style="thin">
        <color theme="5"/>
      </right>
      <top/>
      <bottom/>
      <diagonal/>
    </border>
    <border>
      <left style="thin">
        <color indexed="64"/>
      </left>
      <right style="thin">
        <color indexed="64"/>
      </right>
      <top style="thin">
        <color indexed="64"/>
      </top>
      <bottom/>
      <diagonal/>
    </border>
    <border>
      <left/>
      <right style="thin">
        <color theme="5"/>
      </right>
      <top style="thin">
        <color theme="5"/>
      </top>
      <bottom style="thin">
        <color theme="5"/>
      </bottom>
      <diagonal/>
    </border>
    <border>
      <left/>
      <right style="thin">
        <color indexed="64"/>
      </right>
      <top style="thin">
        <color indexed="64"/>
      </top>
      <bottom/>
      <diagonal/>
    </border>
    <border>
      <left/>
      <right style="thin">
        <color indexed="64"/>
      </right>
      <top/>
      <bottom style="thin">
        <color theme="5"/>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theme="5"/>
      </right>
      <top/>
      <bottom style="thin">
        <color theme="5"/>
      </bottom>
      <diagonal/>
    </border>
    <border>
      <left/>
      <right style="thin">
        <color indexed="64"/>
      </right>
      <top style="thin">
        <color theme="5"/>
      </top>
      <bottom style="thin">
        <color theme="4"/>
      </bottom>
      <diagonal/>
    </border>
    <border>
      <left style="thin">
        <color rgb="FF000000"/>
      </left>
      <right style="thin">
        <color rgb="FF000000"/>
      </right>
      <top style="thin">
        <color rgb="FF000000"/>
      </top>
      <bottom/>
      <diagonal/>
    </border>
    <border>
      <left/>
      <right style="thin">
        <color theme="4"/>
      </right>
      <top/>
      <bottom/>
      <diagonal/>
    </border>
    <border>
      <left style="thin">
        <color theme="4"/>
      </left>
      <right/>
      <top/>
      <bottom style="thin">
        <color theme="4"/>
      </bottom>
      <diagonal/>
    </border>
    <border>
      <left/>
      <right/>
      <top style="thin">
        <color rgb="FF3D9B35"/>
      </top>
      <bottom/>
      <diagonal/>
    </border>
    <border>
      <left/>
      <right/>
      <top/>
      <bottom style="thin">
        <color theme="4"/>
      </bottom>
      <diagonal/>
    </border>
    <border>
      <left style="thin">
        <color theme="6"/>
      </left>
      <right/>
      <top/>
      <bottom/>
      <diagonal/>
    </border>
    <border>
      <left style="thin">
        <color rgb="FF000000"/>
      </left>
      <right style="thin">
        <color indexed="64"/>
      </right>
      <top style="thin">
        <color indexed="64"/>
      </top>
      <bottom style="thin">
        <color indexed="64"/>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indexed="64"/>
      </right>
      <top/>
      <bottom style="thin">
        <color rgb="FF00B0F0"/>
      </bottom>
      <diagonal/>
    </border>
    <border>
      <left style="thin">
        <color theme="8"/>
      </left>
      <right/>
      <top/>
      <bottom/>
      <diagonal/>
    </border>
    <border>
      <left/>
      <right style="thin">
        <color theme="8"/>
      </right>
      <top/>
      <bottom/>
      <diagonal/>
    </border>
    <border>
      <left style="thin">
        <color indexed="64"/>
      </left>
      <right/>
      <top style="thin">
        <color indexed="64"/>
      </top>
      <bottom/>
      <diagonal/>
    </border>
    <border>
      <left style="thin">
        <color rgb="FFF85C26"/>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indexed="64"/>
      </right>
      <top style="thin">
        <color theme="8"/>
      </top>
      <bottom/>
      <diagonal/>
    </border>
    <border>
      <left style="thin">
        <color theme="8" tint="-0.24994659260841701"/>
      </left>
      <right/>
      <top style="thin">
        <color theme="8" tint="-0.24994659260841701"/>
      </top>
      <bottom style="thin">
        <color theme="8" tint="-0.24994659260841701"/>
      </bottom>
      <diagonal/>
    </border>
    <border>
      <left/>
      <right style="thin">
        <color theme="8"/>
      </right>
      <top style="thin">
        <color theme="8" tint="-0.24994659260841701"/>
      </top>
      <bottom style="thin">
        <color theme="8" tint="-0.24994659260841701"/>
      </bottom>
      <diagonal/>
    </border>
    <border>
      <left style="thin">
        <color theme="8"/>
      </left>
      <right/>
      <top style="thin">
        <color theme="8"/>
      </top>
      <bottom style="thin">
        <color theme="8"/>
      </bottom>
      <diagonal/>
    </border>
    <border>
      <left/>
      <right style="thin">
        <color indexed="64"/>
      </right>
      <top style="thin">
        <color theme="8"/>
      </top>
      <bottom style="thin">
        <color theme="8"/>
      </bottom>
      <diagonal/>
    </border>
    <border>
      <left style="thin">
        <color rgb="FF000000"/>
      </left>
      <right/>
      <top/>
      <bottom/>
      <diagonal/>
    </border>
    <border>
      <left style="thin">
        <color indexed="64"/>
      </left>
      <right style="thin">
        <color indexed="64"/>
      </right>
      <top/>
      <bottom/>
      <diagonal/>
    </border>
    <border>
      <left style="thin">
        <color theme="9"/>
      </left>
      <right/>
      <top/>
      <bottom style="thin">
        <color theme="9"/>
      </bottom>
      <diagonal/>
    </border>
    <border>
      <left/>
      <right style="thin">
        <color indexed="64"/>
      </right>
      <top/>
      <bottom style="thin">
        <color theme="9"/>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diagonal/>
    </border>
    <border>
      <left/>
      <right style="thin">
        <color rgb="FF000000"/>
      </right>
      <top/>
      <bottom/>
      <diagonal/>
    </border>
    <border>
      <left/>
      <right/>
      <top style="thin">
        <color rgb="FF000000"/>
      </top>
      <bottom/>
      <diagonal/>
    </border>
    <border>
      <left/>
      <right style="thin">
        <color rgb="FF8497B0"/>
      </right>
      <top/>
      <bottom/>
      <diagonal/>
    </border>
    <border>
      <left style="thin">
        <color rgb="FF8497B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557">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0" fillId="24" borderId="0" xfId="0" applyFill="1" applyAlignment="1">
      <alignment horizontal="center" vertical="center"/>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5" fillId="26" borderId="50" xfId="0" applyFont="1" applyFill="1" applyBorder="1" applyAlignment="1">
      <alignment horizontal="center"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27" borderId="17" xfId="0" applyFont="1" applyFill="1" applyBorder="1" applyAlignment="1">
      <alignment vertical="center" wrapText="1"/>
    </xf>
    <xf numFmtId="0" fontId="15" fillId="3" borderId="17" xfId="0" applyFont="1" applyFill="1" applyBorder="1" applyAlignment="1">
      <alignment vertical="center" wrapText="1"/>
    </xf>
    <xf numFmtId="0" fontId="15" fillId="28" borderId="17" xfId="0" applyFont="1" applyFill="1" applyBorder="1" applyAlignment="1">
      <alignment vertical="center" wrapText="1"/>
    </xf>
    <xf numFmtId="0" fontId="15" fillId="29" borderId="17" xfId="0" applyFont="1" applyFill="1" applyBorder="1" applyAlignment="1">
      <alignment vertical="center" wrapText="1"/>
    </xf>
    <xf numFmtId="0" fontId="18" fillId="24" borderId="0" xfId="0" applyFont="1" applyFill="1"/>
    <xf numFmtId="0" fontId="18" fillId="0" borderId="0" xfId="0" applyFont="1"/>
    <xf numFmtId="0" fontId="15" fillId="27" borderId="50" xfId="0" applyFont="1" applyFill="1" applyBorder="1" applyAlignment="1">
      <alignment vertical="center" wrapText="1"/>
    </xf>
    <xf numFmtId="0" fontId="15" fillId="3" borderId="50" xfId="0" applyFont="1" applyFill="1" applyBorder="1" applyAlignment="1">
      <alignment vertical="center" wrapText="1"/>
    </xf>
    <xf numFmtId="0" fontId="15" fillId="28" borderId="50" xfId="0" applyFont="1" applyFill="1" applyBorder="1" applyAlignment="1">
      <alignment vertical="center" wrapText="1"/>
    </xf>
    <xf numFmtId="0" fontId="15" fillId="29" borderId="50" xfId="0" applyFont="1" applyFill="1" applyBorder="1" applyAlignment="1">
      <alignment vertical="center" wrapText="1"/>
    </xf>
    <xf numFmtId="0" fontId="15" fillId="30" borderId="50" xfId="0" applyFont="1" applyFill="1" applyBorder="1" applyAlignment="1">
      <alignment vertical="center" wrapText="1"/>
    </xf>
    <xf numFmtId="0" fontId="15" fillId="31" borderId="50" xfId="0" applyFont="1" applyFill="1" applyBorder="1" applyAlignment="1">
      <alignment vertical="center" wrapText="1"/>
    </xf>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20" fillId="0" borderId="0" xfId="0" applyFont="1"/>
    <xf numFmtId="0" fontId="15" fillId="26" borderId="17" xfId="0" applyFont="1" applyFill="1" applyBorder="1" applyAlignment="1">
      <alignment horizontal="left" vertical="center" wrapText="1"/>
    </xf>
    <xf numFmtId="0" fontId="21" fillId="27" borderId="17" xfId="0" applyFont="1" applyFill="1" applyBorder="1" applyAlignment="1">
      <alignment vertical="center" wrapText="1"/>
    </xf>
    <xf numFmtId="0" fontId="21" fillId="27" borderId="17" xfId="0" applyFont="1" applyFill="1" applyBorder="1" applyAlignment="1">
      <alignment horizontal="left" vertical="center" wrapText="1"/>
    </xf>
    <xf numFmtId="0" fontId="21" fillId="3" borderId="17" xfId="0" applyFont="1" applyFill="1" applyBorder="1" applyAlignment="1">
      <alignment vertical="center" wrapText="1"/>
    </xf>
    <xf numFmtId="0" fontId="21" fillId="28" borderId="17" xfId="0" applyFont="1" applyFill="1" applyBorder="1" applyAlignment="1">
      <alignment vertical="center" wrapText="1"/>
    </xf>
    <xf numFmtId="0" fontId="21" fillId="29" borderId="17" xfId="0" applyFont="1" applyFill="1" applyBorder="1" applyAlignment="1">
      <alignment vertical="center" wrapText="1"/>
    </xf>
    <xf numFmtId="0" fontId="21" fillId="30" borderId="17" xfId="0" applyFont="1" applyFill="1" applyBorder="1" applyAlignment="1">
      <alignment vertical="center" wrapText="1"/>
    </xf>
    <xf numFmtId="0" fontId="21" fillId="31" borderId="17" xfId="0" applyFont="1" applyFill="1" applyBorder="1" applyAlignment="1">
      <alignment vertical="center" wrapText="1"/>
    </xf>
    <xf numFmtId="0" fontId="19" fillId="0" borderId="0" xfId="0" applyFont="1"/>
    <xf numFmtId="0" fontId="22" fillId="0" borderId="0" xfId="0" applyFont="1"/>
    <xf numFmtId="0" fontId="0" fillId="21" borderId="17" xfId="0" applyFill="1" applyBorder="1" applyAlignment="1">
      <alignment vertical="center"/>
    </xf>
    <xf numFmtId="0" fontId="0" fillId="21" borderId="17" xfId="0" applyFill="1" applyBorder="1"/>
    <xf numFmtId="0" fontId="23" fillId="32" borderId="0" xfId="0" applyFont="1" applyFill="1" applyAlignment="1">
      <alignment horizontal="center"/>
    </xf>
    <xf numFmtId="0" fontId="24" fillId="32" borderId="0" xfId="0" applyFont="1" applyFill="1"/>
    <xf numFmtId="0" fontId="25" fillId="33" borderId="53" xfId="0" applyFont="1" applyFill="1" applyBorder="1" applyAlignment="1">
      <alignment horizontal="left" vertical="center"/>
    </xf>
    <xf numFmtId="0" fontId="25" fillId="0" borderId="53" xfId="0" applyFont="1" applyBorder="1" applyAlignment="1">
      <alignment horizontal="left" vertical="center"/>
    </xf>
    <xf numFmtId="49" fontId="0" fillId="0" borderId="0" xfId="0" applyNumberFormat="1"/>
    <xf numFmtId="0" fontId="26" fillId="34" borderId="54" xfId="0" applyFont="1" applyFill="1" applyBorder="1"/>
    <xf numFmtId="0" fontId="26" fillId="34" borderId="55" xfId="0" applyFont="1" applyFill="1" applyBorder="1"/>
    <xf numFmtId="0" fontId="2" fillId="35" borderId="0" xfId="0" applyFont="1" applyFill="1"/>
    <xf numFmtId="0" fontId="0" fillId="35" borderId="0" xfId="0" applyFill="1"/>
    <xf numFmtId="8" fontId="15" fillId="26" borderId="17" xfId="0" applyNumberFormat="1" applyFont="1" applyFill="1" applyBorder="1" applyAlignment="1">
      <alignment vertical="center" wrapText="1"/>
    </xf>
    <xf numFmtId="0" fontId="15" fillId="30" borderId="17" xfId="0" applyFont="1" applyFill="1" applyBorder="1" applyAlignment="1">
      <alignment vertical="center" wrapText="1"/>
    </xf>
    <xf numFmtId="0" fontId="15" fillId="27" borderId="17" xfId="0" applyFont="1" applyFill="1" applyBorder="1" applyAlignment="1">
      <alignment horizontal="left" vertical="center" wrapText="1"/>
    </xf>
    <xf numFmtId="0" fontId="15" fillId="31" borderId="17" xfId="0" applyFont="1" applyFill="1" applyBorder="1" applyAlignment="1">
      <alignment vertical="center" wrapText="1"/>
    </xf>
    <xf numFmtId="0" fontId="18" fillId="0" borderId="0" xfId="0" applyFont="1" applyAlignment="1">
      <alignment wrapText="1"/>
    </xf>
    <xf numFmtId="8" fontId="15" fillId="26" borderId="17" xfId="0" applyNumberFormat="1" applyFont="1" applyFill="1" applyBorder="1" applyAlignment="1">
      <alignment horizontal="right" vertical="center" wrapText="1"/>
    </xf>
    <xf numFmtId="8" fontId="15" fillId="27" borderId="17" xfId="0" applyNumberFormat="1" applyFont="1" applyFill="1" applyBorder="1" applyAlignment="1">
      <alignment vertical="center"/>
    </xf>
    <xf numFmtId="8" fontId="15" fillId="27" borderId="17" xfId="0" applyNumberFormat="1" applyFont="1" applyFill="1" applyBorder="1" applyAlignment="1">
      <alignment horizontal="right" vertical="center"/>
    </xf>
    <xf numFmtId="8" fontId="15" fillId="3" borderId="17" xfId="0" applyNumberFormat="1" applyFont="1" applyFill="1" applyBorder="1" applyAlignment="1">
      <alignment vertical="center"/>
    </xf>
    <xf numFmtId="8" fontId="15" fillId="3" borderId="17" xfId="0" applyNumberFormat="1" applyFont="1" applyFill="1" applyBorder="1" applyAlignment="1">
      <alignment vertical="center" wrapText="1"/>
    </xf>
    <xf numFmtId="8" fontId="15" fillId="28" borderId="17" xfId="0" applyNumberFormat="1" applyFont="1" applyFill="1" applyBorder="1" applyAlignment="1">
      <alignment vertical="center"/>
    </xf>
    <xf numFmtId="8" fontId="15" fillId="28" borderId="17" xfId="0" applyNumberFormat="1" applyFont="1" applyFill="1" applyBorder="1" applyAlignment="1">
      <alignment vertical="center" wrapText="1"/>
    </xf>
    <xf numFmtId="8" fontId="15" fillId="29" borderId="17" xfId="0" applyNumberFormat="1" applyFont="1" applyFill="1" applyBorder="1" applyAlignment="1">
      <alignment vertical="center"/>
    </xf>
    <xf numFmtId="8" fontId="15" fillId="29" borderId="17" xfId="0" applyNumberFormat="1" applyFont="1" applyFill="1" applyBorder="1" applyAlignment="1">
      <alignment vertical="center" wrapText="1"/>
    </xf>
    <xf numFmtId="8" fontId="15" fillId="30" borderId="17" xfId="0" applyNumberFormat="1" applyFont="1" applyFill="1" applyBorder="1" applyAlignment="1">
      <alignment vertical="center"/>
    </xf>
    <xf numFmtId="8" fontId="15" fillId="30" borderId="17" xfId="0" applyNumberFormat="1" applyFont="1" applyFill="1" applyBorder="1" applyAlignment="1">
      <alignment vertical="center" wrapText="1"/>
    </xf>
    <xf numFmtId="8" fontId="15" fillId="31" borderId="17" xfId="0" applyNumberFormat="1" applyFont="1" applyFill="1" applyBorder="1" applyAlignment="1">
      <alignment vertical="center"/>
    </xf>
    <xf numFmtId="8" fontId="15" fillId="31" borderId="17" xfId="0" applyNumberFormat="1" applyFont="1" applyFill="1" applyBorder="1" applyAlignment="1">
      <alignment vertical="center" wrapText="1"/>
    </xf>
    <xf numFmtId="1" fontId="15" fillId="26" borderId="17" xfId="0" applyNumberFormat="1" applyFont="1" applyFill="1" applyBorder="1" applyAlignment="1">
      <alignment vertical="center" wrapText="1"/>
    </xf>
    <xf numFmtId="49" fontId="15" fillId="26" borderId="17" xfId="0" applyNumberFormat="1" applyFont="1" applyFill="1" applyBorder="1" applyAlignment="1">
      <alignment horizontal="left" vertical="center" wrapText="1"/>
    </xf>
    <xf numFmtId="9" fontId="15" fillId="27" borderId="17" xfId="0" applyNumberFormat="1" applyFont="1" applyFill="1" applyBorder="1" applyAlignment="1">
      <alignment vertical="center" wrapText="1"/>
    </xf>
    <xf numFmtId="49" fontId="9" fillId="0" borderId="0" xfId="0" applyNumberFormat="1" applyFont="1" applyAlignment="1">
      <alignment horizontal="left" vertical="top"/>
    </xf>
    <xf numFmtId="0" fontId="10" fillId="0" borderId="0" xfId="0" applyFont="1" applyAlignment="1">
      <alignment vertical="top"/>
    </xf>
    <xf numFmtId="0" fontId="10" fillId="0" borderId="0" xfId="0" applyFont="1" applyAlignment="1">
      <alignment vertical="top" wrapText="1"/>
    </xf>
    <xf numFmtId="0" fontId="8" fillId="0" borderId="0" xfId="0" applyFont="1" applyAlignment="1">
      <alignment horizontal="center" vertical="center" wrapText="1"/>
    </xf>
    <xf numFmtId="0" fontId="0" fillId="0" borderId="0" xfId="0" applyAlignment="1">
      <alignment horizontal="left" vertical="top" wrapText="1"/>
    </xf>
    <xf numFmtId="0" fontId="11" fillId="16" borderId="17" xfId="0" applyFont="1" applyFill="1" applyBorder="1" applyAlignment="1">
      <alignment vertical="top" wrapText="1"/>
    </xf>
    <xf numFmtId="0" fontId="0" fillId="0" borderId="57" xfId="0" applyBorder="1"/>
    <xf numFmtId="0" fontId="0" fillId="0" borderId="52" xfId="0" applyBorder="1"/>
    <xf numFmtId="0" fontId="3" fillId="0" borderId="56" xfId="0" applyFont="1" applyBorder="1" applyAlignment="1">
      <alignment horizontal="center" vertical="center" wrapText="1"/>
    </xf>
    <xf numFmtId="0" fontId="3" fillId="0" borderId="58" xfId="0" applyFont="1" applyBorder="1" applyAlignment="1">
      <alignment horizontal="center" vertical="center" wrapText="1"/>
    </xf>
    <xf numFmtId="0" fontId="2" fillId="18" borderId="52" xfId="0" applyFont="1" applyFill="1" applyBorder="1" applyAlignment="1">
      <alignment horizontal="center" vertical="center"/>
    </xf>
    <xf numFmtId="0" fontId="2" fillId="36" borderId="17" xfId="0" applyFont="1" applyFill="1" applyBorder="1" applyAlignment="1">
      <alignment horizontal="center" vertical="center" wrapText="1"/>
    </xf>
    <xf numFmtId="0" fontId="2" fillId="37" borderId="17" xfId="0" applyFont="1" applyFill="1" applyBorder="1" applyAlignment="1">
      <alignment horizontal="center" vertical="center" wrapText="1"/>
    </xf>
    <xf numFmtId="0" fontId="2" fillId="38" borderId="17" xfId="0" applyFont="1" applyFill="1" applyBorder="1" applyAlignment="1">
      <alignment horizontal="center" vertical="center" wrapText="1"/>
    </xf>
    <xf numFmtId="0" fontId="2" fillId="39" borderId="17" xfId="0" applyFont="1" applyFill="1" applyBorder="1" applyAlignment="1">
      <alignment horizontal="center" vertical="center" wrapText="1"/>
    </xf>
    <xf numFmtId="0" fontId="2" fillId="40" borderId="17" xfId="0" applyFont="1" applyFill="1" applyBorder="1" applyAlignment="1">
      <alignment horizontal="center" vertical="center" wrapText="1"/>
    </xf>
    <xf numFmtId="0" fontId="2" fillId="41" borderId="17" xfId="0" applyFont="1" applyFill="1" applyBorder="1" applyAlignment="1">
      <alignment horizontal="center" vertical="center" wrapText="1"/>
    </xf>
    <xf numFmtId="0" fontId="2" fillId="42" borderId="17" xfId="0" applyFont="1" applyFill="1" applyBorder="1" applyAlignment="1">
      <alignment horizontal="center" vertical="center" wrapText="1"/>
    </xf>
    <xf numFmtId="0" fontId="6" fillId="9" borderId="16" xfId="0" applyFont="1" applyFill="1" applyBorder="1" applyAlignment="1">
      <alignment vertical="top" wrapText="1"/>
    </xf>
    <xf numFmtId="0" fontId="0" fillId="0" borderId="56" xfId="0" applyBorder="1" applyAlignment="1">
      <alignment horizontal="center" vertical="center" wrapText="1"/>
    </xf>
    <xf numFmtId="0" fontId="28" fillId="0" borderId="58" xfId="0" applyFont="1" applyBorder="1" applyAlignment="1">
      <alignment vertical="top" wrapText="1"/>
    </xf>
    <xf numFmtId="0" fontId="0" fillId="18" borderId="52" xfId="0" applyFill="1" applyBorder="1" applyAlignment="1">
      <alignment horizontal="center" vertical="center"/>
    </xf>
    <xf numFmtId="0" fontId="0" fillId="0" borderId="17" xfId="0" applyBorder="1" applyAlignment="1">
      <alignment vertical="top" wrapText="1"/>
    </xf>
    <xf numFmtId="0" fontId="0" fillId="0" borderId="17" xfId="0" applyBorder="1" applyAlignment="1">
      <alignment horizontal="left" vertical="top" indent="1"/>
    </xf>
    <xf numFmtId="0" fontId="0" fillId="0" borderId="17" xfId="0" applyBorder="1" applyAlignment="1">
      <alignment horizontal="left" vertical="top" wrapText="1"/>
    </xf>
    <xf numFmtId="3" fontId="0" fillId="0" borderId="17" xfId="0" applyNumberFormat="1" applyBorder="1" applyAlignment="1">
      <alignment vertical="top" wrapText="1"/>
    </xf>
    <xf numFmtId="0" fontId="0" fillId="0" borderId="17" xfId="0" applyBorder="1" applyAlignment="1">
      <alignment vertical="top"/>
    </xf>
    <xf numFmtId="3" fontId="0" fillId="0" borderId="17" xfId="0" applyNumberFormat="1" applyBorder="1" applyAlignment="1">
      <alignment vertical="top"/>
    </xf>
    <xf numFmtId="0" fontId="0" fillId="0" borderId="17" xfId="0" applyBorder="1"/>
    <xf numFmtId="49" fontId="2" fillId="43" borderId="1" xfId="0" applyNumberFormat="1" applyFont="1" applyFill="1" applyBorder="1" applyAlignment="1">
      <alignment horizontal="center" vertical="top" wrapText="1"/>
    </xf>
    <xf numFmtId="0" fontId="1" fillId="9" borderId="59" xfId="0" applyFont="1" applyFill="1" applyBorder="1" applyAlignment="1">
      <alignment horizontal="center" vertical="top"/>
    </xf>
    <xf numFmtId="0" fontId="1" fillId="9" borderId="0" xfId="0" applyFont="1" applyFill="1" applyAlignment="1">
      <alignment vertical="top" wrapText="1"/>
    </xf>
    <xf numFmtId="0" fontId="1" fillId="9" borderId="61" xfId="0" applyFont="1" applyFill="1" applyBorder="1" applyAlignment="1">
      <alignment vertical="top" wrapText="1"/>
    </xf>
    <xf numFmtId="0" fontId="1" fillId="18" borderId="52" xfId="0" applyFont="1" applyFill="1" applyBorder="1" applyAlignment="1">
      <alignment horizontal="center" vertical="center"/>
    </xf>
    <xf numFmtId="0" fontId="4" fillId="0" borderId="17" xfId="0" applyFont="1" applyBorder="1" applyAlignment="1">
      <alignment horizontal="left" vertical="center" wrapText="1"/>
    </xf>
    <xf numFmtId="0" fontId="30" fillId="0" borderId="0" xfId="0" applyFont="1"/>
    <xf numFmtId="0" fontId="0" fillId="18" borderId="52" xfId="0" applyFill="1" applyBorder="1" applyAlignment="1">
      <alignment horizontal="center" vertical="center" wrapText="1"/>
    </xf>
    <xf numFmtId="0" fontId="0" fillId="0" borderId="62" xfId="0" applyBorder="1" applyAlignment="1">
      <alignment horizontal="left" vertical="top" indent="1"/>
    </xf>
    <xf numFmtId="0" fontId="0" fillId="0" borderId="0" xfId="0" applyAlignment="1">
      <alignment horizontal="left" vertical="top" indent="1"/>
    </xf>
    <xf numFmtId="0" fontId="0" fillId="0" borderId="62" xfId="0" applyBorder="1" applyAlignment="1">
      <alignment vertical="top" wrapText="1"/>
    </xf>
    <xf numFmtId="0" fontId="4" fillId="0" borderId="56" xfId="0" applyFont="1" applyBorder="1" applyAlignment="1">
      <alignment vertical="top" wrapText="1"/>
    </xf>
    <xf numFmtId="0" fontId="0" fillId="0" borderId="58" xfId="0" applyBorder="1" applyAlignment="1">
      <alignment horizontal="left" vertical="top" indent="1"/>
    </xf>
    <xf numFmtId="0" fontId="0" fillId="0" borderId="64" xfId="0" applyBorder="1" applyAlignment="1">
      <alignment vertical="top" wrapText="1"/>
    </xf>
    <xf numFmtId="0" fontId="0" fillId="0" borderId="62" xfId="0" applyBorder="1" applyAlignment="1">
      <alignment horizontal="left" vertical="top" wrapText="1"/>
    </xf>
    <xf numFmtId="0" fontId="31" fillId="0" borderId="17" xfId="0" applyFont="1" applyBorder="1" applyAlignment="1">
      <alignment vertical="top" wrapText="1"/>
    </xf>
    <xf numFmtId="0" fontId="31" fillId="0" borderId="56" xfId="0" applyFont="1" applyBorder="1" applyAlignment="1">
      <alignment horizontal="center" vertical="center" wrapText="1"/>
    </xf>
    <xf numFmtId="0" fontId="32" fillId="0" borderId="58" xfId="0" applyFont="1" applyBorder="1" applyAlignment="1">
      <alignment vertical="top" wrapText="1"/>
    </xf>
    <xf numFmtId="0" fontId="0" fillId="0" borderId="66" xfId="0" applyBorder="1" applyAlignment="1">
      <alignment horizontal="left" vertical="top" indent="1"/>
    </xf>
    <xf numFmtId="0" fontId="0" fillId="0" borderId="67" xfId="0" applyBorder="1" applyAlignment="1">
      <alignment horizontal="left" vertical="top" indent="1"/>
    </xf>
    <xf numFmtId="0" fontId="0" fillId="0" borderId="58" xfId="0" applyBorder="1" applyAlignment="1">
      <alignment vertical="top" wrapText="1"/>
    </xf>
    <xf numFmtId="0" fontId="0" fillId="0" borderId="58" xfId="0" applyBorder="1" applyAlignment="1">
      <alignment horizontal="left" vertical="top" wrapText="1"/>
    </xf>
    <xf numFmtId="0" fontId="4" fillId="0" borderId="56" xfId="0" applyFont="1" applyBorder="1" applyAlignment="1">
      <alignment horizontal="center" vertical="center" wrapText="1"/>
    </xf>
    <xf numFmtId="0" fontId="33" fillId="0" borderId="58" xfId="0" applyFont="1" applyBorder="1" applyAlignment="1">
      <alignment vertical="top" wrapText="1"/>
    </xf>
    <xf numFmtId="0" fontId="0" fillId="0" borderId="66" xfId="0" applyBorder="1" applyAlignment="1">
      <alignment vertical="top" wrapText="1"/>
    </xf>
    <xf numFmtId="0" fontId="0" fillId="0" borderId="66" xfId="0" applyBorder="1" applyAlignment="1">
      <alignment horizontal="left" vertical="top" wrapText="1"/>
    </xf>
    <xf numFmtId="0" fontId="7" fillId="0" borderId="0" xfId="0" applyFont="1"/>
    <xf numFmtId="0" fontId="0" fillId="0" borderId="17" xfId="0" applyBorder="1" applyAlignment="1">
      <alignment horizontal="left" vertical="top" wrapText="1" indent="1"/>
    </xf>
    <xf numFmtId="0" fontId="4" fillId="0" borderId="17" xfId="0" applyFont="1" applyBorder="1" applyAlignment="1">
      <alignment horizontal="left" vertical="top" indent="1"/>
    </xf>
    <xf numFmtId="49" fontId="3" fillId="43" borderId="1" xfId="0" applyNumberFormat="1" applyFont="1" applyFill="1" applyBorder="1" applyAlignment="1">
      <alignment horizontal="center" vertical="top" wrapText="1"/>
    </xf>
    <xf numFmtId="49" fontId="1" fillId="10" borderId="60" xfId="0" applyNumberFormat="1" applyFont="1" applyFill="1" applyBorder="1" applyAlignment="1">
      <alignment horizontal="center" vertical="center" wrapText="1"/>
    </xf>
    <xf numFmtId="0" fontId="1" fillId="10" borderId="65" xfId="0" applyFont="1" applyFill="1" applyBorder="1" applyAlignment="1">
      <alignment vertical="center" wrapText="1"/>
    </xf>
    <xf numFmtId="0" fontId="1" fillId="0" borderId="56" xfId="0" applyFont="1" applyBorder="1" applyAlignment="1">
      <alignment horizontal="center" vertical="center" wrapText="1"/>
    </xf>
    <xf numFmtId="0" fontId="1" fillId="0" borderId="17" xfId="0" applyFont="1" applyBorder="1" applyAlignment="1">
      <alignment horizontal="left" vertical="top" indent="1"/>
    </xf>
    <xf numFmtId="0" fontId="1" fillId="0" borderId="17" xfId="0" applyFont="1" applyBorder="1"/>
    <xf numFmtId="0" fontId="1" fillId="0" borderId="58" xfId="0" applyFont="1" applyBorder="1" applyAlignment="1">
      <alignment vertical="top" wrapText="1"/>
    </xf>
    <xf numFmtId="0" fontId="1" fillId="9" borderId="60" xfId="0" applyFont="1" applyFill="1" applyBorder="1" applyAlignment="1">
      <alignment horizontal="center" vertical="top"/>
    </xf>
    <xf numFmtId="0" fontId="1" fillId="9" borderId="68" xfId="0" applyFont="1" applyFill="1" applyBorder="1" applyAlignment="1">
      <alignment vertical="top" wrapText="1"/>
    </xf>
    <xf numFmtId="0" fontId="8" fillId="0" borderId="17" xfId="0" applyFont="1" applyBorder="1" applyAlignment="1">
      <alignment vertical="top" wrapText="1"/>
    </xf>
    <xf numFmtId="0" fontId="34" fillId="0" borderId="56" xfId="0" applyFont="1" applyBorder="1" applyAlignment="1">
      <alignment horizontal="center" vertical="center" wrapText="1"/>
    </xf>
    <xf numFmtId="0" fontId="34" fillId="0" borderId="17" xfId="0" applyFont="1" applyBorder="1" applyAlignment="1">
      <alignment horizontal="center" vertical="center" wrapText="1"/>
    </xf>
    <xf numFmtId="9" fontId="0" fillId="0" borderId="17" xfId="0" applyNumberFormat="1" applyBorder="1" applyAlignment="1">
      <alignment horizontal="left" vertical="top" indent="1"/>
    </xf>
    <xf numFmtId="9" fontId="0" fillId="0" borderId="17" xfId="0" applyNumberFormat="1" applyBorder="1" applyAlignment="1">
      <alignment horizontal="left" vertical="top" wrapText="1"/>
    </xf>
    <xf numFmtId="9" fontId="4" fillId="0" borderId="17" xfId="0" applyNumberFormat="1" applyFont="1" applyBorder="1" applyAlignment="1">
      <alignment horizontal="left" vertical="top" indent="1"/>
    </xf>
    <xf numFmtId="0" fontId="0" fillId="0" borderId="17" xfId="0" applyBorder="1" applyAlignment="1">
      <alignment horizontal="center" vertical="center" wrapText="1"/>
    </xf>
    <xf numFmtId="0" fontId="8" fillId="0" borderId="58" xfId="0" applyFont="1" applyBorder="1" applyAlignment="1">
      <alignment vertical="top" wrapText="1"/>
    </xf>
    <xf numFmtId="0" fontId="7" fillId="0" borderId="0" xfId="0" applyFont="1" applyAlignment="1">
      <alignment vertical="top" wrapText="1"/>
    </xf>
    <xf numFmtId="49" fontId="3" fillId="2" borderId="1" xfId="0" applyNumberFormat="1" applyFont="1" applyFill="1" applyBorder="1" applyAlignment="1">
      <alignment horizontal="center" vertical="top" wrapText="1"/>
    </xf>
    <xf numFmtId="0" fontId="1" fillId="44" borderId="17" xfId="0" applyFont="1" applyFill="1" applyBorder="1" applyAlignment="1">
      <alignment horizontal="center" vertical="center"/>
    </xf>
    <xf numFmtId="0" fontId="35" fillId="0" borderId="58" xfId="0" applyFont="1" applyBorder="1" applyAlignment="1">
      <alignment vertical="top" wrapText="1"/>
    </xf>
    <xf numFmtId="0" fontId="4" fillId="0" borderId="70" xfId="0" applyFont="1" applyBorder="1" applyAlignment="1">
      <alignment horizontal="left" vertical="top" indent="1"/>
    </xf>
    <xf numFmtId="0" fontId="4" fillId="0" borderId="0" xfId="0" applyFont="1" applyAlignment="1">
      <alignment vertical="top" wrapText="1"/>
    </xf>
    <xf numFmtId="0" fontId="4" fillId="0" borderId="17" xfId="0" applyFont="1" applyBorder="1" applyAlignment="1">
      <alignment horizontal="left" vertical="top" wrapText="1"/>
    </xf>
    <xf numFmtId="0" fontId="1" fillId="20" borderId="23" xfId="0" applyFont="1" applyFill="1" applyBorder="1" applyAlignment="1">
      <alignment vertical="top"/>
    </xf>
    <xf numFmtId="0" fontId="1" fillId="20" borderId="71" xfId="0" applyFont="1" applyFill="1" applyBorder="1" applyAlignment="1">
      <alignment vertical="top" wrapText="1"/>
    </xf>
    <xf numFmtId="0" fontId="6" fillId="0" borderId="17" xfId="0" applyFont="1" applyBorder="1" applyAlignment="1">
      <alignment wrapText="1"/>
    </xf>
    <xf numFmtId="0" fontId="8" fillId="0" borderId="56" xfId="0" applyFont="1" applyBorder="1" applyAlignment="1">
      <alignment horizontal="center" vertical="center" wrapText="1"/>
    </xf>
    <xf numFmtId="0" fontId="0" fillId="0" borderId="56" xfId="0" applyBorder="1" applyAlignment="1">
      <alignment vertical="top" wrapText="1"/>
    </xf>
    <xf numFmtId="0" fontId="0" fillId="0" borderId="52" xfId="0" applyBorder="1" applyAlignment="1">
      <alignment horizontal="left" vertical="top" wrapText="1"/>
    </xf>
    <xf numFmtId="0" fontId="6" fillId="0" borderId="66" xfId="0" applyFont="1" applyBorder="1" applyAlignment="1">
      <alignment wrapText="1"/>
    </xf>
    <xf numFmtId="0" fontId="14" fillId="0" borderId="58" xfId="0" applyFont="1" applyBorder="1" applyAlignment="1">
      <alignment vertical="top" wrapText="1"/>
    </xf>
    <xf numFmtId="9" fontId="4" fillId="0" borderId="17" xfId="0" applyNumberFormat="1" applyFont="1" applyBorder="1" applyAlignment="1">
      <alignment horizontal="left" vertical="top" wrapText="1"/>
    </xf>
    <xf numFmtId="49" fontId="2" fillId="7" borderId="74" xfId="0" applyNumberFormat="1" applyFont="1" applyFill="1" applyBorder="1" applyAlignment="1">
      <alignment horizontal="center" vertical="top" wrapText="1"/>
    </xf>
    <xf numFmtId="0" fontId="28" fillId="18" borderId="52" xfId="0" applyFont="1" applyFill="1" applyBorder="1" applyAlignment="1">
      <alignment horizontal="center" vertical="center"/>
    </xf>
    <xf numFmtId="0" fontId="28" fillId="18" borderId="17" xfId="0" applyFont="1" applyFill="1" applyBorder="1" applyAlignment="1">
      <alignment horizontal="left" vertical="center" wrapText="1"/>
    </xf>
    <xf numFmtId="0" fontId="1" fillId="24" borderId="17" xfId="0" applyFont="1" applyFill="1" applyBorder="1" applyAlignment="1">
      <alignment horizontal="left" vertical="center" wrapText="1"/>
    </xf>
    <xf numFmtId="0" fontId="4" fillId="0" borderId="17" xfId="0" applyFont="1" applyBorder="1" applyAlignment="1">
      <alignment horizontal="center" vertical="center" wrapText="1"/>
    </xf>
    <xf numFmtId="0" fontId="36" fillId="0" borderId="0" xfId="0" applyFont="1" applyAlignment="1">
      <alignment vertical="top" wrapText="1"/>
    </xf>
    <xf numFmtId="49" fontId="1" fillId="21" borderId="74" xfId="0" applyNumberFormat="1" applyFont="1" applyFill="1" applyBorder="1" applyAlignment="1">
      <alignment horizontal="center" vertical="center" wrapText="1"/>
    </xf>
    <xf numFmtId="0" fontId="1" fillId="21" borderId="74" xfId="0" applyFont="1" applyFill="1" applyBorder="1" applyAlignment="1">
      <alignment horizontal="left" vertical="center" wrapText="1"/>
    </xf>
    <xf numFmtId="0" fontId="4" fillId="18" borderId="17" xfId="0" applyFont="1" applyFill="1" applyBorder="1" applyAlignment="1">
      <alignment horizontal="center" vertical="center" wrapText="1"/>
    </xf>
    <xf numFmtId="0" fontId="8" fillId="18" borderId="17" xfId="0" applyFont="1" applyFill="1" applyBorder="1" applyAlignment="1">
      <alignment horizontal="center" vertical="center"/>
    </xf>
    <xf numFmtId="0" fontId="0" fillId="0" borderId="17" xfId="0" applyBorder="1" applyAlignment="1">
      <alignment horizontal="left" vertical="center" wrapText="1"/>
    </xf>
    <xf numFmtId="0" fontId="31" fillId="0" borderId="0" xfId="0" applyFont="1" applyAlignment="1">
      <alignment vertical="top" wrapText="1"/>
    </xf>
    <xf numFmtId="3" fontId="0" fillId="0" borderId="0" xfId="0" applyNumberFormat="1" applyAlignment="1">
      <alignment vertical="top" wrapText="1"/>
    </xf>
    <xf numFmtId="1" fontId="4" fillId="0" borderId="17" xfId="0" applyNumberFormat="1" applyFont="1" applyBorder="1" applyAlignment="1">
      <alignment horizontal="left" vertical="top" wrapText="1"/>
    </xf>
    <xf numFmtId="0" fontId="37" fillId="0" borderId="0" xfId="0" applyFont="1" applyAlignment="1">
      <alignment vertical="top" wrapText="1"/>
    </xf>
    <xf numFmtId="0" fontId="8" fillId="0" borderId="17" xfId="0" applyFont="1" applyBorder="1" applyAlignment="1">
      <alignment horizontal="center" vertical="center" wrapText="1"/>
    </xf>
    <xf numFmtId="3" fontId="0" fillId="0" borderId="17" xfId="0" applyNumberFormat="1" applyBorder="1"/>
    <xf numFmtId="0" fontId="0" fillId="0" borderId="56" xfId="0" applyBorder="1" applyAlignment="1">
      <alignment vertical="top"/>
    </xf>
    <xf numFmtId="0" fontId="0" fillId="0" borderId="58" xfId="0" applyBorder="1" applyAlignment="1">
      <alignment vertical="top"/>
    </xf>
    <xf numFmtId="0" fontId="0" fillId="0" borderId="52" xfId="0" applyBorder="1" applyAlignment="1">
      <alignment vertical="top"/>
    </xf>
    <xf numFmtId="0" fontId="0" fillId="0" borderId="66" xfId="0" applyBorder="1" applyAlignment="1">
      <alignment vertical="top"/>
    </xf>
    <xf numFmtId="0" fontId="4" fillId="0" borderId="58" xfId="0" applyFont="1" applyBorder="1" applyAlignment="1">
      <alignment vertical="top" wrapText="1"/>
    </xf>
    <xf numFmtId="0" fontId="28" fillId="0" borderId="58" xfId="0" applyFont="1" applyBorder="1" applyAlignment="1">
      <alignment horizontal="left" vertical="top" wrapText="1"/>
    </xf>
    <xf numFmtId="0" fontId="1" fillId="11" borderId="75" xfId="0" applyFont="1" applyFill="1" applyBorder="1" applyAlignment="1">
      <alignment vertical="top"/>
    </xf>
    <xf numFmtId="0" fontId="1" fillId="11" borderId="3" xfId="0" applyFont="1" applyFill="1" applyBorder="1" applyAlignment="1">
      <alignment vertical="top" wrapText="1"/>
    </xf>
    <xf numFmtId="49" fontId="2" fillId="3" borderId="0" xfId="0" applyNumberFormat="1" applyFont="1" applyFill="1" applyAlignment="1">
      <alignment vertical="top" wrapText="1"/>
    </xf>
    <xf numFmtId="0" fontId="32" fillId="0" borderId="56" xfId="0" applyFont="1" applyBorder="1" applyAlignment="1">
      <alignment horizontal="center" vertical="center" wrapText="1"/>
    </xf>
    <xf numFmtId="0" fontId="38" fillId="0" borderId="58" xfId="0" applyFont="1" applyBorder="1" applyAlignment="1">
      <alignment vertical="top" wrapText="1"/>
    </xf>
    <xf numFmtId="0" fontId="7" fillId="18" borderId="0" xfId="0" applyFont="1" applyFill="1"/>
    <xf numFmtId="0" fontId="28" fillId="0" borderId="58" xfId="0" applyFont="1" applyBorder="1" applyAlignment="1">
      <alignment horizontal="left" vertical="center" wrapText="1"/>
    </xf>
    <xf numFmtId="0" fontId="40" fillId="0" borderId="58" xfId="0" applyFont="1" applyBorder="1" applyAlignment="1">
      <alignment vertical="top" wrapText="1"/>
    </xf>
    <xf numFmtId="0" fontId="0" fillId="0" borderId="76" xfId="0" applyBorder="1" applyAlignment="1">
      <alignment vertical="top" wrapText="1"/>
    </xf>
    <xf numFmtId="0" fontId="41" fillId="0" borderId="58" xfId="0" applyFont="1" applyBorder="1" applyAlignment="1">
      <alignment vertical="top" wrapText="1"/>
    </xf>
    <xf numFmtId="0" fontId="4" fillId="0" borderId="62" xfId="0" applyFont="1" applyBorder="1" applyAlignment="1">
      <alignment vertical="top" wrapText="1"/>
    </xf>
    <xf numFmtId="0" fontId="4" fillId="0" borderId="62" xfId="0" applyFont="1" applyBorder="1" applyAlignment="1">
      <alignment horizontal="left" vertical="top" wrapText="1"/>
    </xf>
    <xf numFmtId="0" fontId="4" fillId="0" borderId="56" xfId="0" applyFont="1" applyBorder="1" applyAlignment="1">
      <alignment horizontal="left" vertical="top" indent="1"/>
    </xf>
    <xf numFmtId="0" fontId="4" fillId="0" borderId="66" xfId="0" applyFont="1" applyBorder="1" applyAlignment="1">
      <alignment vertical="top" wrapText="1"/>
    </xf>
    <xf numFmtId="0" fontId="4" fillId="0" borderId="66" xfId="0" applyFont="1" applyBorder="1" applyAlignment="1">
      <alignment horizontal="left" vertical="top" wrapText="1"/>
    </xf>
    <xf numFmtId="0" fontId="8" fillId="0" borderId="17" xfId="0" applyFont="1" applyBorder="1"/>
    <xf numFmtId="0" fontId="1" fillId="45" borderId="17" xfId="0" applyFont="1" applyFill="1" applyBorder="1" applyAlignment="1">
      <alignment horizontal="left" vertical="center" wrapText="1"/>
    </xf>
    <xf numFmtId="0" fontId="1" fillId="14" borderId="77" xfId="0" applyFont="1" applyFill="1" applyBorder="1" applyAlignment="1">
      <alignment vertical="top"/>
    </xf>
    <xf numFmtId="0" fontId="1" fillId="14" borderId="78" xfId="0" applyFont="1" applyFill="1" applyBorder="1" applyAlignment="1">
      <alignment vertical="top" wrapText="1"/>
    </xf>
    <xf numFmtId="49" fontId="1" fillId="13" borderId="79" xfId="0" applyNumberFormat="1" applyFont="1" applyFill="1" applyBorder="1" applyAlignment="1">
      <alignment horizontal="center" vertical="center" wrapText="1"/>
    </xf>
    <xf numFmtId="0" fontId="1" fillId="13" borderId="80" xfId="0" applyFont="1" applyFill="1" applyBorder="1" applyAlignment="1">
      <alignment horizontal="left" vertical="center" wrapText="1"/>
    </xf>
    <xf numFmtId="49" fontId="2" fillId="4" borderId="0" xfId="0" applyNumberFormat="1" applyFont="1" applyFill="1" applyAlignment="1">
      <alignment vertical="top" wrapText="1"/>
    </xf>
    <xf numFmtId="0" fontId="31" fillId="0" borderId="17" xfId="0" applyFont="1" applyBorder="1" applyAlignment="1">
      <alignment horizontal="left" vertical="center" wrapText="1"/>
    </xf>
    <xf numFmtId="0" fontId="1" fillId="0" borderId="58" xfId="0" quotePrefix="1" applyFont="1" applyBorder="1" applyAlignment="1">
      <alignment vertical="top" wrapText="1"/>
    </xf>
    <xf numFmtId="0" fontId="1" fillId="15" borderId="81" xfId="0" applyFont="1" applyFill="1" applyBorder="1" applyAlignment="1">
      <alignment vertical="top"/>
    </xf>
    <xf numFmtId="0" fontId="1" fillId="15" borderId="82" xfId="0" applyFont="1" applyFill="1" applyBorder="1" applyAlignment="1">
      <alignment vertical="top" wrapText="1"/>
    </xf>
    <xf numFmtId="49" fontId="1" fillId="16" borderId="81" xfId="0" applyNumberFormat="1" applyFont="1" applyFill="1" applyBorder="1" applyAlignment="1">
      <alignment horizontal="center" vertical="center" wrapText="1"/>
    </xf>
    <xf numFmtId="0" fontId="4" fillId="16" borderId="0" xfId="0" applyFont="1" applyFill="1" applyAlignment="1">
      <alignment vertical="center" wrapText="1"/>
    </xf>
    <xf numFmtId="0" fontId="4" fillId="24" borderId="17" xfId="0" applyFont="1" applyFill="1" applyBorder="1" applyAlignment="1">
      <alignment horizontal="left" vertical="center" wrapText="1"/>
    </xf>
    <xf numFmtId="0" fontId="27" fillId="0" borderId="17" xfId="0" applyFont="1" applyBorder="1" applyAlignment="1">
      <alignment vertical="top" wrapText="1"/>
    </xf>
    <xf numFmtId="0" fontId="1" fillId="15" borderId="81" xfId="0" applyFont="1" applyFill="1" applyBorder="1" applyAlignment="1">
      <alignment horizontal="center" vertical="top"/>
    </xf>
    <xf numFmtId="0" fontId="35" fillId="0" borderId="58" xfId="0" applyFont="1" applyBorder="1" applyAlignment="1">
      <alignment horizontal="left" vertical="top" wrapText="1"/>
    </xf>
    <xf numFmtId="0" fontId="1" fillId="15" borderId="82" xfId="0" applyFont="1" applyFill="1" applyBorder="1" applyAlignment="1">
      <alignment horizontal="center" vertical="top" wrapText="1"/>
    </xf>
    <xf numFmtId="0" fontId="8" fillId="0" borderId="58" xfId="0" applyFont="1" applyBorder="1" applyAlignment="1">
      <alignment horizontal="left" vertical="center" wrapText="1"/>
    </xf>
    <xf numFmtId="0" fontId="1" fillId="15" borderId="82" xfId="0" applyFont="1" applyFill="1" applyBorder="1" applyAlignment="1">
      <alignment horizontal="left" vertical="top" wrapText="1"/>
    </xf>
    <xf numFmtId="0" fontId="1" fillId="0" borderId="58" xfId="0" applyFont="1" applyBorder="1" applyAlignment="1">
      <alignment horizontal="left" vertical="center" wrapText="1"/>
    </xf>
    <xf numFmtId="0" fontId="35" fillId="0" borderId="58" xfId="0" applyFont="1" applyBorder="1" applyAlignment="1">
      <alignment horizontal="left" vertical="top"/>
    </xf>
    <xf numFmtId="0" fontId="1" fillId="18" borderId="62" xfId="0" applyFont="1" applyFill="1" applyBorder="1" applyAlignment="1">
      <alignment horizontal="center" vertical="center"/>
    </xf>
    <xf numFmtId="0" fontId="1" fillId="18" borderId="62" xfId="0" applyFont="1" applyFill="1" applyBorder="1" applyAlignment="1">
      <alignment horizontal="left" vertical="center" wrapText="1"/>
    </xf>
    <xf numFmtId="0" fontId="1" fillId="0" borderId="62" xfId="0" applyFont="1" applyBorder="1" applyAlignment="1">
      <alignment horizontal="left" vertical="center" wrapText="1"/>
    </xf>
    <xf numFmtId="0" fontId="1" fillId="0" borderId="62" xfId="0" applyFont="1" applyBorder="1" applyAlignment="1">
      <alignment horizontal="center" vertical="center" wrapText="1"/>
    </xf>
    <xf numFmtId="0" fontId="1" fillId="0" borderId="62" xfId="0" applyFont="1" applyBorder="1" applyAlignment="1">
      <alignment vertical="top" wrapText="1"/>
    </xf>
    <xf numFmtId="0" fontId="0" fillId="0" borderId="83" xfId="0" applyBorder="1" applyAlignment="1">
      <alignment horizontal="center" vertical="center" wrapText="1"/>
    </xf>
    <xf numFmtId="0" fontId="0" fillId="18" borderId="64" xfId="0" applyFill="1" applyBorder="1" applyAlignment="1">
      <alignment horizontal="center" vertical="center"/>
    </xf>
    <xf numFmtId="0" fontId="0" fillId="0" borderId="62" xfId="0" applyBorder="1" applyAlignment="1">
      <alignment vertical="top"/>
    </xf>
    <xf numFmtId="0" fontId="8" fillId="0" borderId="62" xfId="0" applyFont="1" applyBorder="1" applyAlignment="1">
      <alignment vertical="top"/>
    </xf>
    <xf numFmtId="0" fontId="0" fillId="0" borderId="62" xfId="0" applyBorder="1"/>
    <xf numFmtId="49" fontId="2" fillId="5" borderId="0" xfId="0" applyNumberFormat="1" applyFont="1" applyFill="1" applyBorder="1" applyAlignment="1">
      <alignment horizontal="center" vertical="top" wrapText="1"/>
    </xf>
    <xf numFmtId="0" fontId="1" fillId="15" borderId="84" xfId="0" applyFont="1" applyFill="1" applyBorder="1" applyAlignment="1">
      <alignment horizontal="center" vertical="top"/>
    </xf>
    <xf numFmtId="0" fontId="1" fillId="15" borderId="0" xfId="0" applyFont="1" applyFill="1" applyBorder="1" applyAlignment="1">
      <alignment horizontal="center" vertical="top" wrapText="1"/>
    </xf>
    <xf numFmtId="0" fontId="1" fillId="18" borderId="58" xfId="0" applyFont="1" applyFill="1" applyBorder="1" applyAlignment="1">
      <alignment horizontal="center" vertical="center"/>
    </xf>
    <xf numFmtId="0" fontId="1" fillId="18" borderId="58" xfId="0" applyFont="1" applyFill="1" applyBorder="1" applyAlignment="1">
      <alignment horizontal="left" vertical="center" wrapText="1"/>
    </xf>
    <xf numFmtId="0" fontId="1" fillId="0" borderId="58" xfId="0" applyFont="1" applyBorder="1" applyAlignment="1">
      <alignment horizontal="center" vertical="center" wrapText="1"/>
    </xf>
    <xf numFmtId="0" fontId="0" fillId="0" borderId="85" xfId="0" applyBorder="1" applyAlignment="1">
      <alignment horizontal="center" vertical="center" wrapText="1"/>
    </xf>
    <xf numFmtId="0" fontId="42" fillId="0" borderId="58" xfId="0" applyFont="1" applyBorder="1" applyAlignment="1">
      <alignment vertical="top" wrapText="1"/>
    </xf>
    <xf numFmtId="0" fontId="0" fillId="18" borderId="86" xfId="0" applyFill="1" applyBorder="1" applyAlignment="1">
      <alignment horizontal="center" vertical="center"/>
    </xf>
    <xf numFmtId="0" fontId="0" fillId="0" borderId="58" xfId="0" applyBorder="1"/>
    <xf numFmtId="0" fontId="1" fillId="18" borderId="66" xfId="0" applyFont="1" applyFill="1" applyBorder="1" applyAlignment="1">
      <alignment horizontal="center" vertical="center" wrapText="1"/>
    </xf>
    <xf numFmtId="0" fontId="1" fillId="18" borderId="66" xfId="0" applyFont="1" applyFill="1" applyBorder="1" applyAlignment="1">
      <alignment horizontal="left" vertical="center" wrapText="1"/>
    </xf>
    <xf numFmtId="0" fontId="1" fillId="18" borderId="66" xfId="0" applyFont="1" applyFill="1" applyBorder="1" applyAlignment="1">
      <alignment horizontal="center" vertical="center"/>
    </xf>
    <xf numFmtId="0" fontId="1" fillId="0" borderId="66" xfId="0" applyFont="1" applyBorder="1" applyAlignment="1">
      <alignment horizontal="left" vertical="center" wrapText="1"/>
    </xf>
    <xf numFmtId="0" fontId="1" fillId="0" borderId="66" xfId="0" applyFont="1" applyBorder="1" applyAlignment="1">
      <alignment horizontal="center" vertical="center" wrapText="1"/>
    </xf>
    <xf numFmtId="0" fontId="0" fillId="0" borderId="67" xfId="0" applyBorder="1" applyAlignment="1">
      <alignment horizontal="center" vertical="center" wrapText="1"/>
    </xf>
    <xf numFmtId="0" fontId="0" fillId="18" borderId="87" xfId="0" applyFill="1" applyBorder="1" applyAlignment="1">
      <alignment horizontal="center" vertical="center"/>
    </xf>
    <xf numFmtId="0" fontId="0" fillId="18" borderId="66" xfId="0" applyFill="1" applyBorder="1" applyAlignment="1">
      <alignment horizontal="left" vertical="center" wrapText="1"/>
    </xf>
    <xf numFmtId="0" fontId="0" fillId="0" borderId="66" xfId="0" applyBorder="1"/>
    <xf numFmtId="0" fontId="44" fillId="0" borderId="17" xfId="0" applyFont="1" applyBorder="1" applyAlignment="1">
      <alignment horizontal="center" vertical="center" wrapText="1"/>
    </xf>
    <xf numFmtId="0" fontId="6" fillId="0" borderId="17" xfId="0" applyFont="1" applyBorder="1" applyAlignment="1">
      <alignment horizontal="left" vertical="center" wrapText="1"/>
    </xf>
    <xf numFmtId="0" fontId="1" fillId="15" borderId="89" xfId="0" applyFont="1" applyFill="1" applyBorder="1" applyAlignment="1">
      <alignment horizontal="center" vertical="top" wrapText="1"/>
    </xf>
    <xf numFmtId="0" fontId="1" fillId="15" borderId="90" xfId="0" applyFont="1" applyFill="1" applyBorder="1" applyAlignment="1">
      <alignment horizontal="left" vertical="top" wrapText="1"/>
    </xf>
    <xf numFmtId="0" fontId="0" fillId="18" borderId="56" xfId="0" applyFill="1" applyBorder="1" applyAlignment="1">
      <alignment horizontal="left" vertical="center" wrapText="1"/>
    </xf>
    <xf numFmtId="0" fontId="0" fillId="0" borderId="93" xfId="0" applyBorder="1" applyAlignment="1">
      <alignment vertical="top" wrapText="1"/>
    </xf>
    <xf numFmtId="0" fontId="6" fillId="18" borderId="52" xfId="0" applyFont="1" applyFill="1" applyBorder="1" applyAlignment="1">
      <alignment horizontal="center" vertical="center" wrapText="1"/>
    </xf>
    <xf numFmtId="0" fontId="7" fillId="18" borderId="17" xfId="0" applyFont="1" applyFill="1" applyBorder="1" applyAlignment="1">
      <alignment horizontal="left" vertical="center" wrapText="1"/>
    </xf>
    <xf numFmtId="0" fontId="4" fillId="18" borderId="17" xfId="0" applyFont="1" applyFill="1" applyBorder="1" applyAlignment="1">
      <alignment horizontal="center" vertical="center"/>
    </xf>
    <xf numFmtId="0" fontId="0" fillId="0" borderId="52" xfId="0" applyBorder="1" applyAlignment="1">
      <alignment vertical="top" wrapText="1"/>
    </xf>
    <xf numFmtId="0" fontId="0" fillId="0" borderId="94" xfId="0" applyBorder="1" applyAlignment="1">
      <alignment horizontal="left" vertical="top" indent="1"/>
    </xf>
    <xf numFmtId="49" fontId="1" fillId="17" borderId="95" xfId="0" applyNumberFormat="1" applyFont="1" applyFill="1" applyBorder="1" applyAlignment="1">
      <alignment horizontal="center" vertical="center" wrapText="1"/>
    </xf>
    <xf numFmtId="0" fontId="1" fillId="17" borderId="96" xfId="0" applyFont="1" applyFill="1" applyBorder="1" applyAlignment="1">
      <alignment horizontal="left" vertical="center" wrapText="1"/>
    </xf>
    <xf numFmtId="9" fontId="0" fillId="0" borderId="58" xfId="0" applyNumberFormat="1" applyBorder="1" applyAlignment="1">
      <alignment horizontal="left" vertical="top" indent="1"/>
    </xf>
    <xf numFmtId="0" fontId="0" fillId="0" borderId="97" xfId="0" applyBorder="1" applyAlignment="1">
      <alignment vertical="top" wrapText="1"/>
    </xf>
    <xf numFmtId="0" fontId="0" fillId="0" borderId="98" xfId="0" applyBorder="1" applyAlignment="1">
      <alignment horizontal="left" vertical="top" indent="1"/>
    </xf>
    <xf numFmtId="0" fontId="0" fillId="0" borderId="99" xfId="0" applyBorder="1" applyAlignment="1">
      <alignment horizontal="left" vertical="top" indent="1"/>
    </xf>
    <xf numFmtId="0" fontId="0" fillId="0" borderId="99" xfId="0" applyBorder="1" applyAlignment="1">
      <alignment vertical="top" wrapText="1"/>
    </xf>
    <xf numFmtId="0" fontId="0" fillId="0" borderId="98" xfId="0" applyBorder="1" applyAlignment="1">
      <alignment horizontal="left" vertical="top" wrapText="1"/>
    </xf>
    <xf numFmtId="0" fontId="0" fillId="0" borderId="70" xfId="0" applyBorder="1" applyAlignment="1">
      <alignment vertical="top" wrapText="1"/>
    </xf>
    <xf numFmtId="0" fontId="0" fillId="0" borderId="100" xfId="0" applyBorder="1" applyAlignment="1">
      <alignment horizontal="left" vertical="top" indent="1"/>
    </xf>
    <xf numFmtId="0" fontId="1" fillId="18" borderId="56" xfId="0" applyFont="1" applyFill="1" applyBorder="1" applyAlignment="1">
      <alignment horizontal="left" vertical="center" wrapText="1"/>
    </xf>
    <xf numFmtId="0" fontId="7" fillId="0" borderId="58" xfId="0" applyFont="1" applyBorder="1" applyAlignment="1">
      <alignment vertical="top"/>
    </xf>
    <xf numFmtId="0" fontId="0" fillId="0" borderId="86" xfId="0" applyBorder="1" applyAlignment="1">
      <alignment horizontal="left" vertical="top" indent="1"/>
    </xf>
    <xf numFmtId="0" fontId="0" fillId="0" borderId="87" xfId="0" applyBorder="1" applyAlignment="1">
      <alignment vertical="top" wrapText="1"/>
    </xf>
    <xf numFmtId="0" fontId="0" fillId="0" borderId="56" xfId="0" applyBorder="1" applyAlignment="1">
      <alignment horizontal="left" vertical="top" indent="1"/>
    </xf>
    <xf numFmtId="0" fontId="27" fillId="0" borderId="52" xfId="0" applyFont="1" applyBorder="1" applyAlignment="1">
      <alignment horizontal="left" vertical="top" wrapText="1"/>
    </xf>
    <xf numFmtId="3" fontId="27" fillId="0" borderId="17" xfId="0" applyNumberFormat="1" applyFont="1" applyBorder="1" applyAlignment="1">
      <alignment horizontal="left" vertical="top" wrapText="1"/>
    </xf>
    <xf numFmtId="0" fontId="7" fillId="0" borderId="58" xfId="0" applyFont="1" applyBorder="1" applyAlignment="1">
      <alignment wrapText="1"/>
    </xf>
    <xf numFmtId="0" fontId="0" fillId="0" borderId="0" xfId="0" applyAlignment="1">
      <alignment vertical="center" wrapText="1"/>
    </xf>
    <xf numFmtId="0" fontId="0" fillId="0" borderId="17" xfId="0" applyBorder="1" applyAlignment="1">
      <alignment vertical="center" wrapText="1"/>
    </xf>
    <xf numFmtId="0" fontId="6" fillId="17" borderId="96" xfId="0" applyFont="1" applyFill="1" applyBorder="1" applyAlignment="1">
      <alignment horizontal="left" vertical="center" wrapText="1"/>
    </xf>
    <xf numFmtId="0" fontId="1" fillId="0" borderId="56" xfId="0" applyFont="1" applyBorder="1" applyAlignment="1">
      <alignment vertical="top" wrapText="1"/>
    </xf>
    <xf numFmtId="0" fontId="0" fillId="0" borderId="58" xfId="0" applyBorder="1" applyAlignment="1">
      <alignment horizontal="center" vertical="center" wrapText="1"/>
    </xf>
    <xf numFmtId="0" fontId="13" fillId="18" borderId="56" xfId="0" applyFont="1" applyFill="1" applyBorder="1" applyAlignment="1">
      <alignment horizontal="left" vertical="center" wrapText="1"/>
    </xf>
    <xf numFmtId="0" fontId="8" fillId="0" borderId="67" xfId="0" applyFont="1" applyBorder="1" applyAlignment="1">
      <alignment horizontal="center" vertical="center" wrapText="1"/>
    </xf>
    <xf numFmtId="0" fontId="0" fillId="0" borderId="101" xfId="0" applyBorder="1" applyAlignment="1">
      <alignment vertical="top" wrapText="1"/>
    </xf>
    <xf numFmtId="0" fontId="0" fillId="0" borderId="101" xfId="0" applyBorder="1" applyAlignment="1">
      <alignment horizontal="left" vertical="top" indent="1"/>
    </xf>
    <xf numFmtId="0" fontId="0" fillId="0" borderId="102" xfId="0" applyBorder="1" applyAlignment="1">
      <alignment vertical="center" wrapText="1"/>
    </xf>
    <xf numFmtId="0" fontId="6" fillId="0" borderId="58" xfId="0" applyFont="1" applyBorder="1" applyAlignment="1">
      <alignment vertical="top" wrapText="1"/>
    </xf>
    <xf numFmtId="49" fontId="2" fillId="46" borderId="0" xfId="0" applyNumberFormat="1" applyFont="1" applyFill="1" applyAlignment="1">
      <alignment horizontal="center" vertical="top" wrapText="1"/>
    </xf>
    <xf numFmtId="9" fontId="0" fillId="0" borderId="17" xfId="0" applyNumberFormat="1" applyBorder="1" applyAlignment="1">
      <alignment vertical="top" wrapText="1"/>
    </xf>
    <xf numFmtId="3" fontId="7" fillId="47" borderId="0" xfId="0" applyNumberFormat="1" applyFont="1" applyFill="1" applyAlignment="1">
      <alignment vertical="top" wrapText="1"/>
    </xf>
    <xf numFmtId="0" fontId="7" fillId="47" borderId="0" xfId="0" applyFont="1" applyFill="1" applyAlignment="1">
      <alignment vertical="top" wrapText="1"/>
    </xf>
    <xf numFmtId="0" fontId="46" fillId="0" borderId="0" xfId="0" applyFont="1" applyAlignment="1">
      <alignment vertical="top" wrapText="1"/>
    </xf>
    <xf numFmtId="0" fontId="1" fillId="0" borderId="58" xfId="0" applyFont="1" applyBorder="1" applyAlignment="1">
      <alignment horizontal="left" vertical="top" wrapText="1"/>
    </xf>
    <xf numFmtId="0" fontId="1" fillId="23" borderId="12" xfId="0" applyFont="1" applyFill="1" applyBorder="1" applyAlignment="1">
      <alignment horizontal="left" vertical="center" wrapText="1"/>
    </xf>
    <xf numFmtId="0" fontId="5" fillId="8" borderId="0" xfId="0" applyFont="1" applyFill="1" applyAlignment="1">
      <alignment vertical="top" wrapText="1"/>
    </xf>
    <xf numFmtId="0" fontId="1" fillId="19" borderId="0" xfId="0" applyFont="1" applyFill="1" applyAlignment="1">
      <alignment vertical="top"/>
    </xf>
    <xf numFmtId="0" fontId="1" fillId="22" borderId="103" xfId="0" applyFont="1" applyFill="1" applyBorder="1" applyAlignment="1">
      <alignment vertical="top" wrapText="1"/>
    </xf>
    <xf numFmtId="0" fontId="4" fillId="0" borderId="58" xfId="0" applyFont="1" applyBorder="1" applyAlignment="1">
      <alignment horizontal="left" vertical="center" wrapText="1"/>
    </xf>
    <xf numFmtId="0" fontId="1" fillId="23" borderId="104" xfId="0" applyFont="1" applyFill="1" applyBorder="1" applyAlignment="1">
      <alignment vertical="center" wrapText="1"/>
    </xf>
    <xf numFmtId="0" fontId="1" fillId="23" borderId="0" xfId="0" applyFont="1" applyFill="1" applyAlignment="1">
      <alignment vertical="center" wrapText="1"/>
    </xf>
    <xf numFmtId="0" fontId="36" fillId="47" borderId="0" xfId="0" applyFont="1" applyFill="1"/>
    <xf numFmtId="0" fontId="1" fillId="23" borderId="104" xfId="0" applyFont="1" applyFill="1" applyBorder="1" applyAlignment="1">
      <alignment horizontal="center" vertical="center" wrapText="1"/>
    </xf>
    <xf numFmtId="0" fontId="1" fillId="23" borderId="0" xfId="0" applyFont="1" applyFill="1" applyAlignment="1">
      <alignment horizontal="left" vertical="center" wrapText="1"/>
    </xf>
    <xf numFmtId="0" fontId="1" fillId="18" borderId="62" xfId="0" applyFont="1" applyFill="1" applyBorder="1" applyAlignment="1">
      <alignment horizontal="center" vertical="center" wrapText="1"/>
    </xf>
    <xf numFmtId="0" fontId="0" fillId="18" borderId="62" xfId="0" applyFill="1" applyBorder="1" applyAlignment="1">
      <alignment horizontal="left" vertical="center" wrapText="1"/>
    </xf>
    <xf numFmtId="0" fontId="5" fillId="8" borderId="105" xfId="0" applyFont="1" applyFill="1" applyBorder="1" applyAlignment="1">
      <alignment vertical="top" wrapText="1"/>
    </xf>
    <xf numFmtId="0" fontId="1" fillId="19" borderId="105" xfId="0" applyFont="1" applyFill="1" applyBorder="1" applyAlignment="1">
      <alignment vertical="top"/>
    </xf>
    <xf numFmtId="0" fontId="1" fillId="22" borderId="105" xfId="0" applyFont="1" applyFill="1" applyBorder="1" applyAlignment="1">
      <alignment vertical="top" wrapText="1"/>
    </xf>
    <xf numFmtId="0" fontId="1" fillId="23" borderId="106" xfId="0" applyFont="1" applyFill="1" applyBorder="1" applyAlignment="1">
      <alignment horizontal="center" vertical="center" wrapText="1"/>
    </xf>
    <xf numFmtId="0" fontId="1" fillId="23" borderId="86" xfId="0" applyFont="1" applyFill="1" applyBorder="1" applyAlignment="1">
      <alignment horizontal="left" vertical="center" wrapText="1"/>
    </xf>
    <xf numFmtId="0" fontId="1" fillId="18" borderId="86" xfId="0" applyFont="1" applyFill="1" applyBorder="1" applyAlignment="1">
      <alignment horizontal="center" vertical="center" wrapText="1"/>
    </xf>
    <xf numFmtId="0" fontId="31" fillId="0" borderId="58" xfId="0" applyFont="1" applyBorder="1" applyAlignment="1">
      <alignment horizontal="center" vertical="center" wrapText="1"/>
    </xf>
    <xf numFmtId="0" fontId="0" fillId="18" borderId="58" xfId="0" applyFill="1" applyBorder="1" applyAlignment="1">
      <alignment horizontal="left" vertical="center" wrapText="1"/>
    </xf>
    <xf numFmtId="0" fontId="7" fillId="0" borderId="58" xfId="0" applyFont="1" applyBorder="1" applyAlignment="1">
      <alignment horizontal="left" vertical="top" wrapText="1"/>
    </xf>
    <xf numFmtId="0" fontId="0" fillId="0" borderId="86" xfId="0" applyBorder="1" applyAlignment="1">
      <alignment vertical="top" wrapText="1"/>
    </xf>
    <xf numFmtId="0" fontId="0" fillId="0" borderId="0" xfId="0" applyAlignment="1">
      <alignment horizontal="center" vertical="center" wrapText="1"/>
    </xf>
    <xf numFmtId="3" fontId="0" fillId="0" borderId="58" xfId="0" applyNumberFormat="1" applyBorder="1" applyAlignment="1">
      <alignment vertical="top"/>
    </xf>
    <xf numFmtId="0" fontId="49" fillId="32" borderId="0" xfId="0" applyFont="1" applyFill="1"/>
    <xf numFmtId="0" fontId="8" fillId="0" borderId="0" xfId="0" applyFont="1"/>
    <xf numFmtId="0" fontId="0" fillId="0" borderId="0" xfId="0" applyAlignment="1">
      <alignment horizontal="center"/>
    </xf>
    <xf numFmtId="0" fontId="15" fillId="27" borderId="52" xfId="0" applyFont="1" applyFill="1" applyBorder="1" applyAlignment="1">
      <alignment horizontal="center" vertical="center" wrapText="1"/>
    </xf>
    <xf numFmtId="0" fontId="15" fillId="3" borderId="52" xfId="0" applyFont="1" applyFill="1" applyBorder="1" applyAlignment="1">
      <alignment horizontal="center" vertical="center" wrapText="1"/>
    </xf>
    <xf numFmtId="0" fontId="15" fillId="28" borderId="52" xfId="0" applyFont="1" applyFill="1" applyBorder="1" applyAlignment="1">
      <alignment horizontal="center" vertical="center" wrapText="1"/>
    </xf>
    <xf numFmtId="0" fontId="15" fillId="29" borderId="52" xfId="0" applyFont="1" applyFill="1" applyBorder="1" applyAlignment="1">
      <alignment horizontal="center" vertical="center" wrapText="1"/>
    </xf>
    <xf numFmtId="0" fontId="15" fillId="30" borderId="52" xfId="0" applyFont="1" applyFill="1" applyBorder="1" applyAlignment="1">
      <alignment horizontal="center" vertical="center" wrapText="1"/>
    </xf>
    <xf numFmtId="0" fontId="15" fillId="31" borderId="52" xfId="0" applyFont="1" applyFill="1" applyBorder="1" applyAlignment="1">
      <alignment horizontal="center" vertical="center" wrapText="1"/>
    </xf>
    <xf numFmtId="0" fontId="18" fillId="0" borderId="0" xfId="0" applyFont="1" applyAlignment="1">
      <alignment horizontal="center"/>
    </xf>
    <xf numFmtId="0" fontId="1" fillId="18" borderId="40" xfId="0" applyFont="1" applyFill="1" applyBorder="1" applyAlignment="1">
      <alignment horizontal="center" vertical="top"/>
    </xf>
    <xf numFmtId="0" fontId="1" fillId="18" borderId="9" xfId="0" applyFont="1" applyFill="1" applyBorder="1" applyAlignment="1">
      <alignment horizontal="left" vertical="top" wrapText="1"/>
    </xf>
    <xf numFmtId="49" fontId="1" fillId="17" borderId="40" xfId="0" applyNumberFormat="1" applyFont="1" applyFill="1" applyBorder="1" applyAlignment="1">
      <alignment horizontal="center" vertical="center" wrapText="1"/>
    </xf>
    <xf numFmtId="0" fontId="1" fillId="17" borderId="39" xfId="0" applyFont="1" applyFill="1" applyBorder="1" applyAlignment="1">
      <alignment horizontal="left" vertical="center" wrapText="1"/>
    </xf>
    <xf numFmtId="0" fontId="1" fillId="17" borderId="41" xfId="0" applyFont="1" applyFill="1" applyBorder="1" applyAlignment="1">
      <alignment horizontal="left" vertical="center" wrapText="1"/>
    </xf>
    <xf numFmtId="0" fontId="1" fillId="23" borderId="42" xfId="0" applyFont="1" applyFill="1" applyBorder="1" applyAlignment="1">
      <alignment horizontal="center" vertical="center" wrapText="1"/>
    </xf>
    <xf numFmtId="0" fontId="1" fillId="23" borderId="12" xfId="0" applyFont="1" applyFill="1" applyBorder="1" applyAlignment="1">
      <alignment horizontal="left" vertical="center" wrapText="1"/>
    </xf>
    <xf numFmtId="0" fontId="1" fillId="23" borderId="43" xfId="0" applyFont="1" applyFill="1" applyBorder="1" applyAlignment="1">
      <alignment horizontal="center" vertical="center" wrapText="1"/>
    </xf>
    <xf numFmtId="0" fontId="1" fillId="23" borderId="44" xfId="0" applyFont="1" applyFill="1" applyBorder="1" applyAlignment="1">
      <alignment horizontal="left" vertical="center" wrapText="1"/>
    </xf>
    <xf numFmtId="0" fontId="1" fillId="19" borderId="12" xfId="0" applyFont="1" applyFill="1" applyBorder="1" applyAlignment="1">
      <alignment horizontal="center" vertical="top"/>
    </xf>
    <xf numFmtId="0" fontId="1" fillId="19" borderId="12" xfId="0" applyFont="1" applyFill="1" applyBorder="1" applyAlignment="1">
      <alignment horizontal="left" vertical="top" wrapText="1"/>
    </xf>
    <xf numFmtId="49" fontId="1" fillId="17" borderId="38" xfId="0" applyNumberFormat="1" applyFont="1" applyFill="1" applyBorder="1" applyAlignment="1">
      <alignment horizontal="center" vertical="center" wrapText="1"/>
    </xf>
    <xf numFmtId="0" fontId="4" fillId="17" borderId="39" xfId="0" applyFont="1" applyFill="1" applyBorder="1" applyAlignment="1">
      <alignment horizontal="left" vertical="center" wrapText="1"/>
    </xf>
    <xf numFmtId="0" fontId="6" fillId="17" borderId="39" xfId="0" applyFont="1" applyFill="1" applyBorder="1" applyAlignment="1">
      <alignment horizontal="left" vertical="center" wrapText="1"/>
    </xf>
    <xf numFmtId="49" fontId="1" fillId="16" borderId="34" xfId="0" applyNumberFormat="1" applyFont="1" applyFill="1" applyBorder="1" applyAlignment="1">
      <alignment horizontal="center" vertical="center" wrapText="1"/>
    </xf>
    <xf numFmtId="49" fontId="1" fillId="16" borderId="91" xfId="0" applyNumberFormat="1" applyFont="1" applyFill="1" applyBorder="1" applyAlignment="1">
      <alignment horizontal="center" vertical="center" wrapText="1"/>
    </xf>
    <xf numFmtId="0" fontId="1" fillId="16" borderId="35" xfId="0" applyFont="1" applyFill="1" applyBorder="1" applyAlignment="1">
      <alignment horizontal="left" vertical="center" wrapText="1"/>
    </xf>
    <xf numFmtId="0" fontId="1" fillId="16" borderId="92" xfId="0" applyFont="1" applyFill="1" applyBorder="1" applyAlignment="1">
      <alignment horizontal="left" vertical="center" wrapText="1"/>
    </xf>
    <xf numFmtId="0" fontId="1" fillId="18" borderId="37" xfId="0" applyFont="1" applyFill="1" applyBorder="1" applyAlignment="1">
      <alignment horizontal="center" vertical="top"/>
    </xf>
    <xf numFmtId="0" fontId="1" fillId="18" borderId="8" xfId="0" applyFont="1" applyFill="1" applyBorder="1" applyAlignment="1">
      <alignment horizontal="left" vertical="top" wrapText="1"/>
    </xf>
    <xf numFmtId="49" fontId="1" fillId="17" borderId="37" xfId="0" applyNumberFormat="1" applyFont="1" applyFill="1" applyBorder="1" applyAlignment="1">
      <alignment horizontal="center" vertical="center" wrapText="1"/>
    </xf>
    <xf numFmtId="0" fontId="1" fillId="17" borderId="0" xfId="0" applyFont="1" applyFill="1" applyAlignment="1">
      <alignment horizontal="left" vertical="center" wrapText="1"/>
    </xf>
    <xf numFmtId="0" fontId="1" fillId="17" borderId="38" xfId="0" applyFont="1" applyFill="1" applyBorder="1" applyAlignment="1">
      <alignment horizontal="center" vertical="center"/>
    </xf>
    <xf numFmtId="0" fontId="7" fillId="17" borderId="39" xfId="0" applyFont="1" applyFill="1" applyBorder="1" applyAlignment="1">
      <alignment horizontal="left" vertical="center" wrapText="1"/>
    </xf>
    <xf numFmtId="49" fontId="1" fillId="16" borderId="81" xfId="0" applyNumberFormat="1" applyFont="1" applyFill="1" applyBorder="1" applyAlignment="1">
      <alignment horizontal="center" vertical="center" wrapText="1"/>
    </xf>
    <xf numFmtId="0" fontId="1" fillId="16" borderId="88" xfId="0" applyFont="1" applyFill="1" applyBorder="1" applyAlignment="1">
      <alignment horizontal="left" vertical="center" wrapText="1"/>
    </xf>
    <xf numFmtId="0" fontId="1" fillId="16" borderId="0" xfId="0" applyFont="1" applyFill="1" applyBorder="1" applyAlignment="1">
      <alignment horizontal="left" vertical="center" wrapText="1"/>
    </xf>
    <xf numFmtId="49" fontId="1" fillId="13" borderId="28" xfId="0" applyNumberFormat="1" applyFont="1" applyFill="1" applyBorder="1" applyAlignment="1">
      <alignment horizontal="center" vertical="center" wrapText="1"/>
    </xf>
    <xf numFmtId="0" fontId="1" fillId="13" borderId="31" xfId="0" applyFont="1" applyFill="1" applyBorder="1" applyAlignment="1">
      <alignment horizontal="left" vertical="center" wrapText="1"/>
    </xf>
    <xf numFmtId="0" fontId="1" fillId="15" borderId="7" xfId="0" applyFont="1" applyFill="1" applyBorder="1" applyAlignment="1">
      <alignment horizontal="left" vertical="top" wrapText="1"/>
    </xf>
    <xf numFmtId="49" fontId="1" fillId="16" borderId="35" xfId="0" applyNumberFormat="1" applyFont="1" applyFill="1" applyBorder="1" applyAlignment="1">
      <alignment horizontal="center" vertical="center" wrapText="1"/>
    </xf>
    <xf numFmtId="0" fontId="1" fillId="16" borderId="35" xfId="0" applyFont="1" applyFill="1" applyBorder="1" applyAlignment="1">
      <alignment horizontal="center" vertical="center"/>
    </xf>
    <xf numFmtId="49" fontId="2" fillId="4" borderId="0" xfId="0" applyNumberFormat="1" applyFont="1" applyFill="1" applyAlignment="1">
      <alignment horizontal="center" vertical="top" wrapText="1"/>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3" borderId="30" xfId="0" applyFont="1" applyFill="1" applyBorder="1" applyAlignment="1">
      <alignment horizontal="left" vertical="center" wrapText="1"/>
    </xf>
    <xf numFmtId="49" fontId="1" fillId="12" borderId="27" xfId="0" applyNumberFormat="1" applyFont="1" applyFill="1" applyBorder="1" applyAlignment="1">
      <alignment horizontal="center" vertical="center" wrapText="1"/>
    </xf>
    <xf numFmtId="0" fontId="1" fillId="12" borderId="4" xfId="0" applyFont="1" applyFill="1" applyBorder="1" applyAlignment="1">
      <alignment vertical="center" wrapText="1"/>
    </xf>
    <xf numFmtId="0" fontId="1" fillId="14" borderId="28" xfId="0" applyFont="1" applyFill="1" applyBorder="1" applyAlignment="1">
      <alignment horizontal="center" vertical="top"/>
    </xf>
    <xf numFmtId="0" fontId="1" fillId="14" borderId="28" xfId="0" applyFont="1" applyFill="1" applyBorder="1" applyAlignment="1">
      <alignment horizontal="right" vertical="top"/>
    </xf>
    <xf numFmtId="0" fontId="1" fillId="14" borderId="5" xfId="0" applyFont="1" applyFill="1" applyBorder="1" applyAlignment="1">
      <alignment horizontal="left" vertical="top" wrapText="1"/>
    </xf>
    <xf numFmtId="0" fontId="1" fillId="10" borderId="20" xfId="0" applyFont="1" applyFill="1" applyBorder="1" applyAlignment="1">
      <alignment vertical="center" wrapText="1"/>
    </xf>
    <xf numFmtId="0" fontId="1" fillId="21" borderId="10" xfId="0" applyFont="1" applyFill="1" applyBorder="1" applyAlignment="1">
      <alignment horizontal="center" vertical="center"/>
    </xf>
    <xf numFmtId="0" fontId="1" fillId="21" borderId="10" xfId="0" applyFont="1" applyFill="1" applyBorder="1" applyAlignment="1">
      <alignment vertical="center" wrapText="1"/>
    </xf>
    <xf numFmtId="0" fontId="1" fillId="20" borderId="24" xfId="0" applyFont="1" applyFill="1" applyBorder="1" applyAlignment="1">
      <alignment horizontal="center" vertical="top"/>
    </xf>
    <xf numFmtId="0" fontId="1" fillId="20" borderId="14" xfId="0" applyFont="1" applyFill="1" applyBorder="1" applyAlignment="1">
      <alignment horizontal="left" vertical="top" wrapText="1"/>
    </xf>
    <xf numFmtId="49" fontId="1" fillId="21" borderId="24" xfId="0" applyNumberFormat="1" applyFont="1" applyFill="1" applyBorder="1" applyAlignment="1">
      <alignment horizontal="center" vertical="center" wrapText="1"/>
    </xf>
    <xf numFmtId="0" fontId="1" fillId="21" borderId="24" xfId="0" applyFont="1" applyFill="1" applyBorder="1" applyAlignment="1">
      <alignment horizontal="left" vertical="center" wrapText="1"/>
    </xf>
    <xf numFmtId="49" fontId="1" fillId="21" borderId="25" xfId="0" applyNumberFormat="1" applyFont="1" applyFill="1" applyBorder="1" applyAlignment="1">
      <alignment horizontal="center" vertical="center" wrapText="1"/>
    </xf>
    <xf numFmtId="0" fontId="1" fillId="21" borderId="22" xfId="0" applyFont="1" applyFill="1" applyBorder="1" applyAlignment="1">
      <alignment horizontal="center" vertical="center"/>
    </xf>
    <xf numFmtId="0" fontId="1" fillId="21" borderId="72" xfId="0" applyFont="1" applyFill="1" applyBorder="1" applyAlignment="1">
      <alignment horizontal="center" vertical="center"/>
    </xf>
    <xf numFmtId="0" fontId="1" fillId="21" borderId="69" xfId="0" applyFont="1" applyFill="1" applyBorder="1" applyAlignment="1">
      <alignment vertical="center" wrapText="1"/>
    </xf>
    <xf numFmtId="0" fontId="1" fillId="21" borderId="0" xfId="0" applyFont="1" applyFill="1" applyBorder="1" applyAlignment="1">
      <alignment vertical="center" wrapText="1"/>
    </xf>
    <xf numFmtId="0" fontId="1" fillId="21" borderId="16" xfId="0" applyFont="1" applyFill="1" applyBorder="1" applyAlignment="1">
      <alignment vertical="center" wrapText="1"/>
    </xf>
    <xf numFmtId="49" fontId="1" fillId="21" borderId="23" xfId="0" applyNumberFormat="1" applyFont="1" applyFill="1" applyBorder="1" applyAlignment="1">
      <alignment horizontal="center" vertical="center" wrapText="1"/>
    </xf>
    <xf numFmtId="0" fontId="1" fillId="21" borderId="73" xfId="0" applyFont="1" applyFill="1" applyBorder="1" applyAlignment="1">
      <alignment horizontal="left" vertical="center" wrapText="1"/>
    </xf>
    <xf numFmtId="0" fontId="1" fillId="21" borderId="0" xfId="0" applyFont="1" applyFill="1" applyAlignment="1">
      <alignment horizontal="left" vertical="center" wrapText="1"/>
    </xf>
    <xf numFmtId="0" fontId="2" fillId="36" borderId="56" xfId="0" applyFont="1" applyFill="1" applyBorder="1" applyAlignment="1">
      <alignment horizontal="center" vertical="top" wrapText="1"/>
    </xf>
    <xf numFmtId="0" fontId="2" fillId="36" borderId="17" xfId="0" applyFont="1" applyFill="1" applyBorder="1" applyAlignment="1">
      <alignment horizontal="center" vertical="top" wrapText="1"/>
    </xf>
    <xf numFmtId="0" fontId="2" fillId="37" borderId="56" xfId="0" applyFont="1" applyFill="1" applyBorder="1" applyAlignment="1">
      <alignment horizontal="left" vertical="top" wrapText="1"/>
    </xf>
    <xf numFmtId="0" fontId="2" fillId="0" borderId="56" xfId="0" applyFont="1" applyBorder="1" applyAlignment="1">
      <alignment horizontal="center" vertical="top" wrapText="1"/>
    </xf>
    <xf numFmtId="49" fontId="1" fillId="10" borderId="59" xfId="0" applyNumberFormat="1" applyFont="1" applyFill="1" applyBorder="1" applyAlignment="1">
      <alignment horizontal="center" vertical="center" wrapText="1"/>
    </xf>
    <xf numFmtId="49" fontId="1" fillId="10" borderId="60" xfId="0" applyNumberFormat="1" applyFont="1" applyFill="1" applyBorder="1" applyAlignment="1">
      <alignment horizontal="center" vertical="center" wrapText="1"/>
    </xf>
    <xf numFmtId="0" fontId="1" fillId="10" borderId="16" xfId="0" applyFont="1" applyFill="1" applyBorder="1" applyAlignment="1">
      <alignment vertical="center" wrapText="1"/>
    </xf>
    <xf numFmtId="49" fontId="1" fillId="10" borderId="18" xfId="0" applyNumberFormat="1" applyFont="1"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 xfId="0" applyFont="1" applyFill="1" applyBorder="1" applyAlignment="1">
      <alignment horizontal="left" vertical="center" wrapText="1"/>
    </xf>
    <xf numFmtId="0" fontId="1" fillId="10" borderId="63" xfId="0" applyFont="1" applyFill="1" applyBorder="1" applyAlignment="1">
      <alignment horizontal="left" vertical="center" wrapText="1"/>
    </xf>
    <xf numFmtId="0" fontId="1" fillId="10" borderId="65" xfId="0" applyFont="1" applyFill="1" applyBorder="1" applyAlignment="1">
      <alignment horizontal="left" vertical="center" wrapText="1"/>
    </xf>
    <xf numFmtId="0" fontId="1" fillId="9" borderId="18" xfId="0" applyFont="1" applyFill="1" applyBorder="1" applyAlignment="1">
      <alignment horizontal="center" vertical="top"/>
    </xf>
    <xf numFmtId="0" fontId="1" fillId="9" borderId="2" xfId="0" applyFont="1" applyFill="1" applyBorder="1" applyAlignment="1">
      <alignment horizontal="left" vertical="top" wrapText="1"/>
    </xf>
    <xf numFmtId="0" fontId="1" fillId="10" borderId="20" xfId="0" applyFont="1" applyFill="1" applyBorder="1" applyAlignment="1">
      <alignment horizontal="left" vertical="center" wrapText="1"/>
    </xf>
    <xf numFmtId="0" fontId="1" fillId="10" borderId="16" xfId="0" applyFont="1" applyFill="1" applyBorder="1" applyAlignment="1">
      <alignment horizontal="left" vertical="center" wrapText="1"/>
    </xf>
    <xf numFmtId="8" fontId="18" fillId="0" borderId="0" xfId="0" applyNumberFormat="1" applyFont="1"/>
  </cellXfs>
  <cellStyles count="1">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4476/PN_SERRA%20DE%20MONTSANT/UO4500/100%20DIRECCIO/104%20Planificaci&#243;/PLA%20ESTRATEGIC%202024/Pla%20Estrat&#232;gic%20Montsant/DEFINITIU/Llistat_tasques_2102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Full1"/>
      <sheetName val="Taxonomia Amenaces"/>
      <sheetName val="VINCLE AMENAÇA_OBJ. OPERATIU"/>
      <sheetName val="Llist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EspaiNatural" displayName="EspaiNatural" ref="A1:B15" totalsRowShown="0" headerRowDxfId="34" headerRowBorderDxfId="33" tableBorderDxfId="32">
  <autoFilter ref="A1:B15"/>
  <tableColumns count="2">
    <tableColumn id="1" name="Espai natural" dataDxfId="31"/>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30">
  <autoFilter ref="D1:D4"/>
  <tableColumns count="1">
    <tableColumn id="1" name="Paratge Natural d'Interès Nacional de l'Albera" dataDxfId="29"/>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8">
  <autoFilter ref="E1:E7"/>
  <tableColumns count="1">
    <tableColumn id="1" name="Paratge Natural d'Interès Nacional de Poblet" dataDxfId="27"/>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6">
  <autoFilter ref="F1:F21"/>
  <tableColumns count="1">
    <tableColumn id="1" name="Parc Nacional d'Aigüestortes i Estany de Sant Maurici" dataDxfId="25"/>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4">
  <autoFilter ref="G1:G9"/>
  <tableColumns count="1">
    <tableColumn id="1" name="Parc Natural de Cap de Creus" dataDxfId="23"/>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22">
  <autoFilter ref="H1:H9"/>
  <tableColumns count="1">
    <tableColumn id="1" name="Parc Natural de la Serra de Montsant" dataDxfId="21"/>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20">
  <autoFilter ref="I1:I15"/>
  <tableColumns count="1">
    <tableColumn id="1" name="Parc Natural de la Zona Volcànica de la Garrotxa" dataDxfId="19"/>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8">
  <autoFilter ref="J1:J16"/>
  <tableColumns count="1">
    <tableColumn id="1" name="Parc Natural de l'Alt Pirineu" dataDxfId="17"/>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6">
  <autoFilter ref="K1:K6"/>
  <tableColumns count="1">
    <tableColumn id="1" name="Parc Natural de les Capçaleres del Ter i el Freser" dataDxfId="15"/>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4">
  <autoFilter ref="L1:L10"/>
  <tableColumns count="1">
    <tableColumn id="1" name="Parc Natural del Cadí-Moixeró" dataDxfId="13"/>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12">
  <autoFilter ref="M1:M15"/>
  <tableColumns count="1">
    <tableColumn id="1" name="Parc Natural del Delta de l'Ebre" dataDxfId="11"/>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10">
  <autoFilter ref="N1:N9"/>
  <tableColumns count="1">
    <tableColumn id="1" name="Parc Natural del Montgrí, les Illes Medes i el Baix Ter" dataDxfId="9"/>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8">
  <autoFilter ref="O1:O13"/>
  <tableColumns count="1">
    <tableColumn id="1" name="Parc Natural dels Aiguamolls de l'Empordà" dataDxfId="7"/>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6">
  <autoFilter ref="P1:P13"/>
  <tableColumns count="1">
    <tableColumn id="1" name="Parc Natural dels Ports" dataDxfId="5"/>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4">
  <autoFilter ref="Q1:Q8"/>
  <tableColumns count="1">
    <tableColumn id="1" name="Secans de Lleida"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D14" sqref="D14"/>
    </sheetView>
  </sheetViews>
  <sheetFormatPr defaultRowHeight="14.5"/>
  <cols>
    <col min="1" max="1" width="19.453125" style="146" customWidth="1"/>
    <col min="2" max="2" width="95.7265625" style="146" customWidth="1"/>
  </cols>
  <sheetData>
    <row r="2" spans="1:2" ht="29">
      <c r="A2" s="147" t="s">
        <v>0</v>
      </c>
      <c r="B2" s="148" t="s">
        <v>1</v>
      </c>
    </row>
    <row r="3" spans="1:2">
      <c r="A3" s="147" t="s">
        <v>2</v>
      </c>
      <c r="B3" s="148" t="s">
        <v>3</v>
      </c>
    </row>
    <row r="4" spans="1:2" ht="29">
      <c r="A4" s="147" t="s">
        <v>4</v>
      </c>
      <c r="B4" s="148" t="s">
        <v>5</v>
      </c>
    </row>
    <row r="5" spans="1:2">
      <c r="A5" s="147" t="s">
        <v>6</v>
      </c>
      <c r="B5" s="148" t="s">
        <v>7</v>
      </c>
    </row>
    <row r="6" spans="1:2">
      <c r="A6" s="147" t="s">
        <v>8</v>
      </c>
      <c r="B6" s="148" t="s">
        <v>9</v>
      </c>
    </row>
    <row r="7" spans="1:2">
      <c r="A7" s="147" t="s">
        <v>10</v>
      </c>
      <c r="B7" s="148" t="s">
        <v>11</v>
      </c>
    </row>
    <row r="8" spans="1:2" ht="29">
      <c r="A8" s="147" t="s">
        <v>12</v>
      </c>
      <c r="B8" s="148" t="s">
        <v>13</v>
      </c>
    </row>
    <row r="9" spans="1:2" ht="29">
      <c r="A9" s="147" t="s">
        <v>14</v>
      </c>
      <c r="B9" s="148" t="s">
        <v>15</v>
      </c>
    </row>
    <row r="10" spans="1:2">
      <c r="A10" s="147" t="s">
        <v>16</v>
      </c>
      <c r="B10" s="148" t="s">
        <v>17</v>
      </c>
    </row>
    <row r="11" spans="1:2" ht="58">
      <c r="A11" s="147" t="s">
        <v>18</v>
      </c>
      <c r="B11" s="148" t="s">
        <v>19</v>
      </c>
    </row>
    <row r="14" spans="1:2" ht="87">
      <c r="A14" s="149" t="s">
        <v>20</v>
      </c>
      <c r="B14" s="148"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52"/>
  <sheetViews>
    <sheetView tabSelected="1" topLeftCell="B34" zoomScale="90" zoomScaleNormal="90" workbookViewId="0">
      <selection activeCell="J42" sqref="J42"/>
    </sheetView>
  </sheetViews>
  <sheetFormatPr defaultRowHeight="14.5"/>
  <cols>
    <col min="2" max="2" width="8.7265625" style="475"/>
    <col min="3" max="3" width="38.1796875" customWidth="1"/>
    <col min="4" max="4" width="23.36328125" customWidth="1"/>
    <col min="5" max="5" width="17.26953125" customWidth="1"/>
    <col min="6" max="6" width="20.26953125" style="167" customWidth="1"/>
    <col min="7" max="7" width="26.54296875" customWidth="1"/>
    <col min="8" max="8" width="11.90625" customWidth="1"/>
    <col min="9" max="9" width="38.26953125" style="146" customWidth="1"/>
    <col min="10" max="10" width="12.1796875" customWidth="1"/>
    <col min="11" max="11" width="23" customWidth="1"/>
    <col min="12" max="12" width="26.7265625" customWidth="1"/>
    <col min="13" max="13" width="23" customWidth="1"/>
    <col min="14" max="14" width="22.54296875" customWidth="1"/>
  </cols>
  <sheetData>
    <row r="1" spans="1:14">
      <c r="C1" s="144" t="s">
        <v>982</v>
      </c>
      <c r="D1" s="143"/>
      <c r="E1" s="143"/>
      <c r="F1" s="166"/>
      <c r="G1" s="143"/>
      <c r="M1" s="200" t="s">
        <v>22</v>
      </c>
      <c r="N1" s="201" t="s">
        <v>817</v>
      </c>
    </row>
    <row r="2" spans="1:14" ht="15" thickBot="1"/>
    <row r="3" spans="1:14" s="180" customFormat="1" ht="52">
      <c r="A3" s="159" t="s">
        <v>23</v>
      </c>
      <c r="B3" s="175" t="s">
        <v>24</v>
      </c>
      <c r="C3" s="160" t="s">
        <v>25</v>
      </c>
      <c r="D3" s="161" t="s">
        <v>26</v>
      </c>
      <c r="E3" s="161" t="s">
        <v>27</v>
      </c>
      <c r="F3" s="177" t="s">
        <v>28</v>
      </c>
      <c r="G3" s="161" t="s">
        <v>29</v>
      </c>
      <c r="H3" s="178" t="s">
        <v>30</v>
      </c>
      <c r="I3" s="161" t="s">
        <v>31</v>
      </c>
      <c r="J3" s="174" t="s">
        <v>32</v>
      </c>
      <c r="K3" s="178" t="s">
        <v>33</v>
      </c>
      <c r="L3" s="179" t="s">
        <v>34</v>
      </c>
      <c r="M3" s="179" t="s">
        <v>35</v>
      </c>
      <c r="N3" s="179" t="s">
        <v>36</v>
      </c>
    </row>
    <row r="4" spans="1:14" s="189" customFormat="1" ht="57.5">
      <c r="A4" s="158" t="s">
        <v>986</v>
      </c>
      <c r="B4" s="176">
        <v>4</v>
      </c>
      <c r="C4" s="157" t="s">
        <v>985</v>
      </c>
      <c r="D4" s="157" t="s">
        <v>150</v>
      </c>
      <c r="E4" s="157"/>
      <c r="F4" s="157" t="s">
        <v>38</v>
      </c>
      <c r="G4" s="157" t="s">
        <v>666</v>
      </c>
      <c r="H4" s="157" t="s">
        <v>682</v>
      </c>
      <c r="I4" s="157" t="s">
        <v>711</v>
      </c>
      <c r="J4" s="202">
        <v>25000</v>
      </c>
      <c r="K4" s="220" t="s">
        <v>1027</v>
      </c>
      <c r="L4" s="157"/>
      <c r="M4" s="157" t="s">
        <v>862</v>
      </c>
      <c r="N4" s="157" t="s">
        <v>674</v>
      </c>
    </row>
    <row r="5" spans="1:14" s="190" customFormat="1" ht="69">
      <c r="A5" s="158" t="s">
        <v>40</v>
      </c>
      <c r="B5" s="176">
        <v>20</v>
      </c>
      <c r="C5" s="181" t="s">
        <v>1948</v>
      </c>
      <c r="D5" s="181" t="s">
        <v>102</v>
      </c>
      <c r="E5" s="181"/>
      <c r="F5" s="157" t="s">
        <v>38</v>
      </c>
      <c r="G5" s="181" t="s">
        <v>666</v>
      </c>
      <c r="H5" s="181" t="s">
        <v>758</v>
      </c>
      <c r="I5" s="181" t="s">
        <v>730</v>
      </c>
      <c r="J5" s="207">
        <v>3000</v>
      </c>
      <c r="K5" s="221" t="s">
        <v>669</v>
      </c>
      <c r="L5" s="181"/>
      <c r="M5" s="181" t="s">
        <v>862</v>
      </c>
      <c r="N5" s="181" t="s">
        <v>669</v>
      </c>
    </row>
    <row r="6" spans="1:14" s="190" customFormat="1" ht="69">
      <c r="A6" s="168" t="s">
        <v>41</v>
      </c>
      <c r="B6" s="476">
        <v>16</v>
      </c>
      <c r="C6" s="162" t="s">
        <v>988</v>
      </c>
      <c r="D6" s="162" t="s">
        <v>261</v>
      </c>
      <c r="E6" s="182"/>
      <c r="F6" s="162" t="s">
        <v>42</v>
      </c>
      <c r="G6" s="162" t="s">
        <v>666</v>
      </c>
      <c r="H6" s="162" t="s">
        <v>758</v>
      </c>
      <c r="I6" s="162" t="s">
        <v>723</v>
      </c>
      <c r="J6" s="208">
        <v>15000</v>
      </c>
      <c r="K6" s="222" t="s">
        <v>1028</v>
      </c>
      <c r="L6" s="182"/>
      <c r="M6" s="204" t="s">
        <v>862</v>
      </c>
      <c r="N6" s="204" t="s">
        <v>674</v>
      </c>
    </row>
    <row r="7" spans="1:14" s="190" customFormat="1" ht="69">
      <c r="A7" s="168" t="s">
        <v>43</v>
      </c>
      <c r="B7" s="476">
        <v>18</v>
      </c>
      <c r="C7" s="204" t="s">
        <v>989</v>
      </c>
      <c r="D7" s="204" t="s">
        <v>261</v>
      </c>
      <c r="E7" s="183"/>
      <c r="F7" s="162" t="s">
        <v>42</v>
      </c>
      <c r="G7" s="204" t="s">
        <v>666</v>
      </c>
      <c r="H7" s="204" t="s">
        <v>758</v>
      </c>
      <c r="I7" s="204" t="s">
        <v>685</v>
      </c>
      <c r="J7" s="209">
        <v>3000</v>
      </c>
      <c r="K7" s="204" t="s">
        <v>1943</v>
      </c>
      <c r="L7" s="183"/>
      <c r="M7" s="204" t="s">
        <v>862</v>
      </c>
      <c r="N7" s="204" t="s">
        <v>674</v>
      </c>
    </row>
    <row r="8" spans="1:14" s="190" customFormat="1" ht="69">
      <c r="A8" s="168" t="s">
        <v>44</v>
      </c>
      <c r="B8" s="476">
        <v>25</v>
      </c>
      <c r="C8" s="204" t="s">
        <v>1949</v>
      </c>
      <c r="D8" s="204" t="s">
        <v>242</v>
      </c>
      <c r="E8" s="183"/>
      <c r="F8" s="162" t="s">
        <v>42</v>
      </c>
      <c r="G8" s="204" t="s">
        <v>666</v>
      </c>
      <c r="H8" s="204" t="s">
        <v>758</v>
      </c>
      <c r="I8" s="204" t="s">
        <v>685</v>
      </c>
      <c r="J8" s="209">
        <v>2000</v>
      </c>
      <c r="K8" s="204" t="s">
        <v>1038</v>
      </c>
      <c r="L8" s="183"/>
      <c r="M8" s="204" t="s">
        <v>904</v>
      </c>
      <c r="N8" s="204" t="s">
        <v>669</v>
      </c>
    </row>
    <row r="9" spans="1:14" s="190" customFormat="1" ht="69">
      <c r="A9" s="169" t="s">
        <v>1957</v>
      </c>
      <c r="B9" s="477">
        <v>24</v>
      </c>
      <c r="C9" s="163" t="s">
        <v>1950</v>
      </c>
      <c r="D9" s="163" t="s">
        <v>290</v>
      </c>
      <c r="E9" s="163" t="s">
        <v>37</v>
      </c>
      <c r="F9" s="163" t="s">
        <v>45</v>
      </c>
      <c r="G9" s="210" t="s">
        <v>666</v>
      </c>
      <c r="H9" s="163" t="s">
        <v>758</v>
      </c>
      <c r="I9" s="211" t="s">
        <v>676</v>
      </c>
      <c r="J9" s="210">
        <v>3500</v>
      </c>
      <c r="K9" s="163" t="s">
        <v>1014</v>
      </c>
      <c r="L9" s="184"/>
      <c r="M9" s="163" t="s">
        <v>862</v>
      </c>
      <c r="N9" s="163" t="s">
        <v>669</v>
      </c>
    </row>
    <row r="10" spans="1:14" s="190" customFormat="1" ht="69">
      <c r="A10" s="169" t="s">
        <v>46</v>
      </c>
      <c r="B10" s="477">
        <v>28</v>
      </c>
      <c r="C10" s="163" t="s">
        <v>1951</v>
      </c>
      <c r="D10" s="163" t="s">
        <v>330</v>
      </c>
      <c r="E10" s="163" t="s">
        <v>454</v>
      </c>
      <c r="F10" s="163" t="s">
        <v>45</v>
      </c>
      <c r="G10" s="210" t="s">
        <v>666</v>
      </c>
      <c r="H10" s="163" t="s">
        <v>758</v>
      </c>
      <c r="I10" s="211" t="s">
        <v>685</v>
      </c>
      <c r="J10" s="210">
        <v>3800</v>
      </c>
      <c r="K10" s="163" t="s">
        <v>1015</v>
      </c>
      <c r="L10" s="184"/>
      <c r="M10" s="163" t="s">
        <v>862</v>
      </c>
      <c r="N10" s="163" t="s">
        <v>669</v>
      </c>
    </row>
    <row r="11" spans="1:14" s="190" customFormat="1" ht="69">
      <c r="A11" s="169" t="s">
        <v>47</v>
      </c>
      <c r="B11" s="477">
        <v>33</v>
      </c>
      <c r="C11" s="163" t="s">
        <v>1029</v>
      </c>
      <c r="D11" s="163" t="s">
        <v>236</v>
      </c>
      <c r="E11" s="184"/>
      <c r="F11" s="163" t="s">
        <v>45</v>
      </c>
      <c r="G11" s="210" t="s">
        <v>666</v>
      </c>
      <c r="H11" s="163" t="s">
        <v>758</v>
      </c>
      <c r="I11" s="211" t="s">
        <v>707</v>
      </c>
      <c r="J11" s="210">
        <v>3700</v>
      </c>
      <c r="K11" s="163" t="s">
        <v>1030</v>
      </c>
      <c r="L11" s="184"/>
      <c r="M11" s="163" t="s">
        <v>862</v>
      </c>
      <c r="N11" s="163" t="s">
        <v>674</v>
      </c>
    </row>
    <row r="12" spans="1:14" s="190" customFormat="1" ht="69">
      <c r="A12" s="169" t="s">
        <v>48</v>
      </c>
      <c r="B12" s="477">
        <v>34</v>
      </c>
      <c r="C12" s="163" t="s">
        <v>996</v>
      </c>
      <c r="D12" s="163" t="s">
        <v>299</v>
      </c>
      <c r="E12" s="184"/>
      <c r="F12" s="163" t="s">
        <v>45</v>
      </c>
      <c r="G12" s="210" t="s">
        <v>666</v>
      </c>
      <c r="H12" s="163" t="s">
        <v>758</v>
      </c>
      <c r="I12" s="211" t="s">
        <v>676</v>
      </c>
      <c r="J12" s="210">
        <v>3800</v>
      </c>
      <c r="K12" s="163" t="s">
        <v>1016</v>
      </c>
      <c r="L12" s="184"/>
      <c r="M12" s="163" t="s">
        <v>862</v>
      </c>
      <c r="N12" s="163" t="s">
        <v>674</v>
      </c>
    </row>
    <row r="13" spans="1:14" s="190" customFormat="1" ht="69">
      <c r="A13" s="169" t="s">
        <v>49</v>
      </c>
      <c r="B13" s="477">
        <v>35</v>
      </c>
      <c r="C13" s="163" t="s">
        <v>1952</v>
      </c>
      <c r="D13" s="163" t="s">
        <v>236</v>
      </c>
      <c r="E13" s="184"/>
      <c r="F13" s="163" t="s">
        <v>45</v>
      </c>
      <c r="G13" s="210" t="s">
        <v>666</v>
      </c>
      <c r="H13" s="163" t="s">
        <v>758</v>
      </c>
      <c r="I13" s="211" t="s">
        <v>707</v>
      </c>
      <c r="J13" s="210">
        <v>18000</v>
      </c>
      <c r="K13" s="163" t="s">
        <v>1031</v>
      </c>
      <c r="L13" s="184"/>
      <c r="M13" s="163" t="s">
        <v>862</v>
      </c>
      <c r="N13" s="163" t="s">
        <v>669</v>
      </c>
    </row>
    <row r="14" spans="1:14" s="190" customFormat="1" ht="69">
      <c r="A14" s="169" t="s">
        <v>50</v>
      </c>
      <c r="B14" s="477">
        <v>37</v>
      </c>
      <c r="C14" s="163" t="s">
        <v>998</v>
      </c>
      <c r="D14" s="163" t="s">
        <v>230</v>
      </c>
      <c r="E14" s="184"/>
      <c r="F14" s="163" t="s">
        <v>45</v>
      </c>
      <c r="G14" s="210" t="s">
        <v>666</v>
      </c>
      <c r="H14" s="163" t="s">
        <v>758</v>
      </c>
      <c r="I14" s="211" t="s">
        <v>685</v>
      </c>
      <c r="J14" s="210">
        <v>2000</v>
      </c>
      <c r="K14" s="163" t="s">
        <v>1017</v>
      </c>
      <c r="L14" s="184"/>
      <c r="M14" s="163" t="s">
        <v>904</v>
      </c>
      <c r="N14" s="163" t="s">
        <v>674</v>
      </c>
    </row>
    <row r="15" spans="1:14" s="190" customFormat="1" ht="36" customHeight="1">
      <c r="A15" s="170" t="s">
        <v>51</v>
      </c>
      <c r="B15" s="478">
        <v>19</v>
      </c>
      <c r="C15" s="164" t="s">
        <v>990</v>
      </c>
      <c r="D15" s="164" t="s">
        <v>388</v>
      </c>
      <c r="E15" s="164" t="s">
        <v>991</v>
      </c>
      <c r="F15" s="164" t="s">
        <v>52</v>
      </c>
      <c r="G15" s="212" t="s">
        <v>666</v>
      </c>
      <c r="H15" s="164"/>
      <c r="I15" s="213" t="s">
        <v>723</v>
      </c>
      <c r="J15" s="212">
        <v>15000</v>
      </c>
      <c r="K15" s="164" t="s">
        <v>1018</v>
      </c>
      <c r="L15" s="185"/>
      <c r="M15" s="164" t="s">
        <v>916</v>
      </c>
      <c r="N15" s="164" t="s">
        <v>674</v>
      </c>
    </row>
    <row r="16" spans="1:14" s="190" customFormat="1" ht="57.5">
      <c r="A16" s="171" t="s">
        <v>53</v>
      </c>
      <c r="B16" s="479">
        <v>1</v>
      </c>
      <c r="C16" s="165" t="s">
        <v>1953</v>
      </c>
      <c r="D16" s="165" t="s">
        <v>473</v>
      </c>
      <c r="E16" s="186"/>
      <c r="F16" s="165" t="s">
        <v>54</v>
      </c>
      <c r="G16" s="214" t="s">
        <v>666</v>
      </c>
      <c r="H16" s="165" t="s">
        <v>682</v>
      </c>
      <c r="I16" s="215" t="s">
        <v>671</v>
      </c>
      <c r="J16" s="214">
        <v>3000</v>
      </c>
      <c r="K16" s="165" t="s">
        <v>1019</v>
      </c>
      <c r="L16" s="186"/>
      <c r="M16" s="165" t="s">
        <v>862</v>
      </c>
      <c r="N16" s="165" t="s">
        <v>669</v>
      </c>
    </row>
    <row r="17" spans="1:14" s="190" customFormat="1" ht="57.5">
      <c r="A17" s="171" t="s">
        <v>55</v>
      </c>
      <c r="B17" s="479">
        <v>2</v>
      </c>
      <c r="C17" s="165" t="s">
        <v>983</v>
      </c>
      <c r="D17" s="165" t="s">
        <v>473</v>
      </c>
      <c r="E17" s="186"/>
      <c r="F17" s="165" t="s">
        <v>54</v>
      </c>
      <c r="G17" s="214" t="s">
        <v>666</v>
      </c>
      <c r="H17" s="165" t="s">
        <v>682</v>
      </c>
      <c r="I17" s="215" t="s">
        <v>671</v>
      </c>
      <c r="J17" s="214">
        <v>16000</v>
      </c>
      <c r="K17" s="165" t="s">
        <v>1019</v>
      </c>
      <c r="L17" s="186"/>
      <c r="M17" s="165" t="s">
        <v>862</v>
      </c>
      <c r="N17" s="165" t="s">
        <v>674</v>
      </c>
    </row>
    <row r="18" spans="1:14" s="190" customFormat="1" ht="57.5">
      <c r="A18" s="171" t="s">
        <v>56</v>
      </c>
      <c r="B18" s="479">
        <v>3</v>
      </c>
      <c r="C18" s="165" t="s">
        <v>984</v>
      </c>
      <c r="D18" s="165" t="s">
        <v>473</v>
      </c>
      <c r="E18" s="186"/>
      <c r="F18" s="165" t="s">
        <v>54</v>
      </c>
      <c r="G18" s="214" t="s">
        <v>666</v>
      </c>
      <c r="H18" s="165" t="s">
        <v>682</v>
      </c>
      <c r="I18" s="215" t="s">
        <v>671</v>
      </c>
      <c r="J18" s="214">
        <v>36555.14</v>
      </c>
      <c r="K18" s="165" t="s">
        <v>1019</v>
      </c>
      <c r="L18" s="186"/>
      <c r="M18" s="165" t="s">
        <v>862</v>
      </c>
      <c r="N18" s="165" t="s">
        <v>674</v>
      </c>
    </row>
    <row r="19" spans="1:14" s="190" customFormat="1" ht="57.5">
      <c r="A19" s="171" t="s">
        <v>57</v>
      </c>
      <c r="B19" s="479">
        <v>5</v>
      </c>
      <c r="C19" s="165" t="s">
        <v>1032</v>
      </c>
      <c r="D19" s="165" t="s">
        <v>473</v>
      </c>
      <c r="E19" s="186"/>
      <c r="F19" s="165" t="s">
        <v>54</v>
      </c>
      <c r="G19" s="214" t="s">
        <v>666</v>
      </c>
      <c r="H19" s="165" t="s">
        <v>682</v>
      </c>
      <c r="I19" s="215" t="s">
        <v>671</v>
      </c>
      <c r="J19" s="214">
        <v>3000</v>
      </c>
      <c r="K19" s="165" t="s">
        <v>1020</v>
      </c>
      <c r="L19" s="165" t="s">
        <v>1929</v>
      </c>
      <c r="M19" s="165" t="s">
        <v>832</v>
      </c>
      <c r="N19" s="165" t="s">
        <v>674</v>
      </c>
    </row>
    <row r="20" spans="1:14" s="190" customFormat="1" ht="57.5">
      <c r="A20" s="171" t="s">
        <v>58</v>
      </c>
      <c r="B20" s="479">
        <v>6</v>
      </c>
      <c r="C20" s="165" t="s">
        <v>1959</v>
      </c>
      <c r="D20" s="165" t="s">
        <v>473</v>
      </c>
      <c r="E20" s="186"/>
      <c r="F20" s="165" t="s">
        <v>54</v>
      </c>
      <c r="G20" s="214" t="s">
        <v>666</v>
      </c>
      <c r="H20" s="165" t="s">
        <v>682</v>
      </c>
      <c r="I20" s="215" t="s">
        <v>671</v>
      </c>
      <c r="J20" s="214">
        <v>3000</v>
      </c>
      <c r="K20" s="165" t="s">
        <v>1019</v>
      </c>
      <c r="L20" s="186"/>
      <c r="M20" s="165" t="s">
        <v>862</v>
      </c>
      <c r="N20" s="165" t="s">
        <v>674</v>
      </c>
    </row>
    <row r="21" spans="1:14" s="190" customFormat="1" ht="57.5">
      <c r="A21" s="171" t="s">
        <v>59</v>
      </c>
      <c r="B21" s="479">
        <v>7</v>
      </c>
      <c r="C21" s="165" t="s">
        <v>987</v>
      </c>
      <c r="D21" s="165" t="s">
        <v>442</v>
      </c>
      <c r="E21" s="186"/>
      <c r="F21" s="165" t="s">
        <v>54</v>
      </c>
      <c r="G21" s="214" t="s">
        <v>666</v>
      </c>
      <c r="H21" s="165" t="s">
        <v>682</v>
      </c>
      <c r="I21" s="215" t="s">
        <v>671</v>
      </c>
      <c r="J21" s="214">
        <v>5000</v>
      </c>
      <c r="K21" s="165" t="s">
        <v>1033</v>
      </c>
      <c r="L21" s="186"/>
      <c r="M21" s="165" t="s">
        <v>862</v>
      </c>
      <c r="N21" s="165" t="s">
        <v>674</v>
      </c>
    </row>
    <row r="22" spans="1:14" s="190" customFormat="1" ht="57.5">
      <c r="A22" s="171" t="s">
        <v>60</v>
      </c>
      <c r="B22" s="479">
        <v>54</v>
      </c>
      <c r="C22" s="165" t="s">
        <v>1051</v>
      </c>
      <c r="D22" s="165" t="s">
        <v>462</v>
      </c>
      <c r="E22" s="186"/>
      <c r="F22" s="165" t="s">
        <v>54</v>
      </c>
      <c r="G22" s="214" t="s">
        <v>666</v>
      </c>
      <c r="H22" s="165" t="s">
        <v>773</v>
      </c>
      <c r="I22" s="215" t="s">
        <v>671</v>
      </c>
      <c r="J22" s="214">
        <v>8000</v>
      </c>
      <c r="K22" s="165" t="s">
        <v>1021</v>
      </c>
      <c r="L22" s="165" t="s">
        <v>1929</v>
      </c>
      <c r="M22" s="165" t="s">
        <v>928</v>
      </c>
      <c r="N22" s="165" t="s">
        <v>674</v>
      </c>
    </row>
    <row r="23" spans="1:14" s="190" customFormat="1" ht="69">
      <c r="A23" s="172" t="s">
        <v>61</v>
      </c>
      <c r="B23" s="480">
        <v>17</v>
      </c>
      <c r="C23" s="203" t="s">
        <v>1954</v>
      </c>
      <c r="D23" s="203" t="s">
        <v>590</v>
      </c>
      <c r="E23" s="203" t="s">
        <v>595</v>
      </c>
      <c r="F23" s="203" t="s">
        <v>62</v>
      </c>
      <c r="G23" s="216" t="s">
        <v>666</v>
      </c>
      <c r="H23" s="203" t="s">
        <v>758</v>
      </c>
      <c r="I23" s="217" t="s">
        <v>685</v>
      </c>
      <c r="J23" s="216">
        <v>6500</v>
      </c>
      <c r="K23" s="203" t="s">
        <v>1039</v>
      </c>
      <c r="L23" s="187"/>
      <c r="M23" s="203" t="s">
        <v>904</v>
      </c>
      <c r="N23" s="203" t="s">
        <v>669</v>
      </c>
    </row>
    <row r="24" spans="1:14" s="190" customFormat="1" ht="69">
      <c r="A24" s="172" t="s">
        <v>63</v>
      </c>
      <c r="B24" s="480">
        <v>21</v>
      </c>
      <c r="C24" s="203" t="s">
        <v>1034</v>
      </c>
      <c r="D24" s="203" t="s">
        <v>590</v>
      </c>
      <c r="E24" s="187"/>
      <c r="F24" s="203" t="s">
        <v>62</v>
      </c>
      <c r="G24" s="216" t="s">
        <v>666</v>
      </c>
      <c r="H24" s="203" t="s">
        <v>758</v>
      </c>
      <c r="I24" s="217" t="s">
        <v>685</v>
      </c>
      <c r="J24" s="216">
        <v>6000</v>
      </c>
      <c r="K24" s="203" t="s">
        <v>1035</v>
      </c>
      <c r="L24" s="187"/>
      <c r="M24" s="203" t="s">
        <v>904</v>
      </c>
      <c r="N24" s="203" t="s">
        <v>674</v>
      </c>
    </row>
    <row r="25" spans="1:14" s="190" customFormat="1" ht="69">
      <c r="A25" s="172" t="s">
        <v>64</v>
      </c>
      <c r="B25" s="480">
        <v>23</v>
      </c>
      <c r="C25" s="203" t="s">
        <v>992</v>
      </c>
      <c r="D25" s="203" t="s">
        <v>590</v>
      </c>
      <c r="E25" s="187"/>
      <c r="F25" s="203" t="s">
        <v>62</v>
      </c>
      <c r="G25" s="216" t="s">
        <v>666</v>
      </c>
      <c r="H25" s="203" t="s">
        <v>758</v>
      </c>
      <c r="I25" s="217" t="s">
        <v>685</v>
      </c>
      <c r="J25" s="216">
        <v>4500</v>
      </c>
      <c r="K25" s="203" t="s">
        <v>1022</v>
      </c>
      <c r="L25" s="187"/>
      <c r="M25" s="203" t="s">
        <v>904</v>
      </c>
      <c r="N25" s="203" t="s">
        <v>674</v>
      </c>
    </row>
    <row r="26" spans="1:14" s="190" customFormat="1" ht="69">
      <c r="A26" s="172" t="s">
        <v>65</v>
      </c>
      <c r="B26" s="480">
        <v>30</v>
      </c>
      <c r="C26" s="203" t="s">
        <v>1956</v>
      </c>
      <c r="D26" s="203" t="s">
        <v>502</v>
      </c>
      <c r="E26" s="203" t="s">
        <v>505</v>
      </c>
      <c r="F26" s="203" t="s">
        <v>62</v>
      </c>
      <c r="G26" s="216" t="s">
        <v>666</v>
      </c>
      <c r="H26" s="203" t="s">
        <v>758</v>
      </c>
      <c r="I26" s="217" t="s">
        <v>685</v>
      </c>
      <c r="J26" s="216">
        <v>3800</v>
      </c>
      <c r="K26" s="203" t="s">
        <v>1023</v>
      </c>
      <c r="L26" s="187"/>
      <c r="M26" s="203" t="s">
        <v>904</v>
      </c>
      <c r="N26" s="203" t="s">
        <v>669</v>
      </c>
    </row>
    <row r="27" spans="1:14" s="190" customFormat="1" ht="69">
      <c r="A27" s="172" t="s">
        <v>66</v>
      </c>
      <c r="B27" s="480">
        <v>31</v>
      </c>
      <c r="C27" s="203" t="s">
        <v>1955</v>
      </c>
      <c r="D27" s="203" t="s">
        <v>535</v>
      </c>
      <c r="E27" s="203" t="s">
        <v>994</v>
      </c>
      <c r="F27" s="203" t="s">
        <v>62</v>
      </c>
      <c r="G27" s="216" t="s">
        <v>666</v>
      </c>
      <c r="H27" s="203" t="s">
        <v>758</v>
      </c>
      <c r="I27" s="217" t="s">
        <v>685</v>
      </c>
      <c r="J27" s="216">
        <v>1000</v>
      </c>
      <c r="K27" s="203" t="s">
        <v>1036</v>
      </c>
      <c r="L27" s="187"/>
      <c r="M27" s="203" t="s">
        <v>904</v>
      </c>
      <c r="N27" s="203" t="s">
        <v>669</v>
      </c>
    </row>
    <row r="28" spans="1:14" s="190" customFormat="1" ht="69">
      <c r="A28" s="172" t="s">
        <v>67</v>
      </c>
      <c r="B28" s="480">
        <v>32</v>
      </c>
      <c r="C28" s="203" t="s">
        <v>995</v>
      </c>
      <c r="D28" s="203" t="s">
        <v>563</v>
      </c>
      <c r="E28" s="187"/>
      <c r="F28" s="203" t="s">
        <v>62</v>
      </c>
      <c r="G28" s="216" t="s">
        <v>666</v>
      </c>
      <c r="H28" s="203" t="s">
        <v>758</v>
      </c>
      <c r="I28" s="217" t="s">
        <v>685</v>
      </c>
      <c r="J28" s="216">
        <v>9500</v>
      </c>
      <c r="K28" s="203" t="s">
        <v>1024</v>
      </c>
      <c r="L28" s="187"/>
      <c r="M28" s="203" t="s">
        <v>904</v>
      </c>
      <c r="N28" s="203" t="s">
        <v>674</v>
      </c>
    </row>
    <row r="29" spans="1:14" s="190" customFormat="1" ht="69">
      <c r="A29" s="172" t="s">
        <v>68</v>
      </c>
      <c r="B29" s="480">
        <v>36</v>
      </c>
      <c r="C29" s="203" t="s">
        <v>997</v>
      </c>
      <c r="D29" s="203" t="s">
        <v>527</v>
      </c>
      <c r="E29" s="187"/>
      <c r="F29" s="203" t="s">
        <v>62</v>
      </c>
      <c r="G29" s="216" t="s">
        <v>666</v>
      </c>
      <c r="H29" s="203" t="s">
        <v>758</v>
      </c>
      <c r="I29" s="217" t="s">
        <v>685</v>
      </c>
      <c r="J29" s="216">
        <v>2150</v>
      </c>
      <c r="K29" s="203" t="s">
        <v>1945</v>
      </c>
      <c r="L29" s="187"/>
      <c r="M29" s="203" t="s">
        <v>904</v>
      </c>
      <c r="N29" s="203" t="s">
        <v>674</v>
      </c>
    </row>
    <row r="30" spans="1:14" s="190" customFormat="1" ht="34.5">
      <c r="A30" s="172" t="s">
        <v>69</v>
      </c>
      <c r="B30" s="480">
        <v>49</v>
      </c>
      <c r="C30" s="203" t="s">
        <v>1944</v>
      </c>
      <c r="D30" s="203" t="s">
        <v>502</v>
      </c>
      <c r="E30" s="187"/>
      <c r="F30" s="203" t="s">
        <v>62</v>
      </c>
      <c r="G30" s="216" t="s">
        <v>666</v>
      </c>
      <c r="H30" s="203" t="s">
        <v>762</v>
      </c>
      <c r="I30" s="217" t="s">
        <v>685</v>
      </c>
      <c r="J30" s="216">
        <v>3600</v>
      </c>
      <c r="K30" s="203" t="s">
        <v>1025</v>
      </c>
      <c r="L30" s="187"/>
      <c r="M30" s="203" t="s">
        <v>904</v>
      </c>
      <c r="N30" s="203" t="s">
        <v>674</v>
      </c>
    </row>
    <row r="31" spans="1:14" s="190" customFormat="1" ht="34.5">
      <c r="A31" s="172" t="s">
        <v>70</v>
      </c>
      <c r="B31" s="480">
        <v>50</v>
      </c>
      <c r="C31" s="203" t="s">
        <v>1004</v>
      </c>
      <c r="D31" s="203" t="s">
        <v>590</v>
      </c>
      <c r="E31" s="187"/>
      <c r="F31" s="203" t="s">
        <v>62</v>
      </c>
      <c r="G31" s="216" t="s">
        <v>666</v>
      </c>
      <c r="H31" s="203" t="s">
        <v>762</v>
      </c>
      <c r="I31" s="217" t="s">
        <v>685</v>
      </c>
      <c r="J31" s="216">
        <v>17500</v>
      </c>
      <c r="K31" s="203" t="s">
        <v>1947</v>
      </c>
      <c r="L31" s="187"/>
      <c r="M31" s="203" t="s">
        <v>904</v>
      </c>
      <c r="N31" s="203" t="s">
        <v>674</v>
      </c>
    </row>
    <row r="32" spans="1:14" s="190" customFormat="1" ht="57.5">
      <c r="A32" s="172" t="s">
        <v>1958</v>
      </c>
      <c r="B32" s="480">
        <v>48</v>
      </c>
      <c r="C32" s="203" t="s">
        <v>1005</v>
      </c>
      <c r="D32" s="203" t="s">
        <v>525</v>
      </c>
      <c r="E32" s="203" t="s">
        <v>555</v>
      </c>
      <c r="F32" s="203" t="s">
        <v>62</v>
      </c>
      <c r="G32" s="216" t="s">
        <v>666</v>
      </c>
      <c r="H32" s="203" t="s">
        <v>740</v>
      </c>
      <c r="I32" s="217" t="s">
        <v>685</v>
      </c>
      <c r="J32" s="216">
        <v>2000</v>
      </c>
      <c r="K32" s="203" t="s">
        <v>1037</v>
      </c>
      <c r="L32" s="187"/>
      <c r="M32" s="203" t="s">
        <v>847</v>
      </c>
      <c r="N32" s="203" t="s">
        <v>674</v>
      </c>
    </row>
    <row r="33" spans="1:14" s="190" customFormat="1" ht="69">
      <c r="A33" s="172" t="s">
        <v>1009</v>
      </c>
      <c r="B33" s="480">
        <v>26</v>
      </c>
      <c r="C33" s="203" t="s">
        <v>993</v>
      </c>
      <c r="D33" s="203" t="s">
        <v>535</v>
      </c>
      <c r="E33" s="203"/>
      <c r="F33" s="203" t="s">
        <v>62</v>
      </c>
      <c r="G33" s="216" t="s">
        <v>666</v>
      </c>
      <c r="H33" s="203" t="s">
        <v>758</v>
      </c>
      <c r="I33" s="217" t="s">
        <v>685</v>
      </c>
      <c r="J33" s="216">
        <v>2000</v>
      </c>
      <c r="K33" s="203" t="s">
        <v>1013</v>
      </c>
      <c r="L33" s="187"/>
      <c r="M33" s="203" t="s">
        <v>904</v>
      </c>
      <c r="N33" s="203" t="s">
        <v>674</v>
      </c>
    </row>
    <row r="34" spans="1:14" s="190" customFormat="1" ht="57.5">
      <c r="A34" s="172" t="s">
        <v>1010</v>
      </c>
      <c r="B34" s="480">
        <v>47</v>
      </c>
      <c r="C34" s="203" t="s">
        <v>1052</v>
      </c>
      <c r="D34" s="203" t="s">
        <v>590</v>
      </c>
      <c r="E34" s="203" t="s">
        <v>1047</v>
      </c>
      <c r="F34" s="203" t="s">
        <v>62</v>
      </c>
      <c r="G34" s="216" t="s">
        <v>666</v>
      </c>
      <c r="H34" s="203" t="s">
        <v>740</v>
      </c>
      <c r="I34" s="217" t="s">
        <v>685</v>
      </c>
      <c r="J34" s="216">
        <v>3000</v>
      </c>
      <c r="K34" s="203" t="s">
        <v>1048</v>
      </c>
      <c r="L34" s="187"/>
      <c r="M34" s="203" t="s">
        <v>847</v>
      </c>
      <c r="N34" s="203" t="s">
        <v>674</v>
      </c>
    </row>
    <row r="35" spans="1:14" s="190" customFormat="1" ht="57.5">
      <c r="A35" s="172" t="s">
        <v>1046</v>
      </c>
      <c r="B35" s="480">
        <v>43</v>
      </c>
      <c r="C35" s="203" t="s">
        <v>1055</v>
      </c>
      <c r="D35" s="203" t="s">
        <v>590</v>
      </c>
      <c r="E35" s="203"/>
      <c r="F35" s="203" t="s">
        <v>62</v>
      </c>
      <c r="G35" s="216" t="s">
        <v>666</v>
      </c>
      <c r="H35" s="203" t="s">
        <v>704</v>
      </c>
      <c r="I35" s="217" t="s">
        <v>685</v>
      </c>
      <c r="J35" s="216">
        <v>150</v>
      </c>
      <c r="K35" s="203" t="s">
        <v>1946</v>
      </c>
      <c r="L35" s="187"/>
      <c r="M35" s="203" t="s">
        <v>847</v>
      </c>
      <c r="N35" s="203" t="s">
        <v>674</v>
      </c>
    </row>
    <row r="36" spans="1:14" s="190" customFormat="1" ht="69">
      <c r="A36" s="172" t="s">
        <v>1049</v>
      </c>
      <c r="B36" s="480">
        <v>38</v>
      </c>
      <c r="C36" s="203" t="s">
        <v>1960</v>
      </c>
      <c r="D36" s="203" t="s">
        <v>590</v>
      </c>
      <c r="E36" s="203"/>
      <c r="F36" s="203" t="s">
        <v>62</v>
      </c>
      <c r="G36" s="216" t="s">
        <v>666</v>
      </c>
      <c r="H36" s="203" t="s">
        <v>758</v>
      </c>
      <c r="I36" s="217" t="s">
        <v>685</v>
      </c>
      <c r="J36" s="216">
        <v>1850</v>
      </c>
      <c r="K36" s="203" t="s">
        <v>1961</v>
      </c>
      <c r="L36" s="187"/>
      <c r="M36" s="203" t="s">
        <v>832</v>
      </c>
      <c r="N36" s="203" t="s">
        <v>674</v>
      </c>
    </row>
    <row r="37" spans="1:14" s="190" customFormat="1" ht="80.5">
      <c r="A37" s="173" t="s">
        <v>71</v>
      </c>
      <c r="B37" s="481">
        <v>9</v>
      </c>
      <c r="C37" s="205" t="s">
        <v>1026</v>
      </c>
      <c r="D37" s="205" t="s">
        <v>639</v>
      </c>
      <c r="E37" s="188"/>
      <c r="F37" s="205" t="s">
        <v>72</v>
      </c>
      <c r="G37" s="218" t="s">
        <v>666</v>
      </c>
      <c r="H37" s="205" t="s">
        <v>686</v>
      </c>
      <c r="I37" s="219" t="s">
        <v>671</v>
      </c>
      <c r="J37" s="218">
        <v>5000</v>
      </c>
      <c r="K37" s="205" t="s">
        <v>1940</v>
      </c>
      <c r="L37" s="188"/>
      <c r="M37" s="205" t="s">
        <v>847</v>
      </c>
      <c r="N37" s="205" t="s">
        <v>674</v>
      </c>
    </row>
    <row r="38" spans="1:14" s="190" customFormat="1" ht="46">
      <c r="A38" s="173" t="s">
        <v>73</v>
      </c>
      <c r="B38" s="481">
        <v>10</v>
      </c>
      <c r="C38" s="205" t="s">
        <v>999</v>
      </c>
      <c r="D38" s="205" t="s">
        <v>639</v>
      </c>
      <c r="E38" s="188"/>
      <c r="F38" s="205" t="s">
        <v>72</v>
      </c>
      <c r="G38" s="218" t="s">
        <v>666</v>
      </c>
      <c r="H38" s="205" t="s">
        <v>712</v>
      </c>
      <c r="I38" s="219" t="s">
        <v>671</v>
      </c>
      <c r="J38" s="218">
        <v>600</v>
      </c>
      <c r="K38" s="205" t="s">
        <v>1939</v>
      </c>
      <c r="L38" s="188"/>
      <c r="M38" s="205" t="s">
        <v>847</v>
      </c>
      <c r="N38" s="205" t="s">
        <v>674</v>
      </c>
    </row>
    <row r="39" spans="1:14" s="190" customFormat="1" ht="46">
      <c r="A39" s="173" t="s">
        <v>74</v>
      </c>
      <c r="B39" s="481">
        <v>11</v>
      </c>
      <c r="C39" s="205" t="s">
        <v>1001</v>
      </c>
      <c r="D39" s="205" t="s">
        <v>639</v>
      </c>
      <c r="E39" s="188"/>
      <c r="F39" s="205" t="s">
        <v>72</v>
      </c>
      <c r="G39" s="218" t="s">
        <v>666</v>
      </c>
      <c r="H39" s="205" t="s">
        <v>728</v>
      </c>
      <c r="I39" s="219" t="s">
        <v>671</v>
      </c>
      <c r="J39" s="218">
        <v>5200</v>
      </c>
      <c r="K39" s="205" t="s">
        <v>1938</v>
      </c>
      <c r="L39" s="188"/>
      <c r="M39" s="205" t="s">
        <v>847</v>
      </c>
      <c r="N39" s="205" t="s">
        <v>674</v>
      </c>
    </row>
    <row r="40" spans="1:14" s="190" customFormat="1" ht="46">
      <c r="A40" s="173" t="s">
        <v>75</v>
      </c>
      <c r="B40" s="481">
        <v>12</v>
      </c>
      <c r="C40" s="205" t="s">
        <v>1000</v>
      </c>
      <c r="D40" s="205" t="s">
        <v>639</v>
      </c>
      <c r="E40" s="188"/>
      <c r="F40" s="205" t="s">
        <v>72</v>
      </c>
      <c r="G40" s="218" t="s">
        <v>666</v>
      </c>
      <c r="H40" s="205" t="s">
        <v>728</v>
      </c>
      <c r="I40" s="219" t="s">
        <v>671</v>
      </c>
      <c r="J40" s="218">
        <v>5200</v>
      </c>
      <c r="K40" s="205" t="s">
        <v>1937</v>
      </c>
      <c r="L40" s="188"/>
      <c r="M40" s="205" t="s">
        <v>847</v>
      </c>
      <c r="N40" s="205" t="s">
        <v>674</v>
      </c>
    </row>
    <row r="41" spans="1:14" s="190" customFormat="1" ht="46">
      <c r="A41" s="173" t="s">
        <v>76</v>
      </c>
      <c r="B41" s="481">
        <v>13</v>
      </c>
      <c r="C41" s="205" t="s">
        <v>1002</v>
      </c>
      <c r="D41" s="205" t="s">
        <v>639</v>
      </c>
      <c r="E41" s="188"/>
      <c r="F41" s="205" t="s">
        <v>72</v>
      </c>
      <c r="G41" s="218" t="s">
        <v>666</v>
      </c>
      <c r="H41" s="205" t="s">
        <v>728</v>
      </c>
      <c r="I41" s="219" t="s">
        <v>671</v>
      </c>
      <c r="J41" s="218">
        <v>3000</v>
      </c>
      <c r="K41" s="205" t="s">
        <v>1941</v>
      </c>
      <c r="L41" s="188"/>
      <c r="M41" s="205" t="s">
        <v>847</v>
      </c>
      <c r="N41" s="205" t="s">
        <v>674</v>
      </c>
    </row>
    <row r="42" spans="1:14" s="190" customFormat="1" ht="46">
      <c r="A42" s="173" t="s">
        <v>77</v>
      </c>
      <c r="B42" s="481">
        <v>14</v>
      </c>
      <c r="C42" s="205" t="s">
        <v>1053</v>
      </c>
      <c r="D42" s="205" t="s">
        <v>639</v>
      </c>
      <c r="E42" s="188"/>
      <c r="F42" s="205" t="s">
        <v>72</v>
      </c>
      <c r="G42" s="218" t="s">
        <v>666</v>
      </c>
      <c r="H42" s="205" t="s">
        <v>728</v>
      </c>
      <c r="I42" s="219" t="s">
        <v>671</v>
      </c>
      <c r="J42" s="218">
        <v>800</v>
      </c>
      <c r="K42" s="205" t="s">
        <v>1935</v>
      </c>
      <c r="L42" s="188"/>
      <c r="M42" s="205" t="s">
        <v>847</v>
      </c>
      <c r="N42" s="205" t="s">
        <v>674</v>
      </c>
    </row>
    <row r="43" spans="1:14" s="190" customFormat="1" ht="23">
      <c r="A43" s="173" t="s">
        <v>78</v>
      </c>
      <c r="B43" s="481">
        <v>15</v>
      </c>
      <c r="C43" s="205" t="s">
        <v>1054</v>
      </c>
      <c r="D43" s="205" t="s">
        <v>639</v>
      </c>
      <c r="E43" s="188"/>
      <c r="F43" s="205" t="s">
        <v>72</v>
      </c>
      <c r="G43" s="218" t="s">
        <v>666</v>
      </c>
      <c r="H43" s="205" t="s">
        <v>736</v>
      </c>
      <c r="I43" s="219" t="s">
        <v>671</v>
      </c>
      <c r="J43" s="218">
        <v>800</v>
      </c>
      <c r="K43" s="205" t="s">
        <v>1934</v>
      </c>
      <c r="L43" s="188"/>
      <c r="M43" s="205" t="s">
        <v>847</v>
      </c>
      <c r="N43" s="205" t="s">
        <v>674</v>
      </c>
    </row>
    <row r="44" spans="1:14" s="190" customFormat="1" ht="23">
      <c r="A44" s="173" t="s">
        <v>79</v>
      </c>
      <c r="B44" s="481">
        <v>44</v>
      </c>
      <c r="C44" s="205" t="s">
        <v>1936</v>
      </c>
      <c r="D44" s="205" t="s">
        <v>639</v>
      </c>
      <c r="E44" s="188"/>
      <c r="F44" s="205" t="s">
        <v>72</v>
      </c>
      <c r="G44" s="218" t="s">
        <v>666</v>
      </c>
      <c r="H44" s="205" t="s">
        <v>708</v>
      </c>
      <c r="I44" s="219" t="s">
        <v>671</v>
      </c>
      <c r="J44" s="218">
        <v>700</v>
      </c>
      <c r="K44" s="205" t="s">
        <v>1942</v>
      </c>
      <c r="L44" s="188"/>
      <c r="M44" s="205" t="s">
        <v>847</v>
      </c>
      <c r="N44" s="205" t="s">
        <v>674</v>
      </c>
    </row>
    <row r="45" spans="1:14" s="190" customFormat="1" ht="23">
      <c r="A45" s="173" t="s">
        <v>80</v>
      </c>
      <c r="B45" s="481">
        <v>45</v>
      </c>
      <c r="C45" s="205" t="s">
        <v>1003</v>
      </c>
      <c r="D45" s="205" t="s">
        <v>639</v>
      </c>
      <c r="E45" s="188"/>
      <c r="F45" s="205" t="s">
        <v>72</v>
      </c>
      <c r="G45" s="218" t="s">
        <v>666</v>
      </c>
      <c r="H45" s="205" t="s">
        <v>717</v>
      </c>
      <c r="I45" s="219" t="s">
        <v>671</v>
      </c>
      <c r="J45" s="218">
        <v>3500</v>
      </c>
      <c r="K45" s="205" t="s">
        <v>1933</v>
      </c>
      <c r="L45" s="188"/>
      <c r="M45" s="205" t="s">
        <v>847</v>
      </c>
      <c r="N45" s="205" t="s">
        <v>674</v>
      </c>
    </row>
    <row r="46" spans="1:14" s="190" customFormat="1" ht="46">
      <c r="A46" s="173" t="s">
        <v>81</v>
      </c>
      <c r="B46" s="481">
        <v>42</v>
      </c>
      <c r="C46" s="205" t="s">
        <v>1007</v>
      </c>
      <c r="D46" s="205" t="s">
        <v>639</v>
      </c>
      <c r="E46" s="188"/>
      <c r="F46" s="205" t="s">
        <v>696</v>
      </c>
      <c r="G46" s="218" t="s">
        <v>666</v>
      </c>
      <c r="H46" s="205" t="s">
        <v>701</v>
      </c>
      <c r="I46" s="219" t="s">
        <v>671</v>
      </c>
      <c r="J46" s="218">
        <v>1000</v>
      </c>
      <c r="K46" s="205" t="s">
        <v>1932</v>
      </c>
      <c r="L46" s="188"/>
      <c r="M46" s="205" t="s">
        <v>847</v>
      </c>
      <c r="N46" s="205" t="s">
        <v>674</v>
      </c>
    </row>
    <row r="47" spans="1:14" s="190" customFormat="1" ht="23">
      <c r="A47" s="173" t="s">
        <v>1011</v>
      </c>
      <c r="B47" s="481">
        <v>41</v>
      </c>
      <c r="C47" s="205" t="s">
        <v>1008</v>
      </c>
      <c r="D47" s="205" t="s">
        <v>639</v>
      </c>
      <c r="E47" s="188"/>
      <c r="F47" s="205" t="s">
        <v>696</v>
      </c>
      <c r="G47" s="218" t="s">
        <v>666</v>
      </c>
      <c r="H47" s="205" t="s">
        <v>734</v>
      </c>
      <c r="I47" s="219" t="s">
        <v>671</v>
      </c>
      <c r="J47" s="218">
        <v>250</v>
      </c>
      <c r="K47" s="205" t="s">
        <v>1931</v>
      </c>
      <c r="L47" s="188"/>
      <c r="M47" s="205" t="s">
        <v>847</v>
      </c>
      <c r="N47" s="205" t="s">
        <v>674</v>
      </c>
    </row>
    <row r="48" spans="1:14" s="190" customFormat="1" ht="69">
      <c r="A48" s="173" t="s">
        <v>1012</v>
      </c>
      <c r="B48" s="481">
        <v>27</v>
      </c>
      <c r="C48" s="205" t="s">
        <v>1040</v>
      </c>
      <c r="D48" s="205" t="s">
        <v>651</v>
      </c>
      <c r="E48" s="188"/>
      <c r="F48" s="205" t="s">
        <v>696</v>
      </c>
      <c r="G48" s="218" t="s">
        <v>666</v>
      </c>
      <c r="H48" s="205" t="s">
        <v>758</v>
      </c>
      <c r="I48" s="219" t="s">
        <v>671</v>
      </c>
      <c r="J48" s="218">
        <v>800</v>
      </c>
      <c r="K48" s="205" t="s">
        <v>1041</v>
      </c>
      <c r="L48" s="188"/>
      <c r="M48" s="205" t="s">
        <v>847</v>
      </c>
      <c r="N48" s="205" t="s">
        <v>674</v>
      </c>
    </row>
    <row r="49" spans="1:14" s="190" customFormat="1" ht="69">
      <c r="A49" s="173" t="s">
        <v>1042</v>
      </c>
      <c r="B49" s="481">
        <v>8</v>
      </c>
      <c r="C49" s="205" t="s">
        <v>1043</v>
      </c>
      <c r="D49" s="205" t="s">
        <v>639</v>
      </c>
      <c r="E49" s="188"/>
      <c r="F49" s="205" t="s">
        <v>696</v>
      </c>
      <c r="G49" s="218" t="s">
        <v>666</v>
      </c>
      <c r="H49" s="205" t="s">
        <v>1930</v>
      </c>
      <c r="I49" s="219" t="s">
        <v>671</v>
      </c>
      <c r="J49" s="218">
        <v>500</v>
      </c>
      <c r="K49" s="205" t="s">
        <v>1044</v>
      </c>
      <c r="L49" s="188"/>
      <c r="M49" s="205" t="s">
        <v>847</v>
      </c>
      <c r="N49" s="205" t="s">
        <v>674</v>
      </c>
    </row>
    <row r="50" spans="1:14" s="167" customFormat="1" ht="46">
      <c r="A50" s="173" t="s">
        <v>1050</v>
      </c>
      <c r="B50" s="481">
        <v>53</v>
      </c>
      <c r="C50" s="205" t="s">
        <v>1006</v>
      </c>
      <c r="D50" s="205" t="s">
        <v>639</v>
      </c>
      <c r="E50" s="188"/>
      <c r="F50" s="205" t="s">
        <v>72</v>
      </c>
      <c r="G50" s="218" t="s">
        <v>666</v>
      </c>
      <c r="H50" s="205" t="s">
        <v>771</v>
      </c>
      <c r="I50" s="219" t="s">
        <v>671</v>
      </c>
      <c r="J50" s="218">
        <v>5000</v>
      </c>
      <c r="K50" s="205" t="s">
        <v>1045</v>
      </c>
      <c r="L50" s="188"/>
      <c r="M50" s="205" t="s">
        <v>847</v>
      </c>
      <c r="N50" s="205" t="s">
        <v>674</v>
      </c>
    </row>
    <row r="51" spans="1:14" s="167" customFormat="1" ht="12">
      <c r="B51" s="482"/>
      <c r="I51" s="206"/>
      <c r="J51" s="556"/>
    </row>
    <row r="52" spans="1:14" s="167" customFormat="1" ht="12">
      <c r="B52" s="482"/>
      <c r="I52" s="206"/>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errorTitle="Seleccioneu un parc del llistat" error="Seleccioneu un parc del llistat per tal de poder veure els possibles gestors responsables">
          <x14:formula1>
            <xm:f>Gestors!$A$2:$A$15</xm:f>
          </x14:formula1>
          <xm:sqref>N1</xm:sqref>
        </x14:dataValidation>
        <x14:dataValidation type="list" allowBlank="1" showInputMessage="1" showErrorMessage="1">
          <x14:formula1>
            <xm:f>Llistes!$B$2:$B$15</xm:f>
          </x14:formula1>
          <xm:sqref>G1:G1048576</xm:sqref>
        </x14:dataValidation>
        <x14:dataValidation type="list" allowBlank="1" showInputMessage="1" showErrorMessage="1">
          <x14:formula1>
            <xm:f>Llistes!$C$2:$C$19</xm:f>
          </x14:formula1>
          <xm:sqref>I1:I1048576</xm:sqref>
        </x14:dataValidation>
        <x14:dataValidation type="list" allowBlank="1" showInputMessage="1" showErrorMessage="1">
          <x14:formula1>
            <xm:f>Llistes!$G$3:$G$39</xm:f>
          </x14:formula1>
          <xm:sqref>H1:H1048576</xm:sqref>
        </x14:dataValidation>
        <x14:dataValidation type="list" allowBlank="1" showInputMessage="1" showErrorMessage="1">
          <x14:formula1>
            <xm:f>Llistes!$E$2:$E$8</xm:f>
          </x14:formula1>
          <xm:sqref>F1:F1048576</xm:sqref>
        </x14:dataValidation>
        <x14:dataValidation type="list" allowBlank="1" showInputMessage="1" showErrorMessage="1" errorTitle="Camp obligatori" error="Aquest camp és obligatori i ha de respondre's &quot;Sí&quot; o &quot;No&quot;">
          <x14:formula1>
            <xm:f>Llistes!$K$2:$K$3</xm:f>
          </x14:formula1>
          <xm:sqref>N4:N1048576</xm:sqref>
        </x14:dataValidation>
        <x14:dataValidation type="list" allowBlank="1" showInputMessage="1" showErrorMessage="1">
          <x14:formula1>
            <xm:f>INDIRECT(VLOOKUP($N$1,Gestors!$A$1:$B$15,2,FALSE))</xm:f>
          </x14:formula1>
          <xm:sqref>M4:M1048576</xm:sqref>
        </x14:dataValidation>
        <x14:dataValidation type="list" allowBlank="1" showInputMessage="1" showErrorMessage="1">
          <x14:formula1>
            <xm:f>'PLA ESTRATÈGIC'!$F$5:$F$185</xm:f>
          </x14:formula1>
          <xm:sqref>D4:D1048576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pageSetUpPr fitToPage="1"/>
  </sheetPr>
  <dimension ref="A1:AR194"/>
  <sheetViews>
    <sheetView showGridLines="0" topLeftCell="D1" zoomScaleNormal="100" workbookViewId="0">
      <pane ySplit="4" topLeftCell="A16" activePane="bottomLeft" state="frozen"/>
      <selection pane="bottomLeft" activeCell="J4" sqref="J4"/>
    </sheetView>
  </sheetViews>
  <sheetFormatPr defaultColWidth="8.54296875" defaultRowHeight="15" customHeight="1"/>
  <cols>
    <col min="1" max="1" width="22.81640625" style="95" customWidth="1"/>
    <col min="2" max="2" width="4" style="16" customWidth="1"/>
    <col min="3" max="3" width="29.81640625" style="18" customWidth="1"/>
    <col min="4" max="4" width="7.453125" style="14" customWidth="1"/>
    <col min="5" max="5" width="50" style="5" customWidth="1"/>
    <col min="6" max="6" width="7.81640625" style="7" customWidth="1"/>
    <col min="7" max="7" width="39.26953125" style="6" customWidth="1"/>
    <col min="8" max="8" width="16.1796875" style="15" customWidth="1"/>
    <col min="9" max="9" width="22.54296875" style="15" customWidth="1"/>
    <col min="10" max="10" width="46.54296875" style="6" customWidth="1"/>
    <col min="11" max="11" width="18.54296875" style="7" customWidth="1"/>
    <col min="12" max="12" width="14.54296875" style="16" customWidth="1"/>
    <col min="13" max="13" width="11.54296875" style="226" customWidth="1"/>
    <col min="14" max="14" width="78.54296875" style="18" customWidth="1"/>
    <col min="15" max="15" width="22.81640625" style="17" hidden="1" customWidth="1"/>
    <col min="16" max="16" width="32.453125" style="19" hidden="1" customWidth="1"/>
    <col min="17" max="17" width="18.26953125" style="1" customWidth="1"/>
    <col min="18" max="18" width="10.453125" style="1" customWidth="1"/>
    <col min="19" max="19" width="11.453125" style="1" customWidth="1"/>
    <col min="20" max="20" width="25.81640625" style="1" customWidth="1"/>
    <col min="21" max="21" width="11.453125" style="227" customWidth="1"/>
    <col min="22" max="22" width="14.54296875" style="227" customWidth="1"/>
    <col min="23" max="23" width="14.81640625" style="1" customWidth="1"/>
    <col min="24" max="24" width="17.1796875" style="1" customWidth="1"/>
    <col min="25" max="25" width="11.81640625" style="3" customWidth="1"/>
    <col min="26" max="26" width="15.81640625" style="1" customWidth="1"/>
    <col min="27" max="27" width="15.54296875" style="1" customWidth="1"/>
    <col min="28" max="28" width="15.54296875" style="3" customWidth="1"/>
    <col min="29" max="29" width="14.81640625" style="3" customWidth="1"/>
    <col min="30" max="30" width="13" style="3" customWidth="1"/>
    <col min="31" max="31" width="15.54296875" style="3" customWidth="1"/>
    <col min="32" max="32" width="15.453125" style="3" customWidth="1"/>
    <col min="33" max="33" width="13.81640625" style="1" customWidth="1"/>
    <col min="34" max="34" width="13.54296875" style="3" customWidth="1"/>
    <col min="35" max="35" width="16.81640625" style="3" customWidth="1"/>
    <col min="36" max="36" width="14.7265625" style="3" customWidth="1"/>
    <col min="37" max="37" width="19.1796875" style="1" customWidth="1"/>
    <col min="38" max="38" width="15.54296875" style="1" customWidth="1"/>
    <col min="39" max="39" width="17.453125" style="1" customWidth="1"/>
    <col min="40" max="41" width="15.1796875" customWidth="1"/>
    <col min="42" max="42" width="14.1796875" style="3" customWidth="1"/>
    <col min="43" max="43" width="15" style="3" customWidth="1"/>
    <col min="44" max="44" width="15.1796875" style="3" customWidth="1"/>
    <col min="45" max="16384" width="8.54296875" style="3"/>
  </cols>
  <sheetData>
    <row r="1" spans="1:44" ht="18.5">
      <c r="A1" s="223" t="s">
        <v>1056</v>
      </c>
      <c r="B1" s="224"/>
      <c r="C1" s="225"/>
      <c r="AQ1"/>
    </row>
    <row r="2" spans="1:44" ht="18.5">
      <c r="A2" s="20"/>
      <c r="B2" s="21" t="s">
        <v>83</v>
      </c>
      <c r="C2" s="228" t="s">
        <v>1057</v>
      </c>
      <c r="AQ2"/>
    </row>
    <row r="3" spans="1:44" ht="18.5">
      <c r="A3" s="20"/>
      <c r="B3" s="21"/>
      <c r="C3" s="23"/>
      <c r="R3" s="540" t="s">
        <v>1058</v>
      </c>
      <c r="S3" s="541"/>
      <c r="U3" s="542" t="s">
        <v>1058</v>
      </c>
      <c r="V3" s="542"/>
      <c r="W3" s="543" t="s">
        <v>1059</v>
      </c>
      <c r="X3" s="543"/>
      <c r="Y3" s="543"/>
      <c r="Z3" s="543"/>
      <c r="AA3" s="543"/>
      <c r="AB3" s="543"/>
      <c r="AC3" s="543"/>
      <c r="AD3" s="543"/>
      <c r="AE3" s="543"/>
      <c r="AF3" s="543"/>
      <c r="AG3" s="543"/>
      <c r="AH3" s="543"/>
      <c r="AI3" s="543"/>
      <c r="AJ3" s="543"/>
      <c r="AK3" s="543"/>
      <c r="AL3" s="543"/>
      <c r="AM3" s="543"/>
      <c r="AN3" s="543"/>
      <c r="AO3" s="543"/>
      <c r="AP3" s="543"/>
      <c r="AQ3" s="229"/>
      <c r="AR3" s="230"/>
    </row>
    <row r="4" spans="1:44" s="33" customFormat="1" ht="125.5" customHeight="1">
      <c r="A4" s="24" t="s">
        <v>85</v>
      </c>
      <c r="B4" s="25"/>
      <c r="C4" s="26" t="s">
        <v>86</v>
      </c>
      <c r="D4" s="27"/>
      <c r="E4" s="26" t="s">
        <v>87</v>
      </c>
      <c r="F4" s="28"/>
      <c r="G4" s="28" t="s">
        <v>1060</v>
      </c>
      <c r="H4" s="28" t="s">
        <v>89</v>
      </c>
      <c r="I4" s="29" t="s">
        <v>90</v>
      </c>
      <c r="J4" s="13" t="s">
        <v>1061</v>
      </c>
      <c r="K4" s="12" t="s">
        <v>92</v>
      </c>
      <c r="L4" s="12" t="s">
        <v>93</v>
      </c>
      <c r="M4" s="231" t="s">
        <v>94</v>
      </c>
      <c r="N4" s="232" t="s">
        <v>95</v>
      </c>
      <c r="O4" s="233" t="s">
        <v>96</v>
      </c>
      <c r="P4" s="32" t="s">
        <v>97</v>
      </c>
      <c r="Q4" s="234" t="s">
        <v>1062</v>
      </c>
      <c r="R4" s="234" t="s">
        <v>1063</v>
      </c>
      <c r="S4" s="234" t="s">
        <v>1064</v>
      </c>
      <c r="T4" s="235" t="s">
        <v>1065</v>
      </c>
      <c r="U4" s="235" t="s">
        <v>1063</v>
      </c>
      <c r="V4" s="235" t="s">
        <v>1064</v>
      </c>
      <c r="W4" s="236" t="s">
        <v>1066</v>
      </c>
      <c r="X4" s="237" t="s">
        <v>1067</v>
      </c>
      <c r="Y4" s="238" t="s">
        <v>1068</v>
      </c>
      <c r="Z4" s="238" t="s">
        <v>1069</v>
      </c>
      <c r="AA4" s="239" t="s">
        <v>1070</v>
      </c>
      <c r="AB4" s="240" t="s">
        <v>1071</v>
      </c>
      <c r="AC4" s="239" t="s">
        <v>1072</v>
      </c>
      <c r="AD4" s="240" t="s">
        <v>1073</v>
      </c>
      <c r="AE4" s="239" t="s">
        <v>1074</v>
      </c>
      <c r="AF4" s="240" t="s">
        <v>1075</v>
      </c>
      <c r="AG4" s="239" t="s">
        <v>1076</v>
      </c>
      <c r="AH4" s="240" t="s">
        <v>1077</v>
      </c>
      <c r="AI4" s="239" t="s">
        <v>1078</v>
      </c>
      <c r="AJ4" s="240" t="s">
        <v>1079</v>
      </c>
      <c r="AK4" s="239" t="s">
        <v>1080</v>
      </c>
      <c r="AL4" s="240" t="s">
        <v>1081</v>
      </c>
      <c r="AM4" s="239" t="s">
        <v>1082</v>
      </c>
      <c r="AN4" s="240" t="s">
        <v>1083</v>
      </c>
      <c r="AO4" s="239" t="s">
        <v>1084</v>
      </c>
      <c r="AP4" s="240" t="s">
        <v>1085</v>
      </c>
      <c r="AQ4" s="239" t="s">
        <v>1086</v>
      </c>
      <c r="AR4" s="240" t="s">
        <v>1087</v>
      </c>
    </row>
    <row r="5" spans="1:44" ht="258" customHeight="1">
      <c r="A5" s="34" t="s">
        <v>98</v>
      </c>
      <c r="B5" s="35">
        <v>1</v>
      </c>
      <c r="C5" s="241" t="s">
        <v>99</v>
      </c>
      <c r="D5" s="544" t="s">
        <v>100</v>
      </c>
      <c r="E5" s="524" t="s">
        <v>101</v>
      </c>
      <c r="F5" s="37" t="s">
        <v>102</v>
      </c>
      <c r="G5" s="38" t="s">
        <v>103</v>
      </c>
      <c r="H5" s="39" t="s">
        <v>104</v>
      </c>
      <c r="I5" s="39" t="s">
        <v>105</v>
      </c>
      <c r="J5" s="40" t="str">
        <f>G5</f>
        <v>Implementar i executar plans de gestió específics per a hàbitats i espècies de conservació prioritària dins l'ENP</v>
      </c>
      <c r="K5" s="40"/>
      <c r="L5" s="42" t="s">
        <v>1088</v>
      </c>
      <c r="M5" s="242" t="s">
        <v>1089</v>
      </c>
      <c r="N5" s="243" t="s">
        <v>1090</v>
      </c>
      <c r="O5" s="244" t="s">
        <v>106</v>
      </c>
      <c r="P5" s="45" t="s">
        <v>107</v>
      </c>
      <c r="Q5" s="245" t="s">
        <v>1091</v>
      </c>
      <c r="R5" s="246">
        <v>5</v>
      </c>
      <c r="S5" s="246">
        <v>8</v>
      </c>
      <c r="T5" s="245" t="s">
        <v>1092</v>
      </c>
      <c r="U5" s="247" t="s">
        <v>1093</v>
      </c>
      <c r="V5" s="247" t="s">
        <v>1094</v>
      </c>
      <c r="W5" s="248">
        <f t="shared" ref="W5:W68" si="0">AB5+AD5+AF5+AH5+AJ5+AL5+AN5+AP5+AR5</f>
        <v>4580</v>
      </c>
      <c r="X5" s="245" t="s">
        <v>1095</v>
      </c>
      <c r="Y5" s="249" t="s">
        <v>1096</v>
      </c>
      <c r="Z5" s="245" t="s">
        <v>1097</v>
      </c>
      <c r="AA5" s="245"/>
      <c r="AB5" s="249"/>
      <c r="AC5" s="42" t="s">
        <v>1098</v>
      </c>
      <c r="AD5" s="249">
        <v>280</v>
      </c>
      <c r="AE5" s="249"/>
      <c r="AF5" s="249"/>
      <c r="AG5" s="245" t="s">
        <v>1099</v>
      </c>
      <c r="AH5" s="249">
        <v>3580</v>
      </c>
      <c r="AI5" s="42" t="s">
        <v>1100</v>
      </c>
      <c r="AJ5" s="250">
        <v>495</v>
      </c>
      <c r="AK5" s="245"/>
      <c r="AL5" s="245"/>
      <c r="AM5" s="42" t="s">
        <v>1101</v>
      </c>
      <c r="AN5" s="251">
        <v>225</v>
      </c>
      <c r="AO5" s="251"/>
      <c r="AP5" s="249"/>
      <c r="AQ5" s="251"/>
      <c r="AR5" s="249"/>
    </row>
    <row r="6" spans="1:44" ht="65.25" customHeight="1">
      <c r="A6" s="252"/>
      <c r="B6" s="253"/>
      <c r="C6" s="254"/>
      <c r="D6" s="545"/>
      <c r="E6" s="546"/>
      <c r="F6" s="37" t="s">
        <v>108</v>
      </c>
      <c r="G6" s="38" t="s">
        <v>109</v>
      </c>
      <c r="H6" s="39" t="s">
        <v>104</v>
      </c>
      <c r="I6" s="39" t="s">
        <v>105</v>
      </c>
      <c r="J6" s="40" t="str">
        <f>G6</f>
        <v>Adaptar i executar plans de gestió específics per a elements geològics de conservació prioritària dins l'ENP</v>
      </c>
      <c r="K6" s="40"/>
      <c r="L6" s="46" t="s">
        <v>1088</v>
      </c>
      <c r="M6" s="242" t="s">
        <v>1102</v>
      </c>
      <c r="N6" s="243" t="s">
        <v>1103</v>
      </c>
      <c r="O6" s="244"/>
      <c r="P6" s="47"/>
      <c r="Q6" s="245" t="s">
        <v>1104</v>
      </c>
      <c r="R6" s="246">
        <v>2</v>
      </c>
      <c r="S6" s="246">
        <v>3</v>
      </c>
      <c r="T6" s="74" t="s">
        <v>1105</v>
      </c>
      <c r="U6" s="59" t="s">
        <v>1106</v>
      </c>
      <c r="V6" s="247" t="s">
        <v>1107</v>
      </c>
      <c r="W6" s="248">
        <f t="shared" si="0"/>
        <v>210</v>
      </c>
      <c r="X6" s="245" t="s">
        <v>1095</v>
      </c>
      <c r="Y6" s="249" t="s">
        <v>1108</v>
      </c>
      <c r="Z6" s="245" t="s">
        <v>1109</v>
      </c>
      <c r="AA6" s="245"/>
      <c r="AB6" s="249"/>
      <c r="AC6" s="42" t="s">
        <v>1110</v>
      </c>
      <c r="AD6" s="249">
        <v>200</v>
      </c>
      <c r="AE6" s="249"/>
      <c r="AF6" s="249"/>
      <c r="AG6" s="245"/>
      <c r="AH6" s="249"/>
      <c r="AI6" s="249"/>
      <c r="AJ6" s="249"/>
      <c r="AK6" s="245"/>
      <c r="AL6" s="245"/>
      <c r="AM6" s="42" t="s">
        <v>1111</v>
      </c>
      <c r="AN6" s="251">
        <v>10</v>
      </c>
      <c r="AO6" s="251"/>
      <c r="AP6" s="249"/>
      <c r="AQ6" s="251"/>
      <c r="AR6" s="249"/>
    </row>
    <row r="7" spans="1:44" ht="62.25" customHeight="1">
      <c r="A7" s="252"/>
      <c r="B7" s="253"/>
      <c r="C7" s="255"/>
      <c r="D7" s="547" t="s">
        <v>110</v>
      </c>
      <c r="E7" s="549" t="s">
        <v>111</v>
      </c>
      <c r="F7" s="256" t="s">
        <v>112</v>
      </c>
      <c r="G7" s="38" t="s">
        <v>113</v>
      </c>
      <c r="H7" s="39" t="s">
        <v>104</v>
      </c>
      <c r="I7" s="39" t="s">
        <v>114</v>
      </c>
      <c r="J7" s="40" t="str">
        <f t="shared" ref="J7:J71" si="1">G7</f>
        <v>Implementar la metodologia de gestió adaptativa (Estàndards Oberts de Gestió Adaptativa a Catalunya) en tots els processos de l'ENP</v>
      </c>
      <c r="K7" s="40"/>
      <c r="L7" s="46" t="s">
        <v>1088</v>
      </c>
      <c r="M7" s="242" t="s">
        <v>1089</v>
      </c>
      <c r="N7" s="243" t="s">
        <v>1112</v>
      </c>
      <c r="O7" s="244" t="s">
        <v>115</v>
      </c>
      <c r="P7" s="45" t="s">
        <v>116</v>
      </c>
      <c r="Q7" s="245" t="s">
        <v>1113</v>
      </c>
      <c r="R7" s="246">
        <v>1</v>
      </c>
      <c r="S7" s="246">
        <v>1</v>
      </c>
      <c r="T7" s="245" t="s">
        <v>1113</v>
      </c>
      <c r="U7" s="247">
        <v>1</v>
      </c>
      <c r="V7" s="247">
        <v>1</v>
      </c>
      <c r="W7" s="248">
        <f t="shared" si="0"/>
        <v>205</v>
      </c>
      <c r="X7" s="245" t="s">
        <v>1095</v>
      </c>
      <c r="Y7" s="249" t="s">
        <v>1096</v>
      </c>
      <c r="Z7" s="245" t="s">
        <v>1114</v>
      </c>
      <c r="AA7" s="245"/>
      <c r="AB7" s="249"/>
      <c r="AC7" s="42" t="s">
        <v>1115</v>
      </c>
      <c r="AD7" s="249">
        <v>50</v>
      </c>
      <c r="AE7" s="249"/>
      <c r="AF7" s="249"/>
      <c r="AG7" s="245"/>
      <c r="AH7" s="249"/>
      <c r="AI7" s="249">
        <v>75</v>
      </c>
      <c r="AJ7" s="249">
        <v>75</v>
      </c>
      <c r="AK7" s="245"/>
      <c r="AL7" s="245"/>
      <c r="AM7" s="42" t="s">
        <v>1116</v>
      </c>
      <c r="AN7" s="251">
        <v>80</v>
      </c>
      <c r="AO7" s="251"/>
      <c r="AP7" s="249"/>
      <c r="AQ7" s="251"/>
      <c r="AR7" s="249"/>
    </row>
    <row r="8" spans="1:44" ht="58">
      <c r="A8" s="252"/>
      <c r="B8" s="253"/>
      <c r="C8" s="255"/>
      <c r="D8" s="547"/>
      <c r="E8" s="549"/>
      <c r="F8" s="256" t="s">
        <v>117</v>
      </c>
      <c r="G8" s="38" t="s">
        <v>118</v>
      </c>
      <c r="H8" s="39" t="s">
        <v>104</v>
      </c>
      <c r="I8" s="39" t="s">
        <v>105</v>
      </c>
      <c r="J8" s="257" t="str">
        <f t="shared" si="1"/>
        <v>Executar les mesures previstes en els plans de conservació o recuperació d'espècies amenaçades de forma coordinada amb el Servei de Flora i Fauna en l'àmbit de l'ENP</v>
      </c>
      <c r="K8" s="258"/>
      <c r="L8" s="42" t="s">
        <v>1088</v>
      </c>
      <c r="M8" s="242" t="s">
        <v>1089</v>
      </c>
      <c r="N8" s="243" t="s">
        <v>1117</v>
      </c>
      <c r="O8" s="259" t="s">
        <v>119</v>
      </c>
      <c r="P8" s="45" t="s">
        <v>120</v>
      </c>
      <c r="Q8" s="245" t="s">
        <v>1118</v>
      </c>
      <c r="R8" s="260">
        <v>80</v>
      </c>
      <c r="S8" s="261">
        <v>100</v>
      </c>
      <c r="T8" s="245"/>
      <c r="U8" s="262"/>
      <c r="V8" s="262"/>
      <c r="W8" s="248">
        <f t="shared" si="0"/>
        <v>145</v>
      </c>
      <c r="X8" s="245" t="s">
        <v>1095</v>
      </c>
      <c r="Y8" s="249" t="s">
        <v>1096</v>
      </c>
      <c r="Z8" s="245" t="s">
        <v>1119</v>
      </c>
      <c r="AA8" s="245"/>
      <c r="AB8" s="249"/>
      <c r="AC8" s="42" t="s">
        <v>1120</v>
      </c>
      <c r="AD8" s="249">
        <v>30</v>
      </c>
      <c r="AE8" s="249"/>
      <c r="AF8" s="249"/>
      <c r="AG8" s="245"/>
      <c r="AH8" s="249"/>
      <c r="AI8" s="249">
        <v>75</v>
      </c>
      <c r="AJ8" s="249">
        <v>75</v>
      </c>
      <c r="AK8" s="245"/>
      <c r="AL8" s="245"/>
      <c r="AM8" s="245" t="s">
        <v>1121</v>
      </c>
      <c r="AN8" s="251">
        <v>40</v>
      </c>
      <c r="AO8" s="251"/>
      <c r="AP8" s="249"/>
      <c r="AQ8" s="251"/>
      <c r="AR8" s="249"/>
    </row>
    <row r="9" spans="1:44" ht="79.5" customHeight="1">
      <c r="A9" s="252"/>
      <c r="B9" s="253"/>
      <c r="C9" s="255"/>
      <c r="D9" s="548"/>
      <c r="E9" s="550"/>
      <c r="F9" s="256" t="s">
        <v>37</v>
      </c>
      <c r="G9" s="38" t="s">
        <v>121</v>
      </c>
      <c r="H9" s="39" t="s">
        <v>104</v>
      </c>
      <c r="I9" s="39" t="s">
        <v>105</v>
      </c>
      <c r="J9" s="40" t="s">
        <v>121</v>
      </c>
      <c r="K9" s="51"/>
      <c r="L9" s="42" t="s">
        <v>1088</v>
      </c>
      <c r="M9" s="242" t="s">
        <v>1089</v>
      </c>
      <c r="N9" s="243" t="s">
        <v>1122</v>
      </c>
      <c r="O9" s="259" t="s">
        <v>122</v>
      </c>
      <c r="P9" s="45" t="s">
        <v>123</v>
      </c>
      <c r="Q9" s="263" t="s">
        <v>1123</v>
      </c>
      <c r="R9" s="264">
        <v>2</v>
      </c>
      <c r="S9" s="264">
        <v>4</v>
      </c>
      <c r="T9" s="265" t="s">
        <v>1124</v>
      </c>
      <c r="U9" s="266" t="s">
        <v>1125</v>
      </c>
      <c r="V9" s="266" t="s">
        <v>1126</v>
      </c>
      <c r="W9" s="248">
        <f t="shared" si="0"/>
        <v>135</v>
      </c>
      <c r="X9" s="245" t="s">
        <v>1095</v>
      </c>
      <c r="Y9" s="249" t="s">
        <v>1096</v>
      </c>
      <c r="Z9" s="245" t="s">
        <v>1127</v>
      </c>
      <c r="AA9" s="245"/>
      <c r="AB9" s="249"/>
      <c r="AC9" s="42" t="s">
        <v>1128</v>
      </c>
      <c r="AD9" s="249">
        <v>50</v>
      </c>
      <c r="AE9" s="249"/>
      <c r="AF9" s="249"/>
      <c r="AG9" s="245"/>
      <c r="AH9" s="249"/>
      <c r="AI9" s="249">
        <v>75</v>
      </c>
      <c r="AJ9" s="249">
        <v>75</v>
      </c>
      <c r="AK9" s="245"/>
      <c r="AL9" s="245"/>
      <c r="AM9" s="245" t="s">
        <v>1129</v>
      </c>
      <c r="AN9" s="251">
        <v>10</v>
      </c>
      <c r="AO9" s="251"/>
      <c r="AP9" s="249"/>
      <c r="AQ9" s="251"/>
      <c r="AR9" s="249"/>
    </row>
    <row r="10" spans="1:44" ht="116" hidden="1">
      <c r="A10" s="252"/>
      <c r="B10" s="253"/>
      <c r="C10" s="255"/>
      <c r="D10" s="545"/>
      <c r="E10" s="551"/>
      <c r="F10" s="39" t="s">
        <v>124</v>
      </c>
      <c r="G10" s="38" t="s">
        <v>125</v>
      </c>
      <c r="H10" s="39" t="s">
        <v>126</v>
      </c>
      <c r="I10" s="39" t="s">
        <v>127</v>
      </c>
      <c r="J10" s="40" t="s">
        <v>1130</v>
      </c>
      <c r="K10" s="51" t="s">
        <v>1131</v>
      </c>
      <c r="L10" s="267"/>
      <c r="M10" s="268"/>
      <c r="N10" s="269"/>
      <c r="O10" s="259"/>
      <c r="P10" s="45"/>
      <c r="Q10" s="245"/>
      <c r="R10" s="270"/>
      <c r="S10" s="271"/>
      <c r="T10" s="272"/>
      <c r="U10" s="273"/>
      <c r="V10" s="273"/>
      <c r="W10" s="248">
        <f t="shared" si="0"/>
        <v>0</v>
      </c>
      <c r="X10" s="245" t="s">
        <v>1095</v>
      </c>
      <c r="Y10" s="249"/>
      <c r="Z10" s="245"/>
      <c r="AA10" s="245"/>
      <c r="AB10" s="249"/>
      <c r="AC10" s="249"/>
      <c r="AD10" s="249"/>
      <c r="AE10" s="249"/>
      <c r="AF10" s="249"/>
      <c r="AG10" s="245"/>
      <c r="AH10" s="249"/>
      <c r="AI10" s="249"/>
      <c r="AJ10" s="249"/>
      <c r="AK10" s="245"/>
      <c r="AL10" s="245"/>
      <c r="AM10" s="245"/>
      <c r="AN10" s="251"/>
      <c r="AO10" s="251"/>
      <c r="AP10" s="249"/>
      <c r="AQ10" s="251"/>
      <c r="AR10" s="249"/>
    </row>
    <row r="11" spans="1:44" ht="43.5" hidden="1">
      <c r="A11" s="252"/>
      <c r="B11" s="253"/>
      <c r="C11" s="255"/>
      <c r="D11" s="548" t="s">
        <v>128</v>
      </c>
      <c r="E11" s="524" t="s">
        <v>129</v>
      </c>
      <c r="F11" s="37" t="s">
        <v>130</v>
      </c>
      <c r="G11" s="38" t="s">
        <v>131</v>
      </c>
      <c r="H11" s="39" t="s">
        <v>104</v>
      </c>
      <c r="I11" s="39" t="s">
        <v>105</v>
      </c>
      <c r="J11" s="257" t="str">
        <f>G11</f>
        <v>Identificar espais pel foment de la dinàmica natural i l'aprofitament no extractiu</v>
      </c>
      <c r="K11" s="51" t="s">
        <v>1132</v>
      </c>
      <c r="L11" s="42" t="s">
        <v>674</v>
      </c>
      <c r="M11" s="274" t="s">
        <v>1133</v>
      </c>
      <c r="N11" s="275"/>
      <c r="O11" s="244" t="s">
        <v>115</v>
      </c>
      <c r="P11" s="45" t="s">
        <v>132</v>
      </c>
      <c r="Q11" s="245"/>
      <c r="R11" s="246"/>
      <c r="S11" s="246"/>
      <c r="T11" s="276"/>
      <c r="U11" s="277"/>
      <c r="V11" s="277"/>
      <c r="W11" s="248">
        <f t="shared" si="0"/>
        <v>0</v>
      </c>
      <c r="X11" s="245" t="s">
        <v>1095</v>
      </c>
      <c r="Y11" s="249"/>
      <c r="Z11" s="245"/>
      <c r="AA11" s="245"/>
      <c r="AB11" s="249"/>
      <c r="AC11" s="249"/>
      <c r="AD11" s="249"/>
      <c r="AE11" s="249"/>
      <c r="AF11" s="249"/>
      <c r="AG11" s="245"/>
      <c r="AH11" s="249"/>
      <c r="AI11" s="249"/>
      <c r="AJ11" s="249"/>
      <c r="AK11" s="245"/>
      <c r="AL11" s="245"/>
      <c r="AM11" s="245"/>
      <c r="AN11" s="251"/>
      <c r="AO11" s="251"/>
      <c r="AP11" s="249"/>
      <c r="AQ11" s="251"/>
      <c r="AR11" s="249"/>
    </row>
    <row r="12" spans="1:44" ht="72.5" hidden="1">
      <c r="A12" s="252"/>
      <c r="B12" s="253"/>
      <c r="C12" s="255"/>
      <c r="D12" s="548"/>
      <c r="E12" s="524"/>
      <c r="F12" s="37" t="s">
        <v>133</v>
      </c>
      <c r="G12" s="38" t="s">
        <v>134</v>
      </c>
      <c r="H12" s="39" t="s">
        <v>126</v>
      </c>
      <c r="I12" s="39" t="s">
        <v>127</v>
      </c>
      <c r="J12" s="40" t="s">
        <v>1130</v>
      </c>
      <c r="K12" s="51" t="s">
        <v>1134</v>
      </c>
      <c r="L12" s="267"/>
      <c r="M12" s="268"/>
      <c r="N12" s="269"/>
      <c r="O12" s="244" t="s">
        <v>106</v>
      </c>
      <c r="P12" s="45" t="s">
        <v>132</v>
      </c>
      <c r="Q12" s="245"/>
      <c r="R12" s="246"/>
      <c r="S12" s="246"/>
      <c r="T12" s="245"/>
      <c r="U12" s="247"/>
      <c r="V12" s="247"/>
      <c r="W12" s="248">
        <f t="shared" si="0"/>
        <v>0</v>
      </c>
      <c r="X12" s="245" t="s">
        <v>1095</v>
      </c>
      <c r="Y12" s="249"/>
      <c r="Z12" s="245"/>
      <c r="AA12" s="245"/>
      <c r="AB12" s="249"/>
      <c r="AC12" s="249"/>
      <c r="AD12" s="249"/>
      <c r="AE12" s="249"/>
      <c r="AF12" s="249"/>
      <c r="AG12" s="245"/>
      <c r="AH12" s="249"/>
      <c r="AI12" s="249"/>
      <c r="AJ12" s="249"/>
      <c r="AK12" s="245"/>
      <c r="AL12" s="245"/>
      <c r="AM12" s="245"/>
      <c r="AN12" s="251"/>
      <c r="AO12" s="251"/>
      <c r="AP12" s="249"/>
      <c r="AQ12" s="251"/>
      <c r="AR12" s="249"/>
    </row>
    <row r="13" spans="1:44" ht="43.5" hidden="1">
      <c r="A13" s="252"/>
      <c r="B13" s="253"/>
      <c r="C13" s="255"/>
      <c r="D13" s="548"/>
      <c r="E13" s="524"/>
      <c r="F13" s="37" t="s">
        <v>135</v>
      </c>
      <c r="G13" s="38" t="s">
        <v>136</v>
      </c>
      <c r="H13" s="39" t="s">
        <v>126</v>
      </c>
      <c r="I13" s="39" t="s">
        <v>127</v>
      </c>
      <c r="J13" s="40" t="s">
        <v>1130</v>
      </c>
      <c r="K13" s="51" t="s">
        <v>1135</v>
      </c>
      <c r="L13" s="267"/>
      <c r="M13" s="274" t="s">
        <v>1133</v>
      </c>
      <c r="N13" s="269"/>
      <c r="O13" s="244" t="s">
        <v>106</v>
      </c>
      <c r="P13" s="45" t="s">
        <v>132</v>
      </c>
      <c r="Q13" s="245"/>
      <c r="R13" s="246"/>
      <c r="S13" s="246"/>
      <c r="T13" s="245"/>
      <c r="U13" s="247"/>
      <c r="V13" s="247"/>
      <c r="W13" s="248">
        <f t="shared" si="0"/>
        <v>0</v>
      </c>
      <c r="X13" s="245" t="s">
        <v>1095</v>
      </c>
      <c r="Y13" s="249"/>
      <c r="Z13" s="245"/>
      <c r="AA13" s="245"/>
      <c r="AB13" s="249"/>
      <c r="AC13" s="249"/>
      <c r="AD13" s="249"/>
      <c r="AE13" s="249"/>
      <c r="AF13" s="249"/>
      <c r="AG13" s="245"/>
      <c r="AH13" s="249"/>
      <c r="AI13" s="249"/>
      <c r="AJ13" s="249"/>
      <c r="AK13" s="245"/>
      <c r="AL13" s="245"/>
      <c r="AM13" s="245"/>
      <c r="AN13" s="251"/>
      <c r="AO13" s="251"/>
      <c r="AP13" s="249"/>
      <c r="AQ13" s="251"/>
      <c r="AR13" s="249"/>
    </row>
    <row r="14" spans="1:44" ht="48.75" customHeight="1">
      <c r="A14" s="252"/>
      <c r="B14" s="253"/>
      <c r="C14" s="255"/>
      <c r="D14" s="548"/>
      <c r="E14" s="524"/>
      <c r="F14" s="37" t="s">
        <v>137</v>
      </c>
      <c r="G14" s="38" t="s">
        <v>138</v>
      </c>
      <c r="H14" s="39" t="s">
        <v>126</v>
      </c>
      <c r="I14" s="39" t="s">
        <v>127</v>
      </c>
      <c r="J14" s="40" t="str">
        <f>G14</f>
        <v xml:space="preserve">Restaurar la dinàmica natural dels rius </v>
      </c>
      <c r="K14" s="40"/>
      <c r="L14" s="42" t="s">
        <v>1088</v>
      </c>
      <c r="M14" s="242" t="s">
        <v>1136</v>
      </c>
      <c r="N14" s="243" t="s">
        <v>1137</v>
      </c>
      <c r="O14" s="244" t="s">
        <v>106</v>
      </c>
      <c r="P14" s="45" t="s">
        <v>132</v>
      </c>
      <c r="Q14" s="245" t="s">
        <v>1138</v>
      </c>
      <c r="R14" s="246">
        <v>20</v>
      </c>
      <c r="S14" s="246">
        <v>25</v>
      </c>
      <c r="T14" s="278"/>
      <c r="U14" s="245"/>
      <c r="V14" s="245"/>
      <c r="W14" s="248">
        <f t="shared" si="0"/>
        <v>90</v>
      </c>
      <c r="X14" s="245" t="s">
        <v>1095</v>
      </c>
      <c r="Y14" s="249" t="s">
        <v>1096</v>
      </c>
      <c r="Z14" s="245" t="s">
        <v>1109</v>
      </c>
      <c r="AA14" s="245"/>
      <c r="AB14" s="249"/>
      <c r="AC14" s="249"/>
      <c r="AD14" s="249"/>
      <c r="AE14" s="249"/>
      <c r="AF14" s="249"/>
      <c r="AG14" s="245"/>
      <c r="AH14" s="249"/>
      <c r="AI14" s="249">
        <v>50</v>
      </c>
      <c r="AJ14" s="249">
        <v>50</v>
      </c>
      <c r="AK14" s="245"/>
      <c r="AL14" s="245"/>
      <c r="AM14" s="245" t="s">
        <v>1139</v>
      </c>
      <c r="AN14" s="251">
        <v>40</v>
      </c>
      <c r="AO14" s="251"/>
      <c r="AP14" s="249"/>
      <c r="AQ14" s="251"/>
      <c r="AR14" s="249"/>
    </row>
    <row r="15" spans="1:44" ht="64.5" customHeight="1">
      <c r="A15" s="252"/>
      <c r="B15" s="253"/>
      <c r="C15" s="255"/>
      <c r="D15" s="548"/>
      <c r="E15" s="524"/>
      <c r="F15" s="37" t="s">
        <v>139</v>
      </c>
      <c r="G15" s="38" t="s">
        <v>140</v>
      </c>
      <c r="H15" s="39" t="s">
        <v>126</v>
      </c>
      <c r="I15" s="39" t="s">
        <v>127</v>
      </c>
      <c r="J15" s="40" t="str">
        <f t="shared" si="1"/>
        <v>Fomentar el paisatge en mosaïc</v>
      </c>
      <c r="K15" s="40"/>
      <c r="L15" s="42" t="s">
        <v>1088</v>
      </c>
      <c r="M15" s="242" t="s">
        <v>1102</v>
      </c>
      <c r="N15" s="243" t="s">
        <v>1140</v>
      </c>
      <c r="O15" s="244" t="s">
        <v>115</v>
      </c>
      <c r="P15" s="45" t="s">
        <v>132</v>
      </c>
      <c r="Q15" s="245"/>
      <c r="R15" s="246"/>
      <c r="S15" s="279"/>
      <c r="T15" s="245" t="s">
        <v>1141</v>
      </c>
      <c r="U15" s="279" t="s">
        <v>1142</v>
      </c>
      <c r="V15" s="279" t="s">
        <v>1143</v>
      </c>
      <c r="W15" s="248">
        <f t="shared" si="0"/>
        <v>160</v>
      </c>
      <c r="X15" s="245" t="s">
        <v>1144</v>
      </c>
      <c r="Y15" s="249" t="s">
        <v>1109</v>
      </c>
      <c r="Z15" s="245" t="s">
        <v>1109</v>
      </c>
      <c r="AA15" s="245"/>
      <c r="AB15" s="249"/>
      <c r="AC15" s="249"/>
      <c r="AD15" s="249"/>
      <c r="AE15" s="249"/>
      <c r="AF15" s="249"/>
      <c r="AG15" s="245"/>
      <c r="AH15" s="249"/>
      <c r="AI15" s="249"/>
      <c r="AJ15" s="249"/>
      <c r="AK15" s="245"/>
      <c r="AL15" s="245"/>
      <c r="AM15" s="245" t="s">
        <v>1145</v>
      </c>
      <c r="AN15" s="251">
        <v>160</v>
      </c>
      <c r="AO15" s="251"/>
      <c r="AP15" s="249"/>
      <c r="AQ15" s="251"/>
      <c r="AR15" s="249"/>
    </row>
    <row r="16" spans="1:44" ht="195.75" customHeight="1">
      <c r="A16" s="252"/>
      <c r="B16" s="253"/>
      <c r="C16" s="255"/>
      <c r="D16" s="547"/>
      <c r="E16" s="546"/>
      <c r="F16" s="37" t="s">
        <v>141</v>
      </c>
      <c r="G16" s="38" t="s">
        <v>142</v>
      </c>
      <c r="H16" s="39" t="s">
        <v>126</v>
      </c>
      <c r="I16" s="39" t="s">
        <v>127</v>
      </c>
      <c r="J16" s="40" t="str">
        <f>G16</f>
        <v>Gestionar i intervenir en la dinàmica de poblacions de fauna que no tenen depredador natural</v>
      </c>
      <c r="K16" s="40"/>
      <c r="L16" s="42" t="s">
        <v>1088</v>
      </c>
      <c r="M16" s="242" t="s">
        <v>1136</v>
      </c>
      <c r="N16" s="243" t="s">
        <v>1146</v>
      </c>
      <c r="O16" s="244"/>
      <c r="P16" s="45" t="s">
        <v>132</v>
      </c>
      <c r="Q16" s="74" t="s">
        <v>1147</v>
      </c>
      <c r="R16" s="280">
        <v>5</v>
      </c>
      <c r="S16" s="280">
        <v>6</v>
      </c>
      <c r="T16" s="74" t="s">
        <v>1148</v>
      </c>
      <c r="U16" s="247" t="s">
        <v>1149</v>
      </c>
      <c r="V16" s="247" t="s">
        <v>1150</v>
      </c>
      <c r="W16" s="248">
        <f t="shared" si="0"/>
        <v>2330</v>
      </c>
      <c r="X16" s="245" t="s">
        <v>1095</v>
      </c>
      <c r="Y16" s="249" t="s">
        <v>1151</v>
      </c>
      <c r="Z16" s="245" t="s">
        <v>1109</v>
      </c>
      <c r="AA16" s="245"/>
      <c r="AB16" s="249"/>
      <c r="AC16" s="42" t="s">
        <v>1152</v>
      </c>
      <c r="AD16" s="249">
        <v>325</v>
      </c>
      <c r="AE16" s="249" t="s">
        <v>1139</v>
      </c>
      <c r="AF16" s="249">
        <v>40</v>
      </c>
      <c r="AG16" s="245" t="s">
        <v>1153</v>
      </c>
      <c r="AH16" s="249">
        <v>1920</v>
      </c>
      <c r="AI16" s="249"/>
      <c r="AJ16" s="249"/>
      <c r="AK16" s="245"/>
      <c r="AL16" s="245"/>
      <c r="AM16" s="245" t="s">
        <v>1154</v>
      </c>
      <c r="AN16" s="251">
        <v>45</v>
      </c>
      <c r="AO16" s="251"/>
      <c r="AP16" s="249"/>
      <c r="AQ16" s="251"/>
      <c r="AR16" s="249"/>
    </row>
    <row r="17" spans="1:44" s="16" customFormat="1" ht="30.65" customHeight="1">
      <c r="A17" s="281"/>
      <c r="B17" s="253"/>
      <c r="C17" s="255"/>
      <c r="D17" s="282"/>
      <c r="E17" s="283"/>
      <c r="F17" s="37" t="s">
        <v>1155</v>
      </c>
      <c r="G17" s="38" t="s">
        <v>1156</v>
      </c>
      <c r="H17" s="39" t="s">
        <v>104</v>
      </c>
      <c r="I17" s="39" t="s">
        <v>114</v>
      </c>
      <c r="J17" s="40" t="str">
        <f>G17</f>
        <v>Afavorir la connectivitat ecològica del territori</v>
      </c>
      <c r="K17" s="40"/>
      <c r="L17" s="42" t="s">
        <v>1088</v>
      </c>
      <c r="M17" s="284" t="s">
        <v>1136</v>
      </c>
      <c r="N17" s="243" t="s">
        <v>1157</v>
      </c>
      <c r="O17" s="256"/>
      <c r="P17" s="38"/>
      <c r="Q17" s="42" t="s">
        <v>1158</v>
      </c>
      <c r="R17" s="285" t="s">
        <v>669</v>
      </c>
      <c r="S17" s="285" t="s">
        <v>669</v>
      </c>
      <c r="T17" s="42"/>
      <c r="U17" s="59"/>
      <c r="V17" s="59"/>
      <c r="W17" s="248">
        <f t="shared" si="0"/>
        <v>200</v>
      </c>
      <c r="X17" s="42" t="s">
        <v>1159</v>
      </c>
      <c r="Y17" s="46" t="s">
        <v>1160</v>
      </c>
      <c r="Z17" s="42" t="s">
        <v>1109</v>
      </c>
      <c r="AA17" s="42"/>
      <c r="AB17" s="46"/>
      <c r="AC17" s="42"/>
      <c r="AD17" s="46"/>
      <c r="AE17" s="46"/>
      <c r="AF17" s="46"/>
      <c r="AG17" s="42"/>
      <c r="AH17" s="46"/>
      <c r="AI17" s="46">
        <v>40</v>
      </c>
      <c r="AJ17" s="46">
        <v>40</v>
      </c>
      <c r="AK17" s="42"/>
      <c r="AL17" s="42"/>
      <c r="AM17" s="245" t="s">
        <v>1145</v>
      </c>
      <c r="AN17" s="286">
        <v>160</v>
      </c>
      <c r="AO17" s="286"/>
      <c r="AP17" s="46"/>
      <c r="AQ17" s="286"/>
      <c r="AR17" s="46"/>
    </row>
    <row r="18" spans="1:44" ht="43.5" hidden="1">
      <c r="A18" s="252"/>
      <c r="B18" s="253"/>
      <c r="C18" s="255"/>
      <c r="D18" s="548" t="s">
        <v>143</v>
      </c>
      <c r="E18" s="524" t="s">
        <v>144</v>
      </c>
      <c r="F18" s="37" t="s">
        <v>145</v>
      </c>
      <c r="G18" s="38" t="s">
        <v>146</v>
      </c>
      <c r="H18" s="39" t="s">
        <v>104</v>
      </c>
      <c r="I18" s="39" t="s">
        <v>127</v>
      </c>
      <c r="J18" s="40" t="s">
        <v>1130</v>
      </c>
      <c r="K18" s="51" t="s">
        <v>1161</v>
      </c>
      <c r="L18" s="42"/>
      <c r="M18" s="268"/>
      <c r="N18" s="287"/>
      <c r="O18" s="244" t="s">
        <v>106</v>
      </c>
      <c r="P18" s="45" t="s">
        <v>147</v>
      </c>
      <c r="Q18" s="245"/>
      <c r="R18" s="246"/>
      <c r="S18" s="246"/>
      <c r="T18" s="245"/>
      <c r="U18" s="247"/>
      <c r="V18" s="247"/>
      <c r="W18" s="248">
        <f t="shared" si="0"/>
        <v>0</v>
      </c>
      <c r="X18" s="245" t="s">
        <v>1095</v>
      </c>
      <c r="Y18" s="249"/>
      <c r="Z18" s="245"/>
      <c r="AA18" s="245"/>
      <c r="AB18" s="249"/>
      <c r="AC18" s="249"/>
      <c r="AD18" s="249"/>
      <c r="AE18" s="249"/>
      <c r="AF18" s="249"/>
      <c r="AG18" s="245"/>
      <c r="AH18" s="249"/>
      <c r="AI18" s="249"/>
      <c r="AJ18" s="249"/>
      <c r="AK18" s="245"/>
      <c r="AL18" s="245"/>
      <c r="AM18" s="245"/>
      <c r="AN18" s="251"/>
      <c r="AO18" s="251"/>
      <c r="AP18" s="249"/>
      <c r="AQ18" s="251"/>
      <c r="AR18" s="249"/>
    </row>
    <row r="19" spans="1:44" ht="72.5" hidden="1">
      <c r="A19" s="252"/>
      <c r="B19" s="253"/>
      <c r="C19" s="255"/>
      <c r="D19" s="548"/>
      <c r="E19" s="524"/>
      <c r="F19" s="37" t="s">
        <v>148</v>
      </c>
      <c r="G19" s="38" t="s">
        <v>149</v>
      </c>
      <c r="H19" s="39" t="s">
        <v>104</v>
      </c>
      <c r="I19" s="39" t="s">
        <v>127</v>
      </c>
      <c r="J19" s="40" t="s">
        <v>1130</v>
      </c>
      <c r="K19" s="51" t="s">
        <v>1162</v>
      </c>
      <c r="L19" s="42"/>
      <c r="M19" s="268"/>
      <c r="N19" s="287"/>
      <c r="O19" s="244"/>
      <c r="P19" s="45"/>
      <c r="Q19" s="245"/>
      <c r="R19" s="246"/>
      <c r="S19" s="246"/>
      <c r="T19" s="245"/>
      <c r="U19" s="247"/>
      <c r="V19" s="247"/>
      <c r="W19" s="248">
        <f t="shared" si="0"/>
        <v>0</v>
      </c>
      <c r="X19" s="245"/>
      <c r="Y19" s="249"/>
      <c r="Z19" s="245"/>
      <c r="AA19" s="245"/>
      <c r="AB19" s="249"/>
      <c r="AC19" s="249"/>
      <c r="AD19" s="249"/>
      <c r="AE19" s="249"/>
      <c r="AF19" s="249"/>
      <c r="AG19" s="245"/>
      <c r="AH19" s="249"/>
      <c r="AI19" s="249"/>
      <c r="AJ19" s="249"/>
      <c r="AK19" s="245"/>
      <c r="AL19" s="245"/>
      <c r="AM19" s="245"/>
      <c r="AN19" s="251"/>
      <c r="AO19" s="251"/>
      <c r="AP19" s="249"/>
      <c r="AQ19" s="251"/>
      <c r="AR19" s="249"/>
    </row>
    <row r="20" spans="1:44" ht="43.5">
      <c r="A20" s="252"/>
      <c r="B20" s="288"/>
      <c r="C20" s="289"/>
      <c r="D20" s="548"/>
      <c r="E20" s="524"/>
      <c r="F20" s="37" t="s">
        <v>150</v>
      </c>
      <c r="G20" s="38" t="s">
        <v>151</v>
      </c>
      <c r="H20" s="39" t="s">
        <v>126</v>
      </c>
      <c r="I20" s="39" t="s">
        <v>127</v>
      </c>
      <c r="J20" s="40" t="str">
        <f t="shared" si="1"/>
        <v>Impulsar la coordinació amb els ens locals en la gestió finques públiques situades dins d’ENP</v>
      </c>
      <c r="K20" s="51"/>
      <c r="L20" s="42" t="s">
        <v>1088</v>
      </c>
      <c r="M20" s="242" t="s">
        <v>1089</v>
      </c>
      <c r="N20" s="243" t="s">
        <v>1163</v>
      </c>
      <c r="O20" s="244" t="s">
        <v>115</v>
      </c>
      <c r="P20" s="45"/>
      <c r="Q20" s="245" t="s">
        <v>1164</v>
      </c>
      <c r="R20" s="246">
        <v>6</v>
      </c>
      <c r="S20" s="246">
        <v>6</v>
      </c>
      <c r="T20" s="245" t="s">
        <v>1165</v>
      </c>
      <c r="U20" s="247" t="s">
        <v>1166</v>
      </c>
      <c r="V20" s="247" t="s">
        <v>1166</v>
      </c>
      <c r="W20" s="248">
        <f t="shared" si="0"/>
        <v>250</v>
      </c>
      <c r="X20" s="245" t="s">
        <v>1159</v>
      </c>
      <c r="Y20" s="249" t="s">
        <v>1109</v>
      </c>
      <c r="Z20" s="245"/>
      <c r="AA20" s="245"/>
      <c r="AB20" s="249"/>
      <c r="AC20" s="249"/>
      <c r="AD20" s="249"/>
      <c r="AE20" s="249"/>
      <c r="AF20" s="249"/>
      <c r="AG20" s="245"/>
      <c r="AH20" s="249"/>
      <c r="AI20" s="249"/>
      <c r="AJ20" s="249"/>
      <c r="AK20" s="245"/>
      <c r="AL20" s="245"/>
      <c r="AM20" s="245" t="s">
        <v>1167</v>
      </c>
      <c r="AN20" s="251">
        <v>250</v>
      </c>
      <c r="AO20" s="251"/>
      <c r="AP20" s="249"/>
      <c r="AQ20" s="251"/>
      <c r="AR20" s="249"/>
    </row>
    <row r="21" spans="1:44" ht="43.5" hidden="1">
      <c r="A21" s="252"/>
      <c r="B21" s="552">
        <v>2</v>
      </c>
      <c r="C21" s="553" t="s">
        <v>152</v>
      </c>
      <c r="D21" s="547" t="s">
        <v>153</v>
      </c>
      <c r="E21" s="555" t="s">
        <v>154</v>
      </c>
      <c r="F21" s="37" t="s">
        <v>155</v>
      </c>
      <c r="G21" s="38" t="s">
        <v>156</v>
      </c>
      <c r="H21" s="39" t="s">
        <v>104</v>
      </c>
      <c r="I21" s="39" t="s">
        <v>105</v>
      </c>
      <c r="J21" s="40" t="s">
        <v>1130</v>
      </c>
      <c r="K21" s="51" t="s">
        <v>1168</v>
      </c>
      <c r="L21" s="290"/>
      <c r="M21" s="291" t="s">
        <v>1133</v>
      </c>
      <c r="N21" s="275"/>
      <c r="O21" s="244"/>
      <c r="P21" s="45" t="s">
        <v>157</v>
      </c>
      <c r="Q21" s="245"/>
      <c r="R21" s="246"/>
      <c r="S21" s="246"/>
      <c r="T21" s="245"/>
      <c r="U21" s="247"/>
      <c r="V21" s="247"/>
      <c r="W21" s="248">
        <f t="shared" si="0"/>
        <v>0</v>
      </c>
      <c r="X21" s="245" t="s">
        <v>1169</v>
      </c>
      <c r="Y21" s="249"/>
      <c r="Z21" s="245"/>
      <c r="AA21" s="245"/>
      <c r="AB21" s="249"/>
      <c r="AC21" s="249"/>
      <c r="AD21" s="249"/>
      <c r="AE21" s="249"/>
      <c r="AF21" s="249"/>
      <c r="AG21" s="245"/>
      <c r="AH21" s="249"/>
      <c r="AI21" s="249"/>
      <c r="AJ21" s="249"/>
      <c r="AK21" s="245"/>
      <c r="AL21" s="245"/>
      <c r="AM21" s="245"/>
      <c r="AN21" s="251"/>
      <c r="AO21" s="251"/>
      <c r="AP21" s="249"/>
      <c r="AQ21" s="251"/>
      <c r="AR21" s="249"/>
    </row>
    <row r="22" spans="1:44" ht="67.5" customHeight="1">
      <c r="A22" s="252"/>
      <c r="B22" s="552"/>
      <c r="C22" s="553"/>
      <c r="D22" s="547"/>
      <c r="E22" s="555"/>
      <c r="F22" s="37" t="s">
        <v>158</v>
      </c>
      <c r="G22" s="38" t="s">
        <v>159</v>
      </c>
      <c r="H22" s="39" t="s">
        <v>104</v>
      </c>
      <c r="I22" s="39" t="s">
        <v>114</v>
      </c>
      <c r="J22" s="40" t="str">
        <f>G22</f>
        <v>Gestionar i planificar els recursos hídrics de l'ENP</v>
      </c>
      <c r="K22" s="292"/>
      <c r="L22" s="42" t="s">
        <v>1088</v>
      </c>
      <c r="M22" s="242" t="s">
        <v>1102</v>
      </c>
      <c r="N22" s="243" t="s">
        <v>1170</v>
      </c>
      <c r="O22" s="244"/>
      <c r="P22" s="45"/>
      <c r="Q22" s="245" t="s">
        <v>1171</v>
      </c>
      <c r="R22" s="246" t="s">
        <v>669</v>
      </c>
      <c r="S22" s="246" t="s">
        <v>669</v>
      </c>
      <c r="T22" s="245" t="s">
        <v>1172</v>
      </c>
      <c r="U22" s="247">
        <v>70</v>
      </c>
      <c r="V22" s="247">
        <v>100</v>
      </c>
      <c r="W22" s="248">
        <f t="shared" si="0"/>
        <v>1090</v>
      </c>
      <c r="X22" s="245" t="s">
        <v>1169</v>
      </c>
      <c r="Y22" s="249" t="s">
        <v>1173</v>
      </c>
      <c r="Z22" s="245" t="s">
        <v>1109</v>
      </c>
      <c r="AA22" s="245"/>
      <c r="AB22" s="249"/>
      <c r="AC22" s="249" t="s">
        <v>1174</v>
      </c>
      <c r="AD22" s="249">
        <v>70</v>
      </c>
      <c r="AE22" s="249"/>
      <c r="AF22" s="249"/>
      <c r="AG22" s="245" t="s">
        <v>1175</v>
      </c>
      <c r="AH22" s="249">
        <v>960</v>
      </c>
      <c r="AI22" s="249">
        <v>50</v>
      </c>
      <c r="AJ22" s="249">
        <v>50</v>
      </c>
      <c r="AK22" s="245"/>
      <c r="AL22" s="245"/>
      <c r="AM22" s="245" t="s">
        <v>1176</v>
      </c>
      <c r="AN22" s="251">
        <v>10</v>
      </c>
      <c r="AO22" s="251"/>
      <c r="AP22" s="249"/>
      <c r="AQ22" s="251"/>
      <c r="AR22" s="249"/>
    </row>
    <row r="23" spans="1:44" ht="107.5" customHeight="1">
      <c r="A23" s="252"/>
      <c r="B23" s="552"/>
      <c r="C23" s="553"/>
      <c r="D23" s="547"/>
      <c r="E23" s="555"/>
      <c r="F23" s="37" t="s">
        <v>160</v>
      </c>
      <c r="G23" s="38" t="s">
        <v>161</v>
      </c>
      <c r="H23" s="39" t="s">
        <v>126</v>
      </c>
      <c r="I23" s="39" t="s">
        <v>127</v>
      </c>
      <c r="J23" s="40" t="str">
        <f t="shared" si="1"/>
        <v>Participar en la redacció i execució dels instruments d'ordenació forestal sostenible i per la conservació en finques públiques</v>
      </c>
      <c r="K23" s="51"/>
      <c r="L23" s="42" t="s">
        <v>1088</v>
      </c>
      <c r="M23" s="242" t="s">
        <v>1102</v>
      </c>
      <c r="N23" s="243" t="s">
        <v>1177</v>
      </c>
      <c r="O23" s="244"/>
      <c r="P23" s="45" t="s">
        <v>162</v>
      </c>
      <c r="Q23" s="245" t="s">
        <v>1178</v>
      </c>
      <c r="R23" s="293">
        <v>0.5</v>
      </c>
      <c r="S23" s="293">
        <v>1</v>
      </c>
      <c r="T23" s="74" t="s">
        <v>1179</v>
      </c>
      <c r="U23" s="247" t="s">
        <v>1180</v>
      </c>
      <c r="V23" s="294" t="s">
        <v>1181</v>
      </c>
      <c r="W23" s="248">
        <f t="shared" si="0"/>
        <v>240</v>
      </c>
      <c r="X23" s="245" t="s">
        <v>1159</v>
      </c>
      <c r="Y23" s="249" t="s">
        <v>1108</v>
      </c>
      <c r="Z23" s="245" t="s">
        <v>1109</v>
      </c>
      <c r="AA23" s="245"/>
      <c r="AB23" s="249"/>
      <c r="AC23" s="245" t="s">
        <v>1182</v>
      </c>
      <c r="AD23" s="249">
        <v>200</v>
      </c>
      <c r="AE23" s="249"/>
      <c r="AF23" s="249"/>
      <c r="AG23" s="245"/>
      <c r="AH23" s="249"/>
      <c r="AI23" s="249"/>
      <c r="AJ23" s="249"/>
      <c r="AK23" s="245"/>
      <c r="AL23" s="245"/>
      <c r="AM23" s="245" t="s">
        <v>1183</v>
      </c>
      <c r="AN23" s="251">
        <v>40</v>
      </c>
      <c r="AO23" s="251"/>
      <c r="AP23" s="249"/>
      <c r="AQ23" s="251"/>
      <c r="AR23" s="249"/>
    </row>
    <row r="24" spans="1:44" ht="72.5" hidden="1">
      <c r="A24" s="252"/>
      <c r="B24" s="552"/>
      <c r="C24" s="553"/>
      <c r="D24" s="547"/>
      <c r="E24" s="555"/>
      <c r="F24" s="37" t="s">
        <v>163</v>
      </c>
      <c r="G24" s="38" t="s">
        <v>164</v>
      </c>
      <c r="H24" s="39" t="s">
        <v>126</v>
      </c>
      <c r="I24" s="39" t="s">
        <v>165</v>
      </c>
      <c r="J24" s="40" t="s">
        <v>1130</v>
      </c>
      <c r="K24" s="51" t="s">
        <v>1162</v>
      </c>
      <c r="L24" s="42"/>
      <c r="M24" s="268"/>
      <c r="N24" s="269"/>
      <c r="O24" s="244"/>
      <c r="P24" s="45"/>
      <c r="Q24" s="245"/>
      <c r="R24" s="246"/>
      <c r="S24" s="246"/>
      <c r="T24" s="245"/>
      <c r="U24" s="247"/>
      <c r="V24" s="247"/>
      <c r="W24" s="248">
        <f t="shared" si="0"/>
        <v>0</v>
      </c>
      <c r="X24" s="245" t="s">
        <v>1159</v>
      </c>
      <c r="Y24" s="249"/>
      <c r="Z24" s="245"/>
      <c r="AA24" s="245"/>
      <c r="AB24" s="249"/>
      <c r="AC24" s="249"/>
      <c r="AD24" s="249"/>
      <c r="AE24" s="249"/>
      <c r="AF24" s="249"/>
      <c r="AG24" s="245"/>
      <c r="AH24" s="249"/>
      <c r="AI24" s="249"/>
      <c r="AJ24" s="249"/>
      <c r="AK24" s="245"/>
      <c r="AL24" s="245"/>
      <c r="AM24" s="245"/>
      <c r="AN24" s="251"/>
      <c r="AO24" s="251"/>
      <c r="AP24" s="249"/>
      <c r="AQ24" s="251"/>
      <c r="AR24" s="249"/>
    </row>
    <row r="25" spans="1:44" ht="47.25" customHeight="1">
      <c r="A25" s="252"/>
      <c r="B25" s="552"/>
      <c r="C25" s="553"/>
      <c r="D25" s="548" t="s">
        <v>166</v>
      </c>
      <c r="E25" s="524" t="s">
        <v>167</v>
      </c>
      <c r="F25" s="37" t="s">
        <v>168</v>
      </c>
      <c r="G25" s="38" t="s">
        <v>169</v>
      </c>
      <c r="H25" s="39" t="s">
        <v>104</v>
      </c>
      <c r="I25" s="39" t="s">
        <v>105</v>
      </c>
      <c r="J25" s="40" t="s">
        <v>1184</v>
      </c>
      <c r="K25" s="51" t="s">
        <v>1185</v>
      </c>
      <c r="L25" s="42" t="s">
        <v>1088</v>
      </c>
      <c r="M25" s="242" t="s">
        <v>1102</v>
      </c>
      <c r="N25" s="243" t="s">
        <v>1186</v>
      </c>
      <c r="O25" s="244" t="s">
        <v>115</v>
      </c>
      <c r="P25" s="45" t="s">
        <v>170</v>
      </c>
      <c r="Q25" s="74" t="s">
        <v>1187</v>
      </c>
      <c r="R25" s="295">
        <v>0.7</v>
      </c>
      <c r="S25" s="295">
        <v>1</v>
      </c>
      <c r="T25" s="245"/>
      <c r="U25" s="247"/>
      <c r="V25" s="247"/>
      <c r="W25" s="248">
        <f t="shared" si="0"/>
        <v>170</v>
      </c>
      <c r="X25" s="245" t="s">
        <v>1159</v>
      </c>
      <c r="Y25" s="249" t="s">
        <v>1188</v>
      </c>
      <c r="Z25" s="245" t="s">
        <v>1109</v>
      </c>
      <c r="AA25" s="245"/>
      <c r="AB25" s="249"/>
      <c r="AC25" s="249" t="s">
        <v>1189</v>
      </c>
      <c r="AD25" s="249">
        <v>90</v>
      </c>
      <c r="AE25" s="249"/>
      <c r="AF25" s="249"/>
      <c r="AG25" s="245"/>
      <c r="AH25" s="249"/>
      <c r="AI25" s="249"/>
      <c r="AJ25" s="249"/>
      <c r="AK25" s="245"/>
      <c r="AL25" s="245"/>
      <c r="AM25" s="245" t="s">
        <v>1190</v>
      </c>
      <c r="AN25" s="251">
        <v>80</v>
      </c>
      <c r="AO25" s="251"/>
      <c r="AP25" s="249"/>
      <c r="AQ25" s="251"/>
      <c r="AR25" s="249"/>
    </row>
    <row r="26" spans="1:44" ht="72.5" hidden="1">
      <c r="A26" s="252"/>
      <c r="B26" s="552"/>
      <c r="C26" s="553"/>
      <c r="D26" s="548"/>
      <c r="E26" s="524"/>
      <c r="F26" s="37" t="s">
        <v>171</v>
      </c>
      <c r="G26" s="38" t="s">
        <v>172</v>
      </c>
      <c r="H26" s="39" t="s">
        <v>126</v>
      </c>
      <c r="I26" s="39" t="s">
        <v>127</v>
      </c>
      <c r="J26" s="40" t="s">
        <v>1130</v>
      </c>
      <c r="K26" s="51" t="s">
        <v>1162</v>
      </c>
      <c r="L26" s="42"/>
      <c r="M26" s="268"/>
      <c r="N26" s="287"/>
      <c r="O26" s="244"/>
      <c r="P26" s="45" t="s">
        <v>173</v>
      </c>
      <c r="Q26" s="245"/>
      <c r="R26" s="246"/>
      <c r="S26" s="246"/>
      <c r="T26" s="245"/>
      <c r="U26" s="247"/>
      <c r="V26" s="247"/>
      <c r="W26" s="248">
        <f t="shared" si="0"/>
        <v>0</v>
      </c>
      <c r="X26" s="245" t="s">
        <v>1159</v>
      </c>
      <c r="Y26" s="249"/>
      <c r="Z26" s="245"/>
      <c r="AA26" s="245"/>
      <c r="AB26" s="249"/>
      <c r="AC26" s="249"/>
      <c r="AD26" s="249"/>
      <c r="AE26" s="249"/>
      <c r="AF26" s="249"/>
      <c r="AG26" s="245"/>
      <c r="AH26" s="249"/>
      <c r="AI26" s="249"/>
      <c r="AJ26" s="249"/>
      <c r="AK26" s="245"/>
      <c r="AL26" s="245"/>
      <c r="AM26" s="245"/>
      <c r="AN26" s="251"/>
      <c r="AO26" s="251"/>
      <c r="AP26" s="249"/>
      <c r="AQ26" s="251"/>
      <c r="AR26" s="249"/>
    </row>
    <row r="27" spans="1:44" ht="108.75" customHeight="1">
      <c r="A27" s="252"/>
      <c r="B27" s="552"/>
      <c r="C27" s="553"/>
      <c r="D27" s="548"/>
      <c r="E27" s="524"/>
      <c r="F27" s="37" t="s">
        <v>174</v>
      </c>
      <c r="G27" s="38" t="s">
        <v>175</v>
      </c>
      <c r="H27" s="39" t="s">
        <v>104</v>
      </c>
      <c r="I27" s="39" t="s">
        <v>105</v>
      </c>
      <c r="J27" s="40" t="str">
        <f t="shared" si="1"/>
        <v>Treballar per a la prevenció d'incendis juntament amb els propietaris, ajuntaments, protecció civil, ADF i bombers.</v>
      </c>
      <c r="K27" s="51"/>
      <c r="L27" s="42" t="s">
        <v>1088</v>
      </c>
      <c r="M27" s="242" t="s">
        <v>1136</v>
      </c>
      <c r="N27" s="243" t="s">
        <v>1191</v>
      </c>
      <c r="O27" s="244"/>
      <c r="P27" s="45"/>
      <c r="Q27" s="74" t="s">
        <v>1192</v>
      </c>
      <c r="R27" s="280">
        <v>4</v>
      </c>
      <c r="S27" s="280">
        <v>8</v>
      </c>
      <c r="T27" s="74" t="s">
        <v>1193</v>
      </c>
      <c r="U27" s="247" t="s">
        <v>1194</v>
      </c>
      <c r="V27" s="247" t="s">
        <v>1195</v>
      </c>
      <c r="W27" s="248">
        <f t="shared" si="0"/>
        <v>5580</v>
      </c>
      <c r="X27" s="245" t="s">
        <v>1159</v>
      </c>
      <c r="Y27" s="249" t="s">
        <v>1108</v>
      </c>
      <c r="Z27" s="245" t="s">
        <v>1127</v>
      </c>
      <c r="AA27" s="245"/>
      <c r="AB27" s="249"/>
      <c r="AC27" s="42" t="s">
        <v>1196</v>
      </c>
      <c r="AD27" s="249">
        <v>200</v>
      </c>
      <c r="AE27" s="249"/>
      <c r="AF27" s="249"/>
      <c r="AG27" s="245" t="s">
        <v>1197</v>
      </c>
      <c r="AH27" s="249">
        <v>5280</v>
      </c>
      <c r="AI27" s="249"/>
      <c r="AJ27" s="249"/>
      <c r="AK27" s="245"/>
      <c r="AL27" s="245"/>
      <c r="AM27" s="245" t="s">
        <v>1198</v>
      </c>
      <c r="AN27" s="251">
        <v>100</v>
      </c>
      <c r="AO27" s="251"/>
      <c r="AP27" s="249"/>
      <c r="AQ27" s="251"/>
      <c r="AR27" s="249"/>
    </row>
    <row r="28" spans="1:44" ht="116">
      <c r="A28" s="252"/>
      <c r="B28" s="552">
        <v>3</v>
      </c>
      <c r="C28" s="553" t="s">
        <v>176</v>
      </c>
      <c r="D28" s="548" t="s">
        <v>177</v>
      </c>
      <c r="E28" s="554" t="s">
        <v>178</v>
      </c>
      <c r="F28" s="37" t="s">
        <v>179</v>
      </c>
      <c r="G28" s="38" t="s">
        <v>1199</v>
      </c>
      <c r="H28" s="39" t="s">
        <v>104</v>
      </c>
      <c r="I28" s="39" t="s">
        <v>114</v>
      </c>
      <c r="J28" s="257" t="s">
        <v>1200</v>
      </c>
      <c r="K28" s="296" t="s">
        <v>1201</v>
      </c>
      <c r="L28" s="46" t="s">
        <v>1088</v>
      </c>
      <c r="M28" s="242" t="s">
        <v>1102</v>
      </c>
      <c r="N28" s="243" t="s">
        <v>1202</v>
      </c>
      <c r="O28" s="244" t="s">
        <v>1203</v>
      </c>
      <c r="P28" s="45"/>
      <c r="Q28" s="245" t="s">
        <v>1204</v>
      </c>
      <c r="R28" s="293">
        <v>1</v>
      </c>
      <c r="S28" s="293">
        <v>1</v>
      </c>
      <c r="T28" s="74"/>
      <c r="U28" s="247"/>
      <c r="V28" s="247"/>
      <c r="W28" s="248">
        <f t="shared" si="0"/>
        <v>740</v>
      </c>
      <c r="X28" s="245" t="s">
        <v>1205</v>
      </c>
      <c r="Y28" s="249" t="s">
        <v>1108</v>
      </c>
      <c r="Z28" s="245" t="s">
        <v>1109</v>
      </c>
      <c r="AA28" s="245"/>
      <c r="AB28" s="249"/>
      <c r="AC28" s="73" t="s">
        <v>1206</v>
      </c>
      <c r="AD28" s="73">
        <v>600</v>
      </c>
      <c r="AE28" s="249">
        <v>40</v>
      </c>
      <c r="AF28" s="249">
        <v>40</v>
      </c>
      <c r="AG28" s="245"/>
      <c r="AH28" s="249"/>
      <c r="AI28" s="249"/>
      <c r="AJ28" s="249"/>
      <c r="AK28" s="245"/>
      <c r="AL28" s="245"/>
      <c r="AM28" s="245" t="s">
        <v>1207</v>
      </c>
      <c r="AN28" s="251">
        <v>100</v>
      </c>
      <c r="AO28" s="251"/>
      <c r="AP28" s="249"/>
      <c r="AQ28" s="251"/>
      <c r="AR28" s="249"/>
    </row>
    <row r="29" spans="1:44" ht="145">
      <c r="A29" s="252"/>
      <c r="B29" s="552"/>
      <c r="C29" s="553"/>
      <c r="D29" s="548"/>
      <c r="E29" s="554"/>
      <c r="F29" s="37" t="s">
        <v>181</v>
      </c>
      <c r="G29" s="38" t="s">
        <v>182</v>
      </c>
      <c r="H29" s="39" t="s">
        <v>104</v>
      </c>
      <c r="I29" s="39" t="s">
        <v>114</v>
      </c>
      <c r="J29" s="257" t="s">
        <v>1208</v>
      </c>
      <c r="K29" s="296" t="s">
        <v>1209</v>
      </c>
      <c r="L29" s="42" t="s">
        <v>1088</v>
      </c>
      <c r="M29" s="242" t="s">
        <v>1136</v>
      </c>
      <c r="N29" s="287" t="s">
        <v>1210</v>
      </c>
      <c r="O29" s="244"/>
      <c r="P29" s="45"/>
      <c r="Q29" s="245" t="s">
        <v>1211</v>
      </c>
      <c r="R29" s="293">
        <v>0.5</v>
      </c>
      <c r="S29" s="293">
        <v>1</v>
      </c>
      <c r="T29" s="74" t="s">
        <v>1212</v>
      </c>
      <c r="U29" s="247" t="s">
        <v>1213</v>
      </c>
      <c r="V29" s="247" t="s">
        <v>1214</v>
      </c>
      <c r="W29" s="248">
        <f t="shared" si="0"/>
        <v>415</v>
      </c>
      <c r="X29" s="245" t="s">
        <v>1159</v>
      </c>
      <c r="Y29" s="249" t="s">
        <v>1119</v>
      </c>
      <c r="Z29" s="245"/>
      <c r="AA29" s="245"/>
      <c r="AB29" s="249"/>
      <c r="AC29" s="42" t="s">
        <v>1215</v>
      </c>
      <c r="AD29" s="249">
        <v>185</v>
      </c>
      <c r="AE29" s="249"/>
      <c r="AF29" s="249"/>
      <c r="AG29" s="245"/>
      <c r="AH29" s="249"/>
      <c r="AI29" s="249">
        <v>150</v>
      </c>
      <c r="AJ29" s="249">
        <v>150</v>
      </c>
      <c r="AK29" s="245"/>
      <c r="AL29" s="245"/>
      <c r="AM29" s="245" t="s">
        <v>1190</v>
      </c>
      <c r="AN29" s="251">
        <v>80</v>
      </c>
      <c r="AO29" s="251"/>
      <c r="AP29" s="249"/>
      <c r="AQ29" s="251"/>
      <c r="AR29" s="249"/>
    </row>
    <row r="30" spans="1:44" ht="72.5" hidden="1">
      <c r="A30" s="252"/>
      <c r="B30" s="552"/>
      <c r="C30" s="553"/>
      <c r="D30" s="548"/>
      <c r="E30" s="554"/>
      <c r="F30" s="37" t="s">
        <v>183</v>
      </c>
      <c r="G30" s="38" t="s">
        <v>184</v>
      </c>
      <c r="H30" s="39" t="s">
        <v>104</v>
      </c>
      <c r="I30" s="39" t="s">
        <v>127</v>
      </c>
      <c r="J30" s="40" t="s">
        <v>1130</v>
      </c>
      <c r="K30" s="51" t="s">
        <v>1216</v>
      </c>
      <c r="L30" s="267" t="s">
        <v>674</v>
      </c>
      <c r="M30" s="268"/>
      <c r="N30" s="287"/>
      <c r="O30" s="244"/>
      <c r="P30" s="45"/>
      <c r="Q30" s="245"/>
      <c r="R30" s="246"/>
      <c r="S30" s="246"/>
      <c r="T30" s="245"/>
      <c r="U30" s="247"/>
      <c r="V30" s="247"/>
      <c r="W30" s="248">
        <f t="shared" si="0"/>
        <v>0</v>
      </c>
      <c r="X30" s="245" t="s">
        <v>1169</v>
      </c>
      <c r="Y30" s="249"/>
      <c r="Z30" s="245"/>
      <c r="AA30" s="245"/>
      <c r="AB30" s="249"/>
      <c r="AC30" s="249"/>
      <c r="AD30" s="249"/>
      <c r="AE30" s="249"/>
      <c r="AF30" s="249"/>
      <c r="AG30" s="245"/>
      <c r="AH30" s="249"/>
      <c r="AI30" s="249"/>
      <c r="AJ30" s="249"/>
      <c r="AK30" s="245"/>
      <c r="AL30" s="245"/>
      <c r="AM30" s="245"/>
      <c r="AN30" s="251"/>
      <c r="AO30" s="251"/>
      <c r="AP30" s="249"/>
      <c r="AQ30" s="251"/>
      <c r="AR30" s="249"/>
    </row>
    <row r="31" spans="1:44" ht="58" hidden="1">
      <c r="A31" s="252"/>
      <c r="B31" s="552"/>
      <c r="C31" s="553"/>
      <c r="D31" s="49" t="s">
        <v>185</v>
      </c>
      <c r="E31" s="50" t="s">
        <v>186</v>
      </c>
      <c r="F31" s="37" t="s">
        <v>187</v>
      </c>
      <c r="G31" s="38" t="s">
        <v>188</v>
      </c>
      <c r="H31" s="39" t="s">
        <v>104</v>
      </c>
      <c r="I31" s="37" t="s">
        <v>114</v>
      </c>
      <c r="J31" s="40" t="str">
        <f>G31</f>
        <v>Participar en l'elaboració dels instruments de planificació de l'ENP</v>
      </c>
      <c r="K31" s="51" t="s">
        <v>1217</v>
      </c>
      <c r="L31" s="42" t="s">
        <v>674</v>
      </c>
      <c r="M31" s="268"/>
      <c r="N31" s="297"/>
      <c r="O31" s="244"/>
      <c r="P31" s="45" t="s">
        <v>189</v>
      </c>
      <c r="Q31" s="245"/>
      <c r="R31" s="246"/>
      <c r="S31" s="246"/>
      <c r="T31" s="245"/>
      <c r="U31" s="247"/>
      <c r="V31" s="247"/>
      <c r="W31" s="248">
        <f t="shared" si="0"/>
        <v>0</v>
      </c>
      <c r="X31" s="245" t="s">
        <v>1159</v>
      </c>
      <c r="Y31" s="249" t="s">
        <v>1108</v>
      </c>
      <c r="Z31" s="245"/>
      <c r="AA31" s="245"/>
      <c r="AB31" s="249"/>
      <c r="AC31" s="249"/>
      <c r="AD31" s="249"/>
      <c r="AE31" s="249"/>
      <c r="AF31" s="249"/>
      <c r="AG31" s="245"/>
      <c r="AH31" s="249"/>
      <c r="AI31" s="249"/>
      <c r="AJ31" s="249"/>
      <c r="AK31" s="245"/>
      <c r="AL31" s="245"/>
      <c r="AM31" s="245"/>
      <c r="AN31" s="251"/>
      <c r="AO31" s="251"/>
      <c r="AP31" s="249"/>
      <c r="AQ31" s="251"/>
      <c r="AR31" s="249"/>
    </row>
    <row r="32" spans="1:44" ht="47.5" customHeight="1">
      <c r="A32" s="252"/>
      <c r="B32" s="552"/>
      <c r="C32" s="553"/>
      <c r="D32" s="548" t="s">
        <v>190</v>
      </c>
      <c r="E32" s="524" t="s">
        <v>191</v>
      </c>
      <c r="F32" s="37" t="s">
        <v>192</v>
      </c>
      <c r="G32" s="38" t="s">
        <v>193</v>
      </c>
      <c r="H32" s="39" t="s">
        <v>126</v>
      </c>
      <c r="I32" s="39" t="s">
        <v>165</v>
      </c>
      <c r="J32" s="40" t="str">
        <f t="shared" si="1"/>
        <v>Vetllar pel manteniment del cabal ecològic dels rius definit al Pla sectorial corresponent</v>
      </c>
      <c r="K32" s="51"/>
      <c r="L32" s="42" t="s">
        <v>1088</v>
      </c>
      <c r="M32" s="242" t="s">
        <v>1102</v>
      </c>
      <c r="N32" s="243" t="s">
        <v>1218</v>
      </c>
      <c r="O32" s="244" t="s">
        <v>115</v>
      </c>
      <c r="P32" s="45" t="s">
        <v>194</v>
      </c>
      <c r="Q32" s="74" t="s">
        <v>1219</v>
      </c>
      <c r="R32" s="280" t="s">
        <v>669</v>
      </c>
      <c r="S32" s="280" t="s">
        <v>669</v>
      </c>
      <c r="T32" s="298"/>
      <c r="U32" s="74"/>
      <c r="V32" s="74"/>
      <c r="W32" s="248">
        <f t="shared" si="0"/>
        <v>65</v>
      </c>
      <c r="X32" s="245" t="s">
        <v>1095</v>
      </c>
      <c r="Y32" s="249" t="s">
        <v>1096</v>
      </c>
      <c r="Z32" s="245" t="s">
        <v>1109</v>
      </c>
      <c r="AA32" s="245"/>
      <c r="AB32" s="249"/>
      <c r="AC32" s="249"/>
      <c r="AD32" s="249"/>
      <c r="AE32" s="249"/>
      <c r="AF32" s="249"/>
      <c r="AG32" s="245"/>
      <c r="AH32" s="249"/>
      <c r="AI32" s="249">
        <v>60</v>
      </c>
      <c r="AJ32" s="249">
        <v>60</v>
      </c>
      <c r="AK32" s="245"/>
      <c r="AL32" s="245"/>
      <c r="AM32" s="245" t="s">
        <v>1220</v>
      </c>
      <c r="AN32" s="251">
        <v>5</v>
      </c>
      <c r="AO32" s="251"/>
      <c r="AP32" s="249"/>
      <c r="AQ32" s="251"/>
      <c r="AR32" s="249"/>
    </row>
    <row r="33" spans="1:44" ht="81" hidden="1" customHeight="1">
      <c r="A33" s="252"/>
      <c r="B33" s="552"/>
      <c r="C33" s="553"/>
      <c r="D33" s="548"/>
      <c r="E33" s="524"/>
      <c r="F33" s="37" t="s">
        <v>195</v>
      </c>
      <c r="G33" s="38" t="s">
        <v>196</v>
      </c>
      <c r="H33" s="39" t="s">
        <v>126</v>
      </c>
      <c r="I33" s="39" t="s">
        <v>127</v>
      </c>
      <c r="J33" s="40" t="s">
        <v>1130</v>
      </c>
      <c r="K33" s="1" t="s">
        <v>1221</v>
      </c>
      <c r="L33" s="42" t="s">
        <v>674</v>
      </c>
      <c r="M33" s="268"/>
      <c r="N33" s="287"/>
      <c r="O33" s="244"/>
      <c r="P33" s="45"/>
      <c r="Q33" s="74"/>
      <c r="R33" s="280"/>
      <c r="S33" s="280"/>
      <c r="T33" s="245"/>
      <c r="U33" s="247"/>
      <c r="V33" s="247"/>
      <c r="W33" s="248">
        <f t="shared" si="0"/>
        <v>0</v>
      </c>
      <c r="X33" s="245"/>
      <c r="Y33" s="249"/>
      <c r="Z33" s="245"/>
      <c r="AA33" s="245"/>
      <c r="AB33" s="249"/>
      <c r="AC33" s="249"/>
      <c r="AD33" s="249"/>
      <c r="AE33" s="249"/>
      <c r="AF33" s="249"/>
      <c r="AG33" s="245"/>
      <c r="AH33" s="249"/>
      <c r="AI33" s="249"/>
      <c r="AJ33" s="249"/>
      <c r="AK33" s="245"/>
      <c r="AL33" s="245"/>
      <c r="AM33" s="245"/>
      <c r="AN33" s="251"/>
      <c r="AO33" s="251"/>
      <c r="AP33" s="249"/>
      <c r="AQ33" s="251"/>
      <c r="AR33" s="249"/>
    </row>
    <row r="34" spans="1:44" ht="101.5">
      <c r="A34" s="252"/>
      <c r="B34" s="552"/>
      <c r="C34" s="553"/>
      <c r="D34" s="548"/>
      <c r="E34" s="524"/>
      <c r="F34" s="37" t="s">
        <v>197</v>
      </c>
      <c r="G34" s="38" t="s">
        <v>198</v>
      </c>
      <c r="H34" s="39" t="s">
        <v>126</v>
      </c>
      <c r="I34" s="39" t="s">
        <v>127</v>
      </c>
      <c r="J34" s="40" t="str">
        <f t="shared" si="1"/>
        <v>Avaluar i controlar les actuacions que produeixin drenatges, captacions o que puguin impedir l’arribada d’aigua tant superficial com freàtica</v>
      </c>
      <c r="K34" s="51"/>
      <c r="L34" s="42" t="s">
        <v>1088</v>
      </c>
      <c r="M34" s="242" t="s">
        <v>1102</v>
      </c>
      <c r="N34" s="287" t="s">
        <v>1222</v>
      </c>
      <c r="O34" s="244"/>
      <c r="P34" s="45"/>
      <c r="Q34" s="74" t="s">
        <v>1223</v>
      </c>
      <c r="R34" s="280" t="s">
        <v>669</v>
      </c>
      <c r="S34" s="280" t="s">
        <v>669</v>
      </c>
      <c r="T34" s="245" t="s">
        <v>1224</v>
      </c>
      <c r="U34" s="247" t="s">
        <v>1225</v>
      </c>
      <c r="V34" s="247" t="s">
        <v>1226</v>
      </c>
      <c r="W34" s="248">
        <f t="shared" si="0"/>
        <v>130</v>
      </c>
      <c r="X34" s="245" t="s">
        <v>1159</v>
      </c>
      <c r="Y34" s="249" t="s">
        <v>1096</v>
      </c>
      <c r="Z34" s="245" t="s">
        <v>1109</v>
      </c>
      <c r="AA34" s="245"/>
      <c r="AB34" s="249"/>
      <c r="AC34" s="249"/>
      <c r="AD34" s="249"/>
      <c r="AE34" s="249"/>
      <c r="AF34" s="249"/>
      <c r="AG34" s="245"/>
      <c r="AH34" s="249"/>
      <c r="AI34" s="249">
        <v>100</v>
      </c>
      <c r="AJ34" s="249">
        <v>100</v>
      </c>
      <c r="AK34" s="245"/>
      <c r="AL34" s="245"/>
      <c r="AM34" s="245" t="s">
        <v>1227</v>
      </c>
      <c r="AN34" s="251">
        <v>30</v>
      </c>
      <c r="AO34" s="251"/>
      <c r="AP34" s="249"/>
      <c r="AQ34" s="251"/>
      <c r="AR34" s="249"/>
    </row>
    <row r="35" spans="1:44" ht="130.5" hidden="1">
      <c r="A35" s="252"/>
      <c r="B35" s="552"/>
      <c r="C35" s="553"/>
      <c r="D35" s="547"/>
      <c r="E35" s="546"/>
      <c r="F35" s="37" t="s">
        <v>199</v>
      </c>
      <c r="G35" s="38" t="s">
        <v>200</v>
      </c>
      <c r="H35" s="39" t="s">
        <v>126</v>
      </c>
      <c r="I35" s="39" t="s">
        <v>127</v>
      </c>
      <c r="J35" s="40" t="s">
        <v>1130</v>
      </c>
      <c r="K35" s="51" t="s">
        <v>1228</v>
      </c>
      <c r="L35" s="42" t="s">
        <v>674</v>
      </c>
      <c r="M35" s="268"/>
      <c r="N35" s="287"/>
      <c r="O35" s="244"/>
      <c r="P35" s="45"/>
      <c r="Q35" s="245"/>
      <c r="R35" s="246"/>
      <c r="S35" s="246"/>
      <c r="T35" s="245"/>
      <c r="U35" s="247"/>
      <c r="V35" s="247"/>
      <c r="W35" s="248">
        <f t="shared" si="0"/>
        <v>0</v>
      </c>
      <c r="X35" s="245"/>
      <c r="Y35" s="249"/>
      <c r="Z35" s="245"/>
      <c r="AA35" s="245"/>
      <c r="AB35" s="249"/>
      <c r="AC35" s="249"/>
      <c r="AD35" s="249"/>
      <c r="AE35" s="249"/>
      <c r="AF35" s="249"/>
      <c r="AG35" s="245"/>
      <c r="AH35" s="249"/>
      <c r="AI35" s="249"/>
      <c r="AJ35" s="249"/>
      <c r="AK35" s="245"/>
      <c r="AL35" s="245"/>
      <c r="AM35" s="245"/>
      <c r="AN35" s="251"/>
      <c r="AO35" s="251"/>
      <c r="AP35" s="249"/>
      <c r="AQ35" s="251"/>
      <c r="AR35" s="249"/>
    </row>
    <row r="36" spans="1:44" s="16" customFormat="1" ht="61.5" hidden="1" customHeight="1">
      <c r="A36" s="299"/>
      <c r="B36" s="552"/>
      <c r="C36" s="553"/>
      <c r="D36" s="282"/>
      <c r="E36" s="283"/>
      <c r="F36" s="37" t="s">
        <v>1229</v>
      </c>
      <c r="G36" s="38" t="s">
        <v>1230</v>
      </c>
      <c r="H36" s="300" t="s">
        <v>104</v>
      </c>
      <c r="I36" s="300" t="s">
        <v>165</v>
      </c>
      <c r="J36" s="40" t="s">
        <v>1130</v>
      </c>
      <c r="K36" s="51" t="s">
        <v>1231</v>
      </c>
      <c r="L36" s="42"/>
      <c r="M36" s="284"/>
      <c r="N36" s="287"/>
      <c r="O36" s="256"/>
      <c r="P36" s="38"/>
      <c r="Q36" s="42"/>
      <c r="R36" s="285"/>
      <c r="S36" s="285"/>
      <c r="T36" s="42"/>
      <c r="U36" s="59"/>
      <c r="V36" s="59"/>
      <c r="W36" s="248">
        <f t="shared" si="0"/>
        <v>0</v>
      </c>
      <c r="X36" s="42"/>
      <c r="Y36" s="46"/>
      <c r="Z36" s="42" t="s">
        <v>1108</v>
      </c>
      <c r="AA36" s="42"/>
      <c r="AB36" s="46"/>
      <c r="AC36" s="46"/>
      <c r="AD36" s="46"/>
      <c r="AE36" s="46"/>
      <c r="AF36" s="46"/>
      <c r="AG36" s="42"/>
      <c r="AH36" s="46"/>
      <c r="AI36" s="46"/>
      <c r="AJ36" s="46"/>
      <c r="AK36" s="42"/>
      <c r="AL36" s="42"/>
      <c r="AM36" s="42"/>
      <c r="AN36" s="286"/>
      <c r="AO36" s="286"/>
      <c r="AP36" s="46"/>
      <c r="AQ36" s="286"/>
      <c r="AR36" s="46"/>
    </row>
    <row r="37" spans="1:44" ht="29" hidden="1">
      <c r="A37" s="252"/>
      <c r="B37" s="552"/>
      <c r="C37" s="553"/>
      <c r="D37" s="548" t="s">
        <v>201</v>
      </c>
      <c r="E37" s="524" t="s">
        <v>202</v>
      </c>
      <c r="F37" s="37" t="s">
        <v>203</v>
      </c>
      <c r="G37" s="38" t="s">
        <v>204</v>
      </c>
      <c r="H37" s="39" t="s">
        <v>104</v>
      </c>
      <c r="I37" s="39" t="s">
        <v>127</v>
      </c>
      <c r="J37" s="40" t="s">
        <v>1130</v>
      </c>
      <c r="K37" s="51" t="s">
        <v>1231</v>
      </c>
      <c r="L37" s="42"/>
      <c r="M37" s="268"/>
      <c r="N37" s="287"/>
      <c r="O37" s="244"/>
      <c r="P37" s="45" t="s">
        <v>205</v>
      </c>
      <c r="Q37" s="245"/>
      <c r="R37" s="246"/>
      <c r="S37" s="246"/>
      <c r="T37" s="245"/>
      <c r="U37" s="247"/>
      <c r="V37" s="247"/>
      <c r="W37" s="248">
        <f t="shared" si="0"/>
        <v>0</v>
      </c>
      <c r="X37" s="245"/>
      <c r="Y37" s="249"/>
      <c r="Z37" s="245"/>
      <c r="AA37" s="245"/>
      <c r="AB37" s="249"/>
      <c r="AC37" s="249"/>
      <c r="AD37" s="249"/>
      <c r="AE37" s="249"/>
      <c r="AF37" s="249"/>
      <c r="AG37" s="245"/>
      <c r="AH37" s="249"/>
      <c r="AI37" s="249"/>
      <c r="AJ37" s="249"/>
      <c r="AK37" s="245"/>
      <c r="AL37" s="245"/>
      <c r="AM37" s="245"/>
      <c r="AN37" s="251"/>
      <c r="AO37" s="251"/>
      <c r="AP37" s="249"/>
      <c r="AQ37" s="251"/>
      <c r="AR37" s="249"/>
    </row>
    <row r="38" spans="1:44" ht="62.5" customHeight="1">
      <c r="A38" s="252"/>
      <c r="B38" s="552"/>
      <c r="C38" s="553"/>
      <c r="D38" s="548"/>
      <c r="E38" s="524"/>
      <c r="F38" s="37" t="s">
        <v>206</v>
      </c>
      <c r="G38" s="38" t="s">
        <v>207</v>
      </c>
      <c r="H38" s="39" t="s">
        <v>104</v>
      </c>
      <c r="I38" s="39" t="s">
        <v>165</v>
      </c>
      <c r="J38" s="40" t="s">
        <v>207</v>
      </c>
      <c r="K38" s="51"/>
      <c r="L38" s="42" t="s">
        <v>1088</v>
      </c>
      <c r="M38" s="242" t="s">
        <v>1136</v>
      </c>
      <c r="N38" s="301" t="s">
        <v>1232</v>
      </c>
      <c r="O38" s="244"/>
      <c r="P38" s="45" t="s">
        <v>205</v>
      </c>
      <c r="Q38" s="245" t="s">
        <v>1233</v>
      </c>
      <c r="R38" s="260">
        <v>300</v>
      </c>
      <c r="S38" s="260">
        <v>1000</v>
      </c>
      <c r="T38" s="245"/>
      <c r="U38" s="247"/>
      <c r="V38" s="247"/>
      <c r="W38" s="248">
        <f t="shared" si="0"/>
        <v>130</v>
      </c>
      <c r="X38" s="245"/>
      <c r="Y38" s="249" t="s">
        <v>1109</v>
      </c>
      <c r="Z38" s="245" t="s">
        <v>1234</v>
      </c>
      <c r="AA38" s="245"/>
      <c r="AB38" s="249"/>
      <c r="AC38" s="249" t="s">
        <v>1235</v>
      </c>
      <c r="AD38" s="249">
        <v>20</v>
      </c>
      <c r="AE38" s="249"/>
      <c r="AF38" s="249"/>
      <c r="AG38" s="245"/>
      <c r="AH38" s="249"/>
      <c r="AI38" s="249">
        <v>60</v>
      </c>
      <c r="AJ38" s="249">
        <v>60</v>
      </c>
      <c r="AK38" s="245"/>
      <c r="AL38" s="245"/>
      <c r="AM38" s="245" t="s">
        <v>1236</v>
      </c>
      <c r="AN38" s="251">
        <v>50</v>
      </c>
      <c r="AO38" s="251"/>
      <c r="AP38" s="249"/>
      <c r="AQ38" s="251"/>
      <c r="AR38" s="249"/>
    </row>
    <row r="39" spans="1:44" ht="258.75" customHeight="1">
      <c r="A39" s="52" t="s">
        <v>208</v>
      </c>
      <c r="B39" s="53">
        <v>4</v>
      </c>
      <c r="C39" s="54" t="s">
        <v>209</v>
      </c>
      <c r="D39" s="532" t="s">
        <v>210</v>
      </c>
      <c r="E39" s="534" t="s">
        <v>211</v>
      </c>
      <c r="F39" s="37" t="s">
        <v>212</v>
      </c>
      <c r="G39" s="38" t="s">
        <v>213</v>
      </c>
      <c r="H39" s="39" t="s">
        <v>104</v>
      </c>
      <c r="I39" s="39" t="s">
        <v>165</v>
      </c>
      <c r="J39" s="40" t="str">
        <f t="shared" si="1"/>
        <v>Elaborar l'inventari i cartografia de patrimoni cultural de l'ENP, que també inclogui el patrimoni etnològic i immaterial</v>
      </c>
      <c r="K39" s="51"/>
      <c r="L39" s="42" t="s">
        <v>1088</v>
      </c>
      <c r="M39" s="242" t="s">
        <v>1102</v>
      </c>
      <c r="N39" s="287" t="s">
        <v>1237</v>
      </c>
      <c r="O39" s="244"/>
      <c r="P39" s="45"/>
      <c r="Q39" s="263" t="s">
        <v>1238</v>
      </c>
      <c r="R39" s="302">
        <v>1</v>
      </c>
      <c r="S39" s="302">
        <v>100</v>
      </c>
      <c r="T39" s="303" t="s">
        <v>1239</v>
      </c>
      <c r="U39" s="304" t="s">
        <v>1240</v>
      </c>
      <c r="V39" s="247" t="s">
        <v>1241</v>
      </c>
      <c r="W39" s="248">
        <f t="shared" si="0"/>
        <v>385</v>
      </c>
      <c r="X39" s="245" t="s">
        <v>1242</v>
      </c>
      <c r="Y39" s="249" t="s">
        <v>1243</v>
      </c>
      <c r="Z39" s="245" t="s">
        <v>1244</v>
      </c>
      <c r="AA39" s="245"/>
      <c r="AB39" s="249"/>
      <c r="AC39" s="249" t="s">
        <v>1245</v>
      </c>
      <c r="AD39" s="249">
        <v>60</v>
      </c>
      <c r="AE39" s="249"/>
      <c r="AF39" s="249"/>
      <c r="AG39" s="245"/>
      <c r="AH39" s="249"/>
      <c r="AI39" s="290">
        <v>10</v>
      </c>
      <c r="AJ39" s="249">
        <v>10</v>
      </c>
      <c r="AK39" s="245"/>
      <c r="AL39" s="245"/>
      <c r="AM39" s="245" t="s">
        <v>1246</v>
      </c>
      <c r="AN39" s="251">
        <v>30</v>
      </c>
      <c r="AO39" s="251"/>
      <c r="AP39" s="249"/>
      <c r="AQ39" s="245" t="s">
        <v>1247</v>
      </c>
      <c r="AR39" s="249">
        <v>285</v>
      </c>
    </row>
    <row r="40" spans="1:44" ht="43.5" hidden="1">
      <c r="A40" s="52"/>
      <c r="B40" s="305"/>
      <c r="C40" s="306"/>
      <c r="D40" s="533"/>
      <c r="E40" s="535"/>
      <c r="F40" s="37" t="s">
        <v>214</v>
      </c>
      <c r="G40" s="38" t="s">
        <v>215</v>
      </c>
      <c r="H40" s="39" t="s">
        <v>104</v>
      </c>
      <c r="I40" s="39" t="s">
        <v>165</v>
      </c>
      <c r="J40" s="40" t="s">
        <v>1130</v>
      </c>
      <c r="K40" s="307" t="s">
        <v>1248</v>
      </c>
      <c r="L40" s="42"/>
      <c r="M40" s="308"/>
      <c r="N40" s="287"/>
      <c r="O40" s="244"/>
      <c r="P40" s="45"/>
      <c r="Q40" s="309"/>
      <c r="R40" s="264"/>
      <c r="S40" s="264"/>
      <c r="T40" s="272"/>
      <c r="U40" s="310"/>
      <c r="V40" s="247"/>
      <c r="W40" s="248">
        <f t="shared" si="0"/>
        <v>0</v>
      </c>
      <c r="X40" s="245"/>
      <c r="Y40" s="249"/>
      <c r="Z40" s="245"/>
      <c r="AA40" s="245"/>
      <c r="AB40" s="249"/>
      <c r="AC40" s="249"/>
      <c r="AD40" s="249"/>
      <c r="AE40" s="249"/>
      <c r="AF40" s="249"/>
      <c r="AG40" s="245"/>
      <c r="AH40" s="249"/>
      <c r="AI40" s="249"/>
      <c r="AJ40" s="249"/>
      <c r="AK40" s="245"/>
      <c r="AL40" s="245"/>
      <c r="AM40" s="245"/>
      <c r="AN40" s="251"/>
      <c r="AO40" s="251"/>
      <c r="AP40" s="249"/>
      <c r="AQ40" s="251"/>
      <c r="AR40" s="249"/>
    </row>
    <row r="41" spans="1:44" ht="58" hidden="1">
      <c r="A41" s="52"/>
      <c r="B41" s="305"/>
      <c r="C41" s="306"/>
      <c r="D41" s="532"/>
      <c r="E41" s="536"/>
      <c r="F41" s="37" t="s">
        <v>216</v>
      </c>
      <c r="G41" s="38" t="s">
        <v>217</v>
      </c>
      <c r="H41" s="39" t="s">
        <v>104</v>
      </c>
      <c r="I41" s="39" t="s">
        <v>165</v>
      </c>
      <c r="J41" s="40" t="s">
        <v>1130</v>
      </c>
      <c r="K41" s="311" t="s">
        <v>1249</v>
      </c>
      <c r="L41" s="42"/>
      <c r="M41" s="308"/>
      <c r="N41" s="312"/>
      <c r="O41" s="244"/>
      <c r="P41" s="45"/>
      <c r="Q41" s="245"/>
      <c r="R41" s="270"/>
      <c r="S41" s="270"/>
      <c r="T41" s="276"/>
      <c r="U41" s="247"/>
      <c r="V41" s="247"/>
      <c r="W41" s="248">
        <f t="shared" si="0"/>
        <v>0</v>
      </c>
      <c r="X41" s="245"/>
      <c r="Y41" s="249"/>
      <c r="Z41" s="245"/>
      <c r="AA41" s="245"/>
      <c r="AB41" s="249"/>
      <c r="AC41" s="249"/>
      <c r="AD41" s="249"/>
      <c r="AE41" s="249"/>
      <c r="AF41" s="249"/>
      <c r="AG41" s="245"/>
      <c r="AH41" s="249"/>
      <c r="AI41" s="249"/>
      <c r="AJ41" s="249"/>
      <c r="AK41" s="245"/>
      <c r="AL41" s="245"/>
      <c r="AM41" s="245"/>
      <c r="AN41" s="251"/>
      <c r="AO41" s="251"/>
      <c r="AP41" s="249"/>
      <c r="AQ41" s="251"/>
      <c r="AR41" s="249"/>
    </row>
    <row r="42" spans="1:44" ht="43.5">
      <c r="A42" s="52"/>
      <c r="B42" s="305"/>
      <c r="C42" s="306"/>
      <c r="D42" s="537" t="s">
        <v>218</v>
      </c>
      <c r="E42" s="538" t="s">
        <v>219</v>
      </c>
      <c r="F42" s="37" t="s">
        <v>220</v>
      </c>
      <c r="G42" s="38" t="s">
        <v>221</v>
      </c>
      <c r="H42" s="39" t="s">
        <v>104</v>
      </c>
      <c r="I42" s="39" t="s">
        <v>114</v>
      </c>
      <c r="J42" s="40" t="str">
        <f t="shared" si="1"/>
        <v>Identificar els ens de referència en patrimoni cultural (entitats, associacions, museus i ecomuseus, etc.) en l'àmbit de l'ENP</v>
      </c>
      <c r="K42" s="51"/>
      <c r="L42" s="42" t="s">
        <v>1088</v>
      </c>
      <c r="M42" s="242" t="s">
        <v>1102</v>
      </c>
      <c r="N42" s="243" t="s">
        <v>1250</v>
      </c>
      <c r="O42" s="244"/>
      <c r="P42" s="45"/>
      <c r="Q42" s="74"/>
      <c r="R42" s="304"/>
      <c r="S42" s="313"/>
      <c r="T42" s="74" t="s">
        <v>1251</v>
      </c>
      <c r="U42" s="304" t="s">
        <v>1252</v>
      </c>
      <c r="V42" s="313" t="s">
        <v>1253</v>
      </c>
      <c r="W42" s="248">
        <f t="shared" si="0"/>
        <v>20</v>
      </c>
      <c r="X42" s="245" t="s">
        <v>1242</v>
      </c>
      <c r="Y42" s="249" t="s">
        <v>1254</v>
      </c>
      <c r="Z42" s="245"/>
      <c r="AA42" s="245"/>
      <c r="AB42" s="249"/>
      <c r="AC42" s="249"/>
      <c r="AD42" s="249"/>
      <c r="AE42" s="249"/>
      <c r="AF42" s="249"/>
      <c r="AG42" s="245"/>
      <c r="AH42" s="249"/>
      <c r="AI42" s="249"/>
      <c r="AJ42" s="249"/>
      <c r="AK42" s="245"/>
      <c r="AL42" s="245"/>
      <c r="AM42" s="245"/>
      <c r="AN42" s="251"/>
      <c r="AO42" s="251"/>
      <c r="AP42" s="249"/>
      <c r="AQ42" s="251">
        <v>20</v>
      </c>
      <c r="AR42" s="249">
        <v>20</v>
      </c>
    </row>
    <row r="43" spans="1:44" ht="160" customHeight="1">
      <c r="A43" s="314"/>
      <c r="B43" s="305"/>
      <c r="C43" s="306"/>
      <c r="D43" s="537"/>
      <c r="E43" s="539"/>
      <c r="F43" s="37" t="s">
        <v>222</v>
      </c>
      <c r="G43" s="38" t="s">
        <v>223</v>
      </c>
      <c r="H43" s="39" t="s">
        <v>104</v>
      </c>
      <c r="I43" s="39" t="s">
        <v>165</v>
      </c>
      <c r="J43" s="40" t="str">
        <f t="shared" si="1"/>
        <v>Articular treballs conjunts entre l'ENP i representants, gestors o custodis del patrimoni cultural per a la seva protecció i millora</v>
      </c>
      <c r="K43" s="51"/>
      <c r="L43" s="42" t="s">
        <v>1088</v>
      </c>
      <c r="M43" s="242" t="s">
        <v>1102</v>
      </c>
      <c r="N43" s="243" t="s">
        <v>1255</v>
      </c>
      <c r="O43" s="315"/>
      <c r="P43" s="316"/>
      <c r="Q43" s="74" t="s">
        <v>1256</v>
      </c>
      <c r="R43" s="280">
        <v>2</v>
      </c>
      <c r="S43" s="280">
        <v>8</v>
      </c>
      <c r="T43" s="74" t="s">
        <v>1257</v>
      </c>
      <c r="U43" s="304" t="s">
        <v>1258</v>
      </c>
      <c r="V43" s="304" t="s">
        <v>1259</v>
      </c>
      <c r="W43" s="248">
        <f t="shared" si="0"/>
        <v>520</v>
      </c>
      <c r="X43" s="245" t="s">
        <v>1242</v>
      </c>
      <c r="Y43" s="249" t="s">
        <v>1254</v>
      </c>
      <c r="Z43" s="245" t="s">
        <v>1109</v>
      </c>
      <c r="AA43" s="245"/>
      <c r="AB43" s="249"/>
      <c r="AC43" s="249"/>
      <c r="AD43" s="249"/>
      <c r="AE43" s="249"/>
      <c r="AF43" s="249"/>
      <c r="AI43" s="249"/>
      <c r="AJ43" s="249"/>
      <c r="AK43" s="245"/>
      <c r="AL43" s="245"/>
      <c r="AM43" s="245" t="s">
        <v>1260</v>
      </c>
      <c r="AN43" s="251">
        <v>115</v>
      </c>
      <c r="AO43" s="251"/>
      <c r="AP43" s="249"/>
      <c r="AQ43" s="248" t="s">
        <v>1261</v>
      </c>
      <c r="AR43" s="249">
        <v>405</v>
      </c>
    </row>
    <row r="44" spans="1:44" ht="43.5" hidden="1">
      <c r="A44" s="314"/>
      <c r="B44" s="305"/>
      <c r="C44" s="306"/>
      <c r="D44" s="537"/>
      <c r="E44" s="539"/>
      <c r="F44" s="37" t="s">
        <v>224</v>
      </c>
      <c r="G44" s="38" t="s">
        <v>1262</v>
      </c>
      <c r="H44" s="39" t="s">
        <v>104</v>
      </c>
      <c r="I44" s="39" t="s">
        <v>165</v>
      </c>
      <c r="J44" s="317" t="s">
        <v>1263</v>
      </c>
      <c r="K44" s="318" t="s">
        <v>1264</v>
      </c>
      <c r="L44" s="42"/>
      <c r="M44" s="242" t="s">
        <v>1102</v>
      </c>
      <c r="N44" s="243" t="s">
        <v>1265</v>
      </c>
      <c r="O44" s="244"/>
      <c r="P44" s="45"/>
      <c r="Q44" s="74"/>
      <c r="R44" s="280"/>
      <c r="S44" s="280"/>
      <c r="T44" s="245" t="s">
        <v>1266</v>
      </c>
      <c r="U44" s="246">
        <v>2</v>
      </c>
      <c r="V44" s="246">
        <v>12</v>
      </c>
      <c r="W44" s="248">
        <f t="shared" si="0"/>
        <v>1800</v>
      </c>
      <c r="X44" s="245" t="s">
        <v>1242</v>
      </c>
      <c r="Y44" s="249" t="s">
        <v>1243</v>
      </c>
      <c r="Z44" s="319" t="s">
        <v>1267</v>
      </c>
      <c r="AA44" s="245"/>
      <c r="AB44" s="249"/>
      <c r="AC44" s="249"/>
      <c r="AD44" s="249"/>
      <c r="AE44" s="249"/>
      <c r="AF44" s="249"/>
      <c r="AG44" s="245" t="s">
        <v>1268</v>
      </c>
      <c r="AH44" s="249">
        <v>1800</v>
      </c>
      <c r="AI44" s="249"/>
      <c r="AJ44" s="249"/>
      <c r="AK44" s="245"/>
      <c r="AL44" s="245"/>
      <c r="AM44" s="245" t="s">
        <v>1269</v>
      </c>
      <c r="AN44" s="251"/>
      <c r="AO44" s="251"/>
      <c r="AP44" s="249"/>
      <c r="AQ44" s="249" t="s">
        <v>1270</v>
      </c>
      <c r="AR44" s="249"/>
    </row>
    <row r="45" spans="1:44" ht="51.65" customHeight="1">
      <c r="A45" s="52"/>
      <c r="B45" s="305"/>
      <c r="C45" s="306"/>
      <c r="D45" s="537"/>
      <c r="E45" s="539"/>
      <c r="F45" s="37" t="s">
        <v>226</v>
      </c>
      <c r="G45" s="38" t="s">
        <v>227</v>
      </c>
      <c r="H45" s="39" t="s">
        <v>104</v>
      </c>
      <c r="I45" s="39" t="s">
        <v>105</v>
      </c>
      <c r="J45" s="40" t="s">
        <v>1271</v>
      </c>
      <c r="K45" s="51"/>
      <c r="L45" s="42" t="s">
        <v>1088</v>
      </c>
      <c r="M45" s="242" t="s">
        <v>1102</v>
      </c>
      <c r="N45" s="243" t="s">
        <v>1272</v>
      </c>
      <c r="O45" s="315"/>
      <c r="P45" s="316"/>
      <c r="Q45" s="298" t="s">
        <v>1273</v>
      </c>
      <c r="R45" s="280">
        <v>4</v>
      </c>
      <c r="S45" s="280">
        <v>4</v>
      </c>
      <c r="T45" s="74"/>
      <c r="U45" s="304"/>
      <c r="V45" s="304"/>
      <c r="W45" s="248">
        <f t="shared" si="0"/>
        <v>40</v>
      </c>
      <c r="X45" s="245" t="s">
        <v>1242</v>
      </c>
      <c r="Y45" s="249" t="s">
        <v>1254</v>
      </c>
      <c r="Z45" s="245"/>
      <c r="AA45" s="245"/>
      <c r="AB45" s="249"/>
      <c r="AC45" s="249"/>
      <c r="AD45" s="249"/>
      <c r="AE45" s="249"/>
      <c r="AF45" s="249"/>
      <c r="AG45" s="245"/>
      <c r="AH45" s="249"/>
      <c r="AI45" s="249"/>
      <c r="AJ45" s="249"/>
      <c r="AK45" s="245"/>
      <c r="AL45" s="245"/>
      <c r="AM45" s="245"/>
      <c r="AN45" s="251"/>
      <c r="AO45" s="251"/>
      <c r="AP45" s="249"/>
      <c r="AQ45" s="251" t="s">
        <v>1274</v>
      </c>
      <c r="AR45" s="249">
        <v>40</v>
      </c>
    </row>
    <row r="46" spans="1:44" ht="92.25" customHeight="1">
      <c r="A46" s="52"/>
      <c r="B46" s="305"/>
      <c r="C46" s="306"/>
      <c r="D46" s="320"/>
      <c r="E46" s="321"/>
      <c r="F46" s="322" t="s">
        <v>1275</v>
      </c>
      <c r="G46" s="90" t="s">
        <v>1276</v>
      </c>
      <c r="H46" s="323"/>
      <c r="I46" s="323"/>
      <c r="J46" s="324" t="s">
        <v>1276</v>
      </c>
      <c r="K46" s="325"/>
      <c r="L46" s="42" t="s">
        <v>1088</v>
      </c>
      <c r="M46" s="268" t="s">
        <v>1102</v>
      </c>
      <c r="N46" s="243" t="s">
        <v>1277</v>
      </c>
      <c r="O46" s="315"/>
      <c r="P46" s="316"/>
      <c r="Q46" s="74" t="s">
        <v>1278</v>
      </c>
      <c r="R46" s="280">
        <v>2</v>
      </c>
      <c r="S46" s="280">
        <v>12</v>
      </c>
      <c r="T46" s="74" t="s">
        <v>1279</v>
      </c>
      <c r="U46" s="304" t="s">
        <v>1280</v>
      </c>
      <c r="V46" s="304" t="s">
        <v>1281</v>
      </c>
      <c r="W46" s="248">
        <f t="shared" si="0"/>
        <v>360</v>
      </c>
      <c r="X46" s="245" t="s">
        <v>1242</v>
      </c>
      <c r="Y46" s="249" t="s">
        <v>1254</v>
      </c>
      <c r="Z46" s="245" t="s">
        <v>1282</v>
      </c>
      <c r="AA46" s="245"/>
      <c r="AB46" s="249"/>
      <c r="AC46" s="249"/>
      <c r="AD46" s="249"/>
      <c r="AE46" s="249"/>
      <c r="AF46" s="249"/>
      <c r="AG46" s="326" t="s">
        <v>1283</v>
      </c>
      <c r="AH46" s="3">
        <v>240</v>
      </c>
      <c r="AI46" s="249"/>
      <c r="AJ46" s="249"/>
      <c r="AK46" s="245"/>
      <c r="AL46" s="245"/>
      <c r="AM46" s="245" t="s">
        <v>1236</v>
      </c>
      <c r="AN46" s="251">
        <v>50</v>
      </c>
      <c r="AO46" s="251"/>
      <c r="AP46" s="249"/>
      <c r="AQ46" s="245" t="s">
        <v>1284</v>
      </c>
      <c r="AR46" s="249">
        <v>70</v>
      </c>
    </row>
    <row r="47" spans="1:44" ht="167.25" customHeight="1">
      <c r="A47" s="52"/>
      <c r="B47" s="305"/>
      <c r="C47" s="306"/>
      <c r="D47" s="525" t="s">
        <v>228</v>
      </c>
      <c r="E47" s="526" t="s">
        <v>229</v>
      </c>
      <c r="F47" s="37" t="s">
        <v>230</v>
      </c>
      <c r="G47" s="38" t="s">
        <v>1285</v>
      </c>
      <c r="H47" s="39" t="s">
        <v>104</v>
      </c>
      <c r="I47" s="39" t="s">
        <v>105</v>
      </c>
      <c r="J47" s="40" t="s">
        <v>1286</v>
      </c>
      <c r="K47" s="318" t="s">
        <v>1287</v>
      </c>
      <c r="L47" s="42" t="s">
        <v>1088</v>
      </c>
      <c r="M47" s="274" t="s">
        <v>1102</v>
      </c>
      <c r="N47" s="287" t="s">
        <v>1288</v>
      </c>
      <c r="O47" s="244" t="s">
        <v>106</v>
      </c>
      <c r="P47" s="45"/>
      <c r="Q47" s="245" t="s">
        <v>1289</v>
      </c>
      <c r="R47" s="293">
        <v>0.5</v>
      </c>
      <c r="S47" s="293">
        <v>0.8</v>
      </c>
      <c r="T47" s="74" t="s">
        <v>1290</v>
      </c>
      <c r="U47" s="327" t="s">
        <v>1291</v>
      </c>
      <c r="V47" s="327" t="s">
        <v>1292</v>
      </c>
      <c r="W47" s="248">
        <f t="shared" si="0"/>
        <v>220</v>
      </c>
      <c r="X47" s="245" t="s">
        <v>1242</v>
      </c>
      <c r="Y47" s="249" t="s">
        <v>1254</v>
      </c>
      <c r="Z47" s="245" t="s">
        <v>1293</v>
      </c>
      <c r="AA47" s="245"/>
      <c r="AB47" s="249"/>
      <c r="AC47" s="249"/>
      <c r="AD47" s="249"/>
      <c r="AE47" s="249"/>
      <c r="AF47" s="249"/>
      <c r="AG47" s="245"/>
      <c r="AH47" s="249"/>
      <c r="AI47" s="249" t="s">
        <v>1294</v>
      </c>
      <c r="AJ47" s="249">
        <v>50</v>
      </c>
      <c r="AK47" s="245"/>
      <c r="AL47" s="245"/>
      <c r="AM47" s="245" t="s">
        <v>1295</v>
      </c>
      <c r="AN47" s="251">
        <v>10</v>
      </c>
      <c r="AO47" s="251"/>
      <c r="AP47" s="249"/>
      <c r="AQ47" s="148" t="s">
        <v>1296</v>
      </c>
      <c r="AR47" s="249">
        <v>160</v>
      </c>
    </row>
    <row r="48" spans="1:44" ht="148.5" customHeight="1">
      <c r="A48" s="52"/>
      <c r="B48" s="305"/>
      <c r="C48" s="306"/>
      <c r="D48" s="525"/>
      <c r="E48" s="526"/>
      <c r="F48" s="37" t="s">
        <v>232</v>
      </c>
      <c r="G48" s="38" t="s">
        <v>233</v>
      </c>
      <c r="H48" s="39" t="s">
        <v>126</v>
      </c>
      <c r="I48" s="39" t="s">
        <v>105</v>
      </c>
      <c r="J48" s="328" t="s">
        <v>1297</v>
      </c>
      <c r="K48" s="51"/>
      <c r="L48" s="42" t="s">
        <v>1088</v>
      </c>
      <c r="M48" s="242" t="s">
        <v>1102</v>
      </c>
      <c r="N48" s="243" t="s">
        <v>1298</v>
      </c>
      <c r="O48" s="315" t="s">
        <v>106</v>
      </c>
      <c r="P48" s="316"/>
      <c r="Q48" s="74" t="s">
        <v>1299</v>
      </c>
      <c r="R48" s="280">
        <v>20</v>
      </c>
      <c r="S48" s="280">
        <v>80</v>
      </c>
      <c r="T48" s="74" t="s">
        <v>1300</v>
      </c>
      <c r="U48" s="304" t="s">
        <v>1301</v>
      </c>
      <c r="V48" s="304" t="s">
        <v>1302</v>
      </c>
      <c r="W48" s="248">
        <f t="shared" si="0"/>
        <v>4575</v>
      </c>
      <c r="X48" s="245" t="s">
        <v>1242</v>
      </c>
      <c r="Y48" s="245" t="s">
        <v>1254</v>
      </c>
      <c r="Z48" s="245" t="s">
        <v>1303</v>
      </c>
      <c r="AA48" s="245"/>
      <c r="AB48" s="249"/>
      <c r="AC48" s="249"/>
      <c r="AD48" s="249"/>
      <c r="AE48" s="249"/>
      <c r="AF48" s="249"/>
      <c r="AG48" s="245" t="s">
        <v>1304</v>
      </c>
      <c r="AH48" s="249">
        <v>4440</v>
      </c>
      <c r="AI48" s="249"/>
      <c r="AJ48" s="249"/>
      <c r="AK48" s="245"/>
      <c r="AL48" s="245"/>
      <c r="AM48" s="245"/>
      <c r="AN48" s="251"/>
      <c r="AO48" s="251"/>
      <c r="AP48" s="249"/>
      <c r="AQ48" s="148" t="s">
        <v>1305</v>
      </c>
      <c r="AR48" s="249">
        <v>135</v>
      </c>
    </row>
    <row r="49" spans="1:44" ht="43.5" hidden="1">
      <c r="A49" s="52"/>
      <c r="B49" s="305"/>
      <c r="C49" s="306"/>
      <c r="D49" s="525"/>
      <c r="E49" s="526"/>
      <c r="F49" s="37" t="s">
        <v>234</v>
      </c>
      <c r="G49" s="38" t="s">
        <v>1306</v>
      </c>
      <c r="H49" s="39" t="s">
        <v>104</v>
      </c>
      <c r="I49" s="39" t="s">
        <v>127</v>
      </c>
      <c r="J49" s="40" t="s">
        <v>1130</v>
      </c>
      <c r="K49" s="51" t="s">
        <v>1307</v>
      </c>
      <c r="L49" s="42"/>
      <c r="M49" s="308"/>
      <c r="N49" s="287"/>
      <c r="O49" s="244"/>
      <c r="P49" s="45"/>
      <c r="Q49" s="245"/>
      <c r="R49" s="246"/>
      <c r="S49" s="246"/>
      <c r="T49" s="74"/>
      <c r="U49" s="304"/>
      <c r="V49" s="304"/>
      <c r="W49" s="248">
        <f t="shared" si="0"/>
        <v>0</v>
      </c>
      <c r="X49" s="245"/>
      <c r="Y49" s="249"/>
      <c r="Z49" s="245"/>
      <c r="AA49" s="245"/>
      <c r="AB49" s="249"/>
      <c r="AC49" s="249"/>
      <c r="AD49" s="249"/>
      <c r="AE49" s="249"/>
      <c r="AF49" s="249"/>
      <c r="AG49" s="245"/>
      <c r="AH49" s="249"/>
      <c r="AI49" s="249"/>
      <c r="AJ49" s="249"/>
      <c r="AK49" s="245"/>
      <c r="AL49" s="245"/>
      <c r="AM49" s="245"/>
      <c r="AN49" s="251"/>
      <c r="AO49" s="251"/>
      <c r="AP49" s="249"/>
      <c r="AQ49" s="251"/>
      <c r="AR49" s="249"/>
    </row>
    <row r="50" spans="1:44" ht="91" customHeight="1">
      <c r="A50" s="52"/>
      <c r="B50" s="305"/>
      <c r="C50" s="306"/>
      <c r="D50" s="525"/>
      <c r="E50" s="526"/>
      <c r="F50" s="37" t="s">
        <v>236</v>
      </c>
      <c r="G50" s="38" t="s">
        <v>237</v>
      </c>
      <c r="H50" s="39" t="s">
        <v>104</v>
      </c>
      <c r="I50" s="39" t="s">
        <v>114</v>
      </c>
      <c r="J50" s="40" t="s">
        <v>1308</v>
      </c>
      <c r="K50" s="51" t="s">
        <v>1309</v>
      </c>
      <c r="L50" s="42" t="s">
        <v>1088</v>
      </c>
      <c r="M50" s="242" t="s">
        <v>1136</v>
      </c>
      <c r="N50" s="243" t="s">
        <v>1310</v>
      </c>
      <c r="O50" s="244" t="s">
        <v>115</v>
      </c>
      <c r="P50" s="45"/>
      <c r="Q50" s="245"/>
      <c r="R50" s="246"/>
      <c r="S50" s="246"/>
      <c r="T50" s="74" t="s">
        <v>1311</v>
      </c>
      <c r="U50" s="304" t="s">
        <v>1312</v>
      </c>
      <c r="V50" s="304" t="s">
        <v>1313</v>
      </c>
      <c r="W50" s="248">
        <f t="shared" si="0"/>
        <v>670</v>
      </c>
      <c r="X50" s="245" t="s">
        <v>1159</v>
      </c>
      <c r="Y50" s="249" t="s">
        <v>1109</v>
      </c>
      <c r="Z50" s="245"/>
      <c r="AA50" s="245"/>
      <c r="AB50" s="249"/>
      <c r="AC50" s="249"/>
      <c r="AD50" s="249"/>
      <c r="AE50" s="249"/>
      <c r="AF50" s="249"/>
      <c r="AG50" s="245" t="s">
        <v>1314</v>
      </c>
      <c r="AH50" s="249">
        <v>490</v>
      </c>
      <c r="AI50" s="249"/>
      <c r="AJ50" s="249"/>
      <c r="AK50" s="245"/>
      <c r="AL50" s="245"/>
      <c r="AM50" s="245" t="s">
        <v>1315</v>
      </c>
      <c r="AN50" s="251">
        <v>180</v>
      </c>
      <c r="AO50" s="251"/>
      <c r="AP50" s="249"/>
      <c r="AQ50" s="251"/>
      <c r="AR50" s="249"/>
    </row>
    <row r="51" spans="1:44" ht="50.25" customHeight="1">
      <c r="A51" s="52"/>
      <c r="B51" s="305"/>
      <c r="C51" s="306"/>
      <c r="D51" s="525" t="s">
        <v>238</v>
      </c>
      <c r="E51" s="526" t="s">
        <v>239</v>
      </c>
      <c r="F51" s="39" t="s">
        <v>240</v>
      </c>
      <c r="G51" s="38" t="s">
        <v>241</v>
      </c>
      <c r="H51" s="39" t="s">
        <v>104</v>
      </c>
      <c r="I51" s="39" t="s">
        <v>105</v>
      </c>
      <c r="J51" s="40" t="str">
        <f t="shared" si="1"/>
        <v>Integrar el patrimoni cultural als itineraris i cartelleria de l'ENP.</v>
      </c>
      <c r="K51" s="51"/>
      <c r="L51" s="42" t="s">
        <v>1088</v>
      </c>
      <c r="M51" s="242" t="s">
        <v>1136</v>
      </c>
      <c r="N51" s="243" t="s">
        <v>1316</v>
      </c>
      <c r="O51" s="244"/>
      <c r="P51" s="45"/>
      <c r="Q51" s="74" t="s">
        <v>1317</v>
      </c>
      <c r="R51" s="246">
        <v>3</v>
      </c>
      <c r="S51" s="246">
        <v>5</v>
      </c>
      <c r="U51" s="304"/>
      <c r="V51" s="304"/>
      <c r="W51" s="248">
        <f t="shared" si="0"/>
        <v>185</v>
      </c>
      <c r="X51" s="245" t="s">
        <v>1242</v>
      </c>
      <c r="Y51" s="249" t="s">
        <v>1254</v>
      </c>
      <c r="Z51" s="245" t="s">
        <v>1318</v>
      </c>
      <c r="AA51" s="245"/>
      <c r="AB51" s="249"/>
      <c r="AC51" s="249" t="s">
        <v>1294</v>
      </c>
      <c r="AD51" s="249">
        <v>50</v>
      </c>
      <c r="AE51" s="249"/>
      <c r="AF51" s="249"/>
      <c r="AG51" s="245"/>
      <c r="AH51" s="249"/>
      <c r="AI51" s="249"/>
      <c r="AJ51" s="249"/>
      <c r="AK51" s="245"/>
      <c r="AL51" s="245"/>
      <c r="AM51" s="245" t="s">
        <v>1176</v>
      </c>
      <c r="AN51" s="251">
        <v>10</v>
      </c>
      <c r="AO51" s="251"/>
      <c r="AP51" s="249"/>
      <c r="AQ51" s="248" t="s">
        <v>1319</v>
      </c>
      <c r="AR51" s="249">
        <v>125</v>
      </c>
    </row>
    <row r="52" spans="1:44" ht="43.5">
      <c r="A52" s="52"/>
      <c r="B52" s="305"/>
      <c r="C52" s="306"/>
      <c r="D52" s="525"/>
      <c r="E52" s="526"/>
      <c r="F52" s="39" t="s">
        <v>242</v>
      </c>
      <c r="G52" s="38" t="s">
        <v>243</v>
      </c>
      <c r="H52" s="39" t="s">
        <v>104</v>
      </c>
      <c r="I52" s="39" t="s">
        <v>105</v>
      </c>
      <c r="J52" s="40" t="str">
        <f t="shared" si="1"/>
        <v>Incorporar el patrimoni cultural en els plans d’ús públic i educació ambiental per fomentar-ne la seva conservació i divulgació.</v>
      </c>
      <c r="K52" s="51"/>
      <c r="L52" s="42" t="s">
        <v>1088</v>
      </c>
      <c r="M52" s="242" t="s">
        <v>1136</v>
      </c>
      <c r="N52" s="243" t="s">
        <v>1320</v>
      </c>
      <c r="O52" s="244"/>
      <c r="P52" s="45"/>
      <c r="Q52" s="298" t="s">
        <v>1321</v>
      </c>
      <c r="R52" s="280">
        <v>25</v>
      </c>
      <c r="S52" s="280">
        <v>45</v>
      </c>
      <c r="T52" s="74" t="s">
        <v>1322</v>
      </c>
      <c r="U52" s="304" t="s">
        <v>1323</v>
      </c>
      <c r="V52" s="304" t="s">
        <v>1324</v>
      </c>
      <c r="W52" s="248">
        <f t="shared" si="0"/>
        <v>140</v>
      </c>
      <c r="X52" s="245" t="s">
        <v>1242</v>
      </c>
      <c r="Y52" s="249" t="s">
        <v>1254</v>
      </c>
      <c r="Z52" s="245"/>
      <c r="AA52" s="245"/>
      <c r="AB52" s="249"/>
      <c r="AC52" s="249"/>
      <c r="AD52" s="249"/>
      <c r="AE52" s="249" t="s">
        <v>1325</v>
      </c>
      <c r="AF52" s="249">
        <v>75</v>
      </c>
      <c r="AG52" s="245"/>
      <c r="AH52" s="249"/>
      <c r="AI52" s="249"/>
      <c r="AJ52" s="249"/>
      <c r="AK52" s="245"/>
      <c r="AL52" s="245"/>
      <c r="AM52" s="245"/>
      <c r="AN52" s="251"/>
      <c r="AO52" s="251"/>
      <c r="AP52" s="249"/>
      <c r="AQ52" s="148" t="s">
        <v>1326</v>
      </c>
      <c r="AR52" s="249">
        <v>65</v>
      </c>
    </row>
    <row r="53" spans="1:44" ht="81" customHeight="1">
      <c r="A53" s="52"/>
      <c r="B53" s="305"/>
      <c r="C53" s="306"/>
      <c r="D53" s="525"/>
      <c r="E53" s="526"/>
      <c r="F53" s="39" t="s">
        <v>244</v>
      </c>
      <c r="G53" s="38" t="s">
        <v>245</v>
      </c>
      <c r="H53" s="39" t="s">
        <v>104</v>
      </c>
      <c r="I53" s="39" t="s">
        <v>105</v>
      </c>
      <c r="J53" s="257" t="str">
        <f>G53</f>
        <v>Formar el personal dels punts d’informació en els valors culturals de l'ENP</v>
      </c>
      <c r="K53" s="329"/>
      <c r="L53" s="42" t="s">
        <v>1088</v>
      </c>
      <c r="M53" s="242" t="s">
        <v>1136</v>
      </c>
      <c r="N53" s="243" t="s">
        <v>1327</v>
      </c>
      <c r="O53" s="244"/>
      <c r="P53" s="45"/>
      <c r="Q53" s="74" t="s">
        <v>1328</v>
      </c>
      <c r="R53" s="246">
        <v>25</v>
      </c>
      <c r="S53" s="246">
        <v>40</v>
      </c>
      <c r="U53" s="304"/>
      <c r="V53" s="304"/>
      <c r="W53" s="248">
        <f t="shared" si="0"/>
        <v>60</v>
      </c>
      <c r="X53" s="245" t="s">
        <v>1242</v>
      </c>
      <c r="Y53" s="249" t="s">
        <v>1254</v>
      </c>
      <c r="Z53" s="245"/>
      <c r="AA53" s="245"/>
      <c r="AB53" s="249"/>
      <c r="AC53" s="249"/>
      <c r="AD53" s="249"/>
      <c r="AE53" s="249"/>
      <c r="AF53" s="249"/>
      <c r="AG53" s="262"/>
      <c r="AH53" s="249"/>
      <c r="AI53" s="249"/>
      <c r="AJ53" s="249"/>
      <c r="AK53" s="245"/>
      <c r="AL53" s="245"/>
      <c r="AM53" s="245"/>
      <c r="AN53" s="251"/>
      <c r="AO53" s="251"/>
      <c r="AP53" s="249"/>
      <c r="AQ53" s="330" t="s">
        <v>1329</v>
      </c>
      <c r="AR53" s="249">
        <v>60</v>
      </c>
    </row>
    <row r="54" spans="1:44" ht="72.5" hidden="1">
      <c r="A54" s="52"/>
      <c r="B54" s="527">
        <v>5</v>
      </c>
      <c r="C54" s="528" t="s">
        <v>246</v>
      </c>
      <c r="D54" s="55" t="s">
        <v>247</v>
      </c>
      <c r="E54" s="8" t="s">
        <v>248</v>
      </c>
      <c r="F54" s="39" t="s">
        <v>249</v>
      </c>
      <c r="G54" s="38" t="s">
        <v>250</v>
      </c>
      <c r="H54" s="39" t="s">
        <v>104</v>
      </c>
      <c r="I54" s="39" t="s">
        <v>165</v>
      </c>
      <c r="J54" s="40" t="s">
        <v>1130</v>
      </c>
      <c r="K54" s="51" t="s">
        <v>1162</v>
      </c>
      <c r="L54" s="42"/>
      <c r="M54" s="268"/>
      <c r="N54" s="287"/>
      <c r="O54" s="244"/>
      <c r="P54" s="45"/>
      <c r="Q54" s="245"/>
      <c r="R54" s="246"/>
      <c r="S54" s="246"/>
      <c r="T54" s="74"/>
      <c r="U54" s="247"/>
      <c r="V54" s="247"/>
      <c r="W54" s="248">
        <f t="shared" si="0"/>
        <v>0</v>
      </c>
      <c r="Y54" s="249"/>
      <c r="Z54" s="245"/>
      <c r="AA54" s="245"/>
      <c r="AB54" s="249"/>
      <c r="AC54" s="249"/>
      <c r="AD54" s="249"/>
      <c r="AE54" s="249"/>
      <c r="AF54" s="331"/>
      <c r="AG54" s="272"/>
      <c r="AI54" s="249"/>
      <c r="AJ54" s="249"/>
      <c r="AK54" s="245"/>
      <c r="AL54" s="245"/>
      <c r="AM54" s="245"/>
      <c r="AN54" s="251"/>
      <c r="AO54" s="251"/>
      <c r="AP54" s="249"/>
      <c r="AQ54" s="251"/>
      <c r="AR54" s="249"/>
    </row>
    <row r="55" spans="1:44" ht="72.5" hidden="1">
      <c r="A55" s="52"/>
      <c r="B55" s="527"/>
      <c r="C55" s="528"/>
      <c r="D55" s="529" t="s">
        <v>251</v>
      </c>
      <c r="E55" s="530" t="s">
        <v>252</v>
      </c>
      <c r="F55" s="37" t="s">
        <v>253</v>
      </c>
      <c r="G55" s="38" t="s">
        <v>254</v>
      </c>
      <c r="H55" s="39" t="s">
        <v>104</v>
      </c>
      <c r="I55" s="39" t="s">
        <v>165</v>
      </c>
      <c r="J55" s="40" t="s">
        <v>1130</v>
      </c>
      <c r="K55" s="51" t="s">
        <v>1330</v>
      </c>
      <c r="L55" s="42"/>
      <c r="M55" s="268"/>
      <c r="N55" s="287"/>
      <c r="O55" s="244"/>
      <c r="P55" s="45"/>
      <c r="Q55" s="245"/>
      <c r="R55" s="246"/>
      <c r="S55" s="246"/>
      <c r="T55" s="74"/>
      <c r="U55" s="247"/>
      <c r="V55" s="247"/>
      <c r="W55" s="248">
        <f t="shared" si="0"/>
        <v>0</v>
      </c>
      <c r="X55" s="245"/>
      <c r="Y55" s="249"/>
      <c r="Z55" s="245"/>
      <c r="AA55" s="245"/>
      <c r="AB55" s="249"/>
      <c r="AC55" s="249"/>
      <c r="AD55" s="249"/>
      <c r="AE55" s="249"/>
      <c r="AF55" s="249"/>
      <c r="AH55" s="332"/>
      <c r="AI55" s="333"/>
      <c r="AJ55" s="249"/>
      <c r="AK55" s="245"/>
      <c r="AL55" s="245"/>
      <c r="AM55" s="245"/>
      <c r="AN55" s="251"/>
      <c r="AO55" s="251"/>
      <c r="AP55" s="249"/>
      <c r="AQ55" s="251"/>
      <c r="AR55" s="249"/>
    </row>
    <row r="56" spans="1:44" ht="63.65" customHeight="1">
      <c r="A56" s="52"/>
      <c r="B56" s="527"/>
      <c r="C56" s="528"/>
      <c r="D56" s="529"/>
      <c r="E56" s="530"/>
      <c r="F56" s="37" t="s">
        <v>255</v>
      </c>
      <c r="G56" s="38" t="s">
        <v>1331</v>
      </c>
      <c r="H56" s="39"/>
      <c r="I56" s="39"/>
      <c r="J56" s="59" t="str">
        <f>G56</f>
        <v>Gestionar l'abandonament d'infraestructures i instal·lacions amb impactes sobre els valors de l'espai</v>
      </c>
      <c r="K56" s="51"/>
      <c r="L56" s="42" t="s">
        <v>1088</v>
      </c>
      <c r="M56" s="242" t="s">
        <v>1136</v>
      </c>
      <c r="N56" s="243" t="s">
        <v>1332</v>
      </c>
      <c r="O56" s="244"/>
      <c r="P56" s="45"/>
      <c r="Q56" s="245" t="s">
        <v>1333</v>
      </c>
      <c r="R56" s="246">
        <v>1</v>
      </c>
      <c r="S56" s="246">
        <v>10</v>
      </c>
      <c r="T56" s="74"/>
      <c r="U56" s="247"/>
      <c r="V56" s="247"/>
      <c r="W56" s="248">
        <f t="shared" si="0"/>
        <v>3700</v>
      </c>
      <c r="X56" s="245" t="s">
        <v>1159</v>
      </c>
      <c r="Y56" s="249" t="s">
        <v>1334</v>
      </c>
      <c r="Z56" s="245" t="s">
        <v>1109</v>
      </c>
      <c r="AA56" s="245"/>
      <c r="AB56" s="249"/>
      <c r="AC56" s="249"/>
      <c r="AD56" s="249"/>
      <c r="AE56" s="249"/>
      <c r="AF56" s="249"/>
      <c r="AG56" s="245" t="s">
        <v>1335</v>
      </c>
      <c r="AH56" s="334">
        <v>3600</v>
      </c>
      <c r="AI56" s="249"/>
      <c r="AJ56" s="249"/>
      <c r="AK56" s="245"/>
      <c r="AL56" s="245"/>
      <c r="AM56" s="245" t="s">
        <v>1336</v>
      </c>
      <c r="AN56" s="251">
        <v>100</v>
      </c>
      <c r="AO56" s="251"/>
      <c r="AP56" s="249"/>
      <c r="AQ56" s="251"/>
      <c r="AR56" s="249"/>
    </row>
    <row r="57" spans="1:44" ht="43.5">
      <c r="A57" s="52"/>
      <c r="B57" s="527"/>
      <c r="C57" s="528"/>
      <c r="D57" s="529"/>
      <c r="E57" s="530"/>
      <c r="F57" s="37" t="s">
        <v>257</v>
      </c>
      <c r="G57" s="38" t="s">
        <v>258</v>
      </c>
      <c r="H57" s="39" t="s">
        <v>104</v>
      </c>
      <c r="I57" s="39" t="s">
        <v>114</v>
      </c>
      <c r="J57" s="40" t="str">
        <f t="shared" si="1"/>
        <v>Minimitzar la brutícia, deixalles, vandalisme i males praxis dins l'ENP</v>
      </c>
      <c r="K57" s="51"/>
      <c r="L57" s="42" t="s">
        <v>1088</v>
      </c>
      <c r="M57" s="242" t="s">
        <v>1136</v>
      </c>
      <c r="N57" s="243" t="s">
        <v>1337</v>
      </c>
      <c r="O57" s="244"/>
      <c r="P57" s="45"/>
      <c r="Q57" s="245" t="s">
        <v>1338</v>
      </c>
      <c r="R57" s="246">
        <v>8</v>
      </c>
      <c r="S57" s="246">
        <v>10</v>
      </c>
      <c r="T57" s="74"/>
      <c r="U57" s="247"/>
      <c r="V57" s="247"/>
      <c r="W57" s="248">
        <f t="shared" si="0"/>
        <v>1440</v>
      </c>
      <c r="X57" s="245" t="s">
        <v>1339</v>
      </c>
      <c r="Y57" s="249" t="s">
        <v>1303</v>
      </c>
      <c r="Z57" s="245"/>
      <c r="AA57" s="245"/>
      <c r="AB57" s="249"/>
      <c r="AC57" s="249"/>
      <c r="AD57" s="249"/>
      <c r="AE57" s="249"/>
      <c r="AF57" s="249"/>
      <c r="AG57" s="245" t="s">
        <v>1340</v>
      </c>
      <c r="AH57" s="249">
        <v>1440</v>
      </c>
      <c r="AI57" s="249"/>
      <c r="AJ57" s="249"/>
      <c r="AK57" s="245"/>
      <c r="AL57" s="245"/>
      <c r="AM57" s="245"/>
      <c r="AN57" s="251"/>
      <c r="AO57" s="251"/>
      <c r="AP57" s="249"/>
      <c r="AQ57" s="251"/>
      <c r="AR57" s="249"/>
    </row>
    <row r="58" spans="1:44" ht="334" customHeight="1">
      <c r="A58" s="52"/>
      <c r="B58" s="527"/>
      <c r="C58" s="528"/>
      <c r="D58" s="531" t="s">
        <v>259</v>
      </c>
      <c r="E58" s="530" t="s">
        <v>260</v>
      </c>
      <c r="F58" s="37" t="s">
        <v>261</v>
      </c>
      <c r="G58" s="38" t="s">
        <v>262</v>
      </c>
      <c r="H58" s="39" t="s">
        <v>126</v>
      </c>
      <c r="I58" s="39" t="s">
        <v>165</v>
      </c>
      <c r="J58" s="40" t="s">
        <v>1341</v>
      </c>
      <c r="K58" s="51" t="s">
        <v>1342</v>
      </c>
      <c r="L58" s="42" t="s">
        <v>1088</v>
      </c>
      <c r="M58" s="242" t="s">
        <v>1136</v>
      </c>
      <c r="N58" s="335" t="s">
        <v>1343</v>
      </c>
      <c r="O58" s="244" t="s">
        <v>115</v>
      </c>
      <c r="P58" s="45"/>
      <c r="Q58" s="245" t="s">
        <v>1344</v>
      </c>
      <c r="R58" s="293">
        <v>0.8</v>
      </c>
      <c r="S58" s="293">
        <v>1</v>
      </c>
      <c r="T58" s="74" t="s">
        <v>1345</v>
      </c>
      <c r="U58" s="304" t="s">
        <v>1346</v>
      </c>
      <c r="V58" s="304" t="s">
        <v>1347</v>
      </c>
      <c r="W58" s="248">
        <f t="shared" si="0"/>
        <v>855</v>
      </c>
      <c r="X58" s="245" t="s">
        <v>1144</v>
      </c>
      <c r="Y58" s="249" t="s">
        <v>1348</v>
      </c>
      <c r="Z58" s="245" t="s">
        <v>1254</v>
      </c>
      <c r="AA58" s="245"/>
      <c r="AB58" s="249"/>
      <c r="AC58" s="249"/>
      <c r="AD58" s="249"/>
      <c r="AE58" s="249"/>
      <c r="AF58" s="249"/>
      <c r="AG58" s="245"/>
      <c r="AH58" s="249"/>
      <c r="AI58" s="249"/>
      <c r="AJ58" s="249"/>
      <c r="AK58" s="245" t="s">
        <v>1349</v>
      </c>
      <c r="AL58" s="248">
        <v>550</v>
      </c>
      <c r="AM58" s="245" t="s">
        <v>1350</v>
      </c>
      <c r="AN58" s="251">
        <v>305</v>
      </c>
      <c r="AO58" s="251"/>
      <c r="AP58" s="249"/>
      <c r="AQ58" s="251"/>
      <c r="AR58" s="249"/>
    </row>
    <row r="59" spans="1:44" ht="170.5" customHeight="1">
      <c r="A59" s="52"/>
      <c r="B59" s="527"/>
      <c r="C59" s="528"/>
      <c r="D59" s="531"/>
      <c r="E59" s="530"/>
      <c r="F59" s="37" t="s">
        <v>263</v>
      </c>
      <c r="G59" s="38" t="s">
        <v>264</v>
      </c>
      <c r="H59" s="39" t="s">
        <v>126</v>
      </c>
      <c r="I59" s="39" t="s">
        <v>165</v>
      </c>
      <c r="J59" s="40" t="s">
        <v>1351</v>
      </c>
      <c r="K59" s="51" t="s">
        <v>1342</v>
      </c>
      <c r="L59" s="42" t="s">
        <v>1088</v>
      </c>
      <c r="M59" s="242" t="s">
        <v>1136</v>
      </c>
      <c r="N59" s="243" t="s">
        <v>1352</v>
      </c>
      <c r="O59" s="244" t="s">
        <v>115</v>
      </c>
      <c r="P59" s="45"/>
      <c r="Q59" s="245" t="s">
        <v>1353</v>
      </c>
      <c r="R59" s="293">
        <v>0.8</v>
      </c>
      <c r="S59" s="293">
        <v>1</v>
      </c>
      <c r="T59" s="74" t="s">
        <v>1354</v>
      </c>
      <c r="U59" s="247" t="s">
        <v>1355</v>
      </c>
      <c r="V59" s="247" t="s">
        <v>1356</v>
      </c>
      <c r="W59" s="248">
        <f t="shared" si="0"/>
        <v>40</v>
      </c>
      <c r="X59" s="245" t="s">
        <v>1144</v>
      </c>
      <c r="Y59" s="249" t="s">
        <v>1348</v>
      </c>
      <c r="Z59" s="245"/>
      <c r="AA59" s="245"/>
      <c r="AB59" s="249"/>
      <c r="AC59" s="249"/>
      <c r="AD59" s="249"/>
      <c r="AE59" s="249"/>
      <c r="AF59" s="249"/>
      <c r="AG59" s="245"/>
      <c r="AH59" s="249"/>
      <c r="AI59" s="249"/>
      <c r="AJ59" s="249"/>
      <c r="AK59" s="245" t="s">
        <v>1357</v>
      </c>
      <c r="AL59" s="245"/>
      <c r="AM59" s="245" t="s">
        <v>1358</v>
      </c>
      <c r="AN59" s="251">
        <v>40</v>
      </c>
      <c r="AO59" s="251"/>
      <c r="AP59" s="249"/>
      <c r="AQ59" s="251"/>
      <c r="AR59" s="249"/>
    </row>
    <row r="60" spans="1:44" ht="72.5">
      <c r="A60" s="56" t="s">
        <v>265</v>
      </c>
      <c r="B60" s="57">
        <v>6</v>
      </c>
      <c r="C60" s="9" t="s">
        <v>266</v>
      </c>
      <c r="D60" s="519" t="s">
        <v>267</v>
      </c>
      <c r="E60" s="520" t="s">
        <v>268</v>
      </c>
      <c r="F60" s="37" t="s">
        <v>269</v>
      </c>
      <c r="G60" s="58" t="s">
        <v>1359</v>
      </c>
      <c r="H60" s="39" t="s">
        <v>104</v>
      </c>
      <c r="I60" s="39" t="s">
        <v>114</v>
      </c>
      <c r="J60" s="40" t="str">
        <f>G60</f>
        <v>Identificar i prioritzar els elements clau i d'interès per la gestió de la biodiversitat i geodiversitat de Catalunya que es troben dins l'ENP (especies amenaçades, espècies exòtiques invasores,.. )</v>
      </c>
      <c r="K60" s="51"/>
      <c r="L60" s="59" t="s">
        <v>1088</v>
      </c>
      <c r="M60" s="242" t="s">
        <v>1089</v>
      </c>
      <c r="N60" s="336" t="s">
        <v>1360</v>
      </c>
      <c r="O60" s="259" t="s">
        <v>271</v>
      </c>
      <c r="P60" s="45" t="s">
        <v>272</v>
      </c>
      <c r="Q60" s="245" t="s">
        <v>1361</v>
      </c>
      <c r="R60" s="246">
        <v>1</v>
      </c>
      <c r="S60" s="246">
        <v>1</v>
      </c>
      <c r="T60" s="74"/>
      <c r="U60" s="247"/>
      <c r="V60" s="247"/>
      <c r="W60" s="248">
        <f t="shared" si="0"/>
        <v>140</v>
      </c>
      <c r="X60" s="245" t="s">
        <v>1095</v>
      </c>
      <c r="Y60" s="249" t="s">
        <v>1096</v>
      </c>
      <c r="Z60" s="245" t="s">
        <v>1318</v>
      </c>
      <c r="AA60" s="245"/>
      <c r="AB60" s="249"/>
      <c r="AC60" s="249">
        <v>30</v>
      </c>
      <c r="AD60" s="249">
        <v>30</v>
      </c>
      <c r="AE60" s="249"/>
      <c r="AF60" s="249"/>
      <c r="AG60" s="245"/>
      <c r="AH60" s="249"/>
      <c r="AI60" s="249">
        <v>100</v>
      </c>
      <c r="AJ60" s="249">
        <v>100</v>
      </c>
      <c r="AK60" s="245"/>
      <c r="AL60" s="245"/>
      <c r="AM60" s="245" t="s">
        <v>1362</v>
      </c>
      <c r="AN60" s="251">
        <v>10</v>
      </c>
      <c r="AO60" s="251"/>
      <c r="AP60" s="249"/>
      <c r="AQ60" s="251"/>
      <c r="AR60" s="249"/>
    </row>
    <row r="61" spans="1:44" ht="33.75" customHeight="1">
      <c r="A61" s="56"/>
      <c r="B61" s="337"/>
      <c r="C61" s="9"/>
      <c r="D61" s="519"/>
      <c r="E61" s="520"/>
      <c r="F61" s="37" t="s">
        <v>273</v>
      </c>
      <c r="G61" s="38" t="s">
        <v>274</v>
      </c>
      <c r="H61" s="39" t="s">
        <v>104</v>
      </c>
      <c r="I61" s="39" t="s">
        <v>114</v>
      </c>
      <c r="J61" s="40" t="str">
        <f t="shared" si="1"/>
        <v>Definir espais fràgils i zones d'especial atenció</v>
      </c>
      <c r="K61" s="51"/>
      <c r="L61" s="42" t="s">
        <v>1088</v>
      </c>
      <c r="M61" s="242" t="s">
        <v>1102</v>
      </c>
      <c r="N61" s="243" t="s">
        <v>1363</v>
      </c>
      <c r="O61" s="244"/>
      <c r="P61" s="45" t="s">
        <v>275</v>
      </c>
      <c r="Q61" s="245" t="s">
        <v>1364</v>
      </c>
      <c r="R61" s="246">
        <v>1</v>
      </c>
      <c r="S61" s="246">
        <v>1</v>
      </c>
      <c r="T61" s="245" t="s">
        <v>1364</v>
      </c>
      <c r="U61" s="247">
        <v>1</v>
      </c>
      <c r="V61" s="247">
        <v>1</v>
      </c>
      <c r="W61" s="248">
        <f t="shared" si="0"/>
        <v>100</v>
      </c>
      <c r="X61" s="245" t="s">
        <v>1095</v>
      </c>
      <c r="Y61" s="249" t="s">
        <v>1160</v>
      </c>
      <c r="Z61" s="245"/>
      <c r="AA61" s="245"/>
      <c r="AB61" s="249"/>
      <c r="AC61" s="249">
        <v>50</v>
      </c>
      <c r="AD61" s="249">
        <v>50</v>
      </c>
      <c r="AE61" s="249"/>
      <c r="AF61" s="249"/>
      <c r="AG61" s="245"/>
      <c r="AH61" s="249"/>
      <c r="AI61" s="249">
        <v>50</v>
      </c>
      <c r="AJ61" s="249">
        <v>50</v>
      </c>
      <c r="AK61" s="245"/>
      <c r="AL61" s="245"/>
      <c r="AM61" s="245"/>
      <c r="AN61" s="251"/>
      <c r="AO61" s="251"/>
      <c r="AP61" s="249"/>
      <c r="AQ61" s="251"/>
      <c r="AR61" s="249"/>
    </row>
    <row r="62" spans="1:44" ht="72" customHeight="1">
      <c r="A62" s="56"/>
      <c r="B62" s="337"/>
      <c r="C62" s="338"/>
      <c r="D62" s="519" t="s">
        <v>276</v>
      </c>
      <c r="E62" s="520" t="s">
        <v>277</v>
      </c>
      <c r="F62" s="37" t="s">
        <v>278</v>
      </c>
      <c r="G62" s="38" t="s">
        <v>279</v>
      </c>
      <c r="H62" s="39" t="s">
        <v>104</v>
      </c>
      <c r="I62" s="39" t="s">
        <v>114</v>
      </c>
      <c r="J62" s="40" t="str">
        <f t="shared" si="1"/>
        <v>Participar en l'elaboració de la cartografia que elabora la UIC</v>
      </c>
      <c r="K62" s="51"/>
      <c r="L62" s="42" t="s">
        <v>1088</v>
      </c>
      <c r="M62" s="242" t="s">
        <v>1136</v>
      </c>
      <c r="N62" s="243" t="s">
        <v>1365</v>
      </c>
      <c r="O62" s="244" t="s">
        <v>115</v>
      </c>
      <c r="P62" s="45" t="s">
        <v>280</v>
      </c>
      <c r="Q62" s="74" t="s">
        <v>1366</v>
      </c>
      <c r="R62" s="246">
        <v>1</v>
      </c>
      <c r="S62" s="246">
        <v>1</v>
      </c>
      <c r="T62" s="74" t="s">
        <v>1366</v>
      </c>
      <c r="U62" s="247">
        <v>1</v>
      </c>
      <c r="V62" s="247">
        <v>1</v>
      </c>
      <c r="W62" s="248">
        <f t="shared" si="0"/>
        <v>50</v>
      </c>
      <c r="X62" s="245" t="s">
        <v>1095</v>
      </c>
      <c r="Y62" s="249" t="s">
        <v>1096</v>
      </c>
      <c r="Z62" s="245" t="s">
        <v>1367</v>
      </c>
      <c r="AA62" s="245"/>
      <c r="AB62" s="249"/>
      <c r="AC62" s="249">
        <v>30</v>
      </c>
      <c r="AD62" s="249">
        <v>30</v>
      </c>
      <c r="AE62" s="249"/>
      <c r="AF62" s="249"/>
      <c r="AG62" s="245"/>
      <c r="AH62" s="249"/>
      <c r="AI62" s="249">
        <v>20</v>
      </c>
      <c r="AJ62" s="249">
        <v>20</v>
      </c>
      <c r="AK62" s="245"/>
      <c r="AL62" s="245"/>
      <c r="AM62" s="245"/>
      <c r="AN62" s="251"/>
      <c r="AO62" s="251"/>
      <c r="AP62" s="249"/>
      <c r="AQ62" s="251"/>
      <c r="AR62" s="249"/>
    </row>
    <row r="63" spans="1:44" ht="58">
      <c r="A63" s="339"/>
      <c r="B63" s="337"/>
      <c r="C63" s="338"/>
      <c r="D63" s="519"/>
      <c r="E63" s="520"/>
      <c r="F63" s="37" t="s">
        <v>281</v>
      </c>
      <c r="G63" s="38" t="s">
        <v>282</v>
      </c>
      <c r="H63" s="39" t="s">
        <v>104</v>
      </c>
      <c r="I63" s="39" t="s">
        <v>114</v>
      </c>
      <c r="J63" s="40" t="s">
        <v>1368</v>
      </c>
      <c r="K63" s="51"/>
      <c r="L63" s="42" t="s">
        <v>1088</v>
      </c>
      <c r="M63" s="242" t="s">
        <v>1136</v>
      </c>
      <c r="N63" s="301" t="s">
        <v>1369</v>
      </c>
      <c r="O63" s="244"/>
      <c r="P63" s="45"/>
      <c r="Q63" s="245"/>
      <c r="R63" s="246"/>
      <c r="S63" s="246"/>
      <c r="T63" s="74" t="s">
        <v>1370</v>
      </c>
      <c r="U63" s="304" t="s">
        <v>1371</v>
      </c>
      <c r="V63" s="304" t="s">
        <v>1372</v>
      </c>
      <c r="W63" s="248">
        <f t="shared" si="0"/>
        <v>195</v>
      </c>
      <c r="X63" s="245" t="s">
        <v>1095</v>
      </c>
      <c r="Y63" s="249" t="s">
        <v>1373</v>
      </c>
      <c r="Z63" s="245" t="s">
        <v>1374</v>
      </c>
      <c r="AA63" s="245"/>
      <c r="AB63" s="249"/>
      <c r="AC63" s="249" t="s">
        <v>1375</v>
      </c>
      <c r="AD63" s="249">
        <v>80</v>
      </c>
      <c r="AE63" s="249"/>
      <c r="AF63" s="249"/>
      <c r="AG63" s="245"/>
      <c r="AH63" s="249"/>
      <c r="AI63" s="249">
        <v>80</v>
      </c>
      <c r="AJ63" s="249">
        <v>80</v>
      </c>
      <c r="AK63" s="245" t="s">
        <v>1376</v>
      </c>
      <c r="AL63" s="245">
        <v>25</v>
      </c>
      <c r="AM63" s="245" t="s">
        <v>1176</v>
      </c>
      <c r="AN63" s="251">
        <v>10</v>
      </c>
      <c r="AO63" s="251"/>
      <c r="AP63" s="249"/>
      <c r="AQ63" s="251"/>
      <c r="AR63" s="249"/>
    </row>
    <row r="64" spans="1:44" ht="63" customHeight="1">
      <c r="A64" s="339"/>
      <c r="B64" s="337"/>
      <c r="C64" s="338"/>
      <c r="D64" s="519"/>
      <c r="E64" s="520"/>
      <c r="F64" s="37" t="s">
        <v>283</v>
      </c>
      <c r="G64" s="38" t="s">
        <v>284</v>
      </c>
      <c r="H64" s="39" t="s">
        <v>104</v>
      </c>
      <c r="I64" s="39" t="s">
        <v>114</v>
      </c>
      <c r="J64" s="40" t="str">
        <f t="shared" si="1"/>
        <v>Conèixer els usos i factors de canvi rellevants en l'evolució dels elements de conservació, i avaluar els efectes que generen en l’espai (pressions i amenaces)</v>
      </c>
      <c r="K64" s="51"/>
      <c r="L64" s="42" t="s">
        <v>1088</v>
      </c>
      <c r="M64" s="242" t="s">
        <v>1377</v>
      </c>
      <c r="N64" s="297" t="s">
        <v>1378</v>
      </c>
      <c r="O64" s="244" t="s">
        <v>115</v>
      </c>
      <c r="P64" s="45" t="s">
        <v>285</v>
      </c>
      <c r="Q64" s="245" t="s">
        <v>1379</v>
      </c>
      <c r="R64" s="246">
        <v>1</v>
      </c>
      <c r="S64" s="246">
        <v>5</v>
      </c>
      <c r="T64" s="74" t="s">
        <v>1380</v>
      </c>
      <c r="U64" s="304" t="s">
        <v>1381</v>
      </c>
      <c r="V64" s="304" t="s">
        <v>1382</v>
      </c>
      <c r="W64" s="248">
        <f t="shared" si="0"/>
        <v>70</v>
      </c>
      <c r="X64" s="245" t="s">
        <v>1095</v>
      </c>
      <c r="Y64" s="249" t="s">
        <v>1373</v>
      </c>
      <c r="Z64" s="245" t="s">
        <v>1109</v>
      </c>
      <c r="AA64" s="245"/>
      <c r="AB64" s="249"/>
      <c r="AC64" s="42" t="s">
        <v>1383</v>
      </c>
      <c r="AD64" s="249">
        <v>60</v>
      </c>
      <c r="AE64" s="249"/>
      <c r="AF64" s="249"/>
      <c r="AG64" s="245"/>
      <c r="AH64" s="249"/>
      <c r="AI64" s="249"/>
      <c r="AJ64" s="249"/>
      <c r="AK64" s="245"/>
      <c r="AL64" s="245"/>
      <c r="AM64" s="245" t="s">
        <v>1176</v>
      </c>
      <c r="AN64" s="251">
        <v>10</v>
      </c>
      <c r="AO64" s="251"/>
      <c r="AP64" s="249"/>
      <c r="AQ64" s="251"/>
      <c r="AR64" s="249"/>
    </row>
    <row r="65" spans="1:44" ht="72.5" hidden="1">
      <c r="A65" s="339"/>
      <c r="B65" s="337"/>
      <c r="C65" s="338"/>
      <c r="D65" s="519"/>
      <c r="E65" s="520"/>
      <c r="F65" s="37" t="s">
        <v>286</v>
      </c>
      <c r="G65" s="38" t="s">
        <v>287</v>
      </c>
      <c r="H65" s="39" t="s">
        <v>104</v>
      </c>
      <c r="I65" s="39" t="s">
        <v>165</v>
      </c>
      <c r="J65" s="40" t="s">
        <v>1130</v>
      </c>
      <c r="K65" s="51" t="s">
        <v>1162</v>
      </c>
      <c r="L65" s="42"/>
      <c r="M65" s="268"/>
      <c r="N65" s="287"/>
      <c r="O65" s="244"/>
      <c r="P65" s="45"/>
      <c r="Q65" s="245"/>
      <c r="R65" s="246"/>
      <c r="S65" s="246"/>
      <c r="T65" s="245"/>
      <c r="U65" s="247"/>
      <c r="V65" s="247"/>
      <c r="W65" s="248">
        <f t="shared" si="0"/>
        <v>0</v>
      </c>
      <c r="X65" s="245"/>
      <c r="Y65" s="249"/>
      <c r="Z65" s="245"/>
      <c r="AA65" s="245"/>
      <c r="AB65" s="249"/>
      <c r="AC65" s="249"/>
      <c r="AD65" s="249"/>
      <c r="AE65" s="249"/>
      <c r="AF65" s="249"/>
      <c r="AG65" s="245"/>
      <c r="AH65" s="249"/>
      <c r="AI65" s="249"/>
      <c r="AJ65" s="249"/>
      <c r="AK65" s="245"/>
      <c r="AL65" s="245"/>
      <c r="AM65" s="245"/>
      <c r="AN65" s="251"/>
      <c r="AO65" s="251"/>
      <c r="AP65" s="249"/>
      <c r="AQ65" s="251"/>
      <c r="AR65" s="249"/>
    </row>
    <row r="66" spans="1:44" ht="118.5" hidden="1" customHeight="1">
      <c r="A66" s="339"/>
      <c r="B66" s="337"/>
      <c r="C66" s="338"/>
      <c r="D66" s="519"/>
      <c r="E66" s="520"/>
      <c r="F66" s="37" t="s">
        <v>288</v>
      </c>
      <c r="G66" s="38" t="s">
        <v>289</v>
      </c>
      <c r="H66" s="39" t="s">
        <v>104</v>
      </c>
      <c r="I66" s="39" t="s">
        <v>165</v>
      </c>
      <c r="J66" s="257" t="s">
        <v>1130</v>
      </c>
      <c r="K66" s="51" t="s">
        <v>1384</v>
      </c>
      <c r="L66" s="42"/>
      <c r="M66" s="268"/>
      <c r="N66" s="287"/>
      <c r="O66" s="244"/>
      <c r="P66" s="45"/>
      <c r="Q66" s="245"/>
      <c r="R66" s="246"/>
      <c r="S66" s="246"/>
      <c r="T66" s="245"/>
      <c r="U66" s="247"/>
      <c r="V66" s="247"/>
      <c r="W66" s="248">
        <f t="shared" si="0"/>
        <v>0</v>
      </c>
      <c r="X66" s="245" t="s">
        <v>1095</v>
      </c>
      <c r="Y66" s="249" t="s">
        <v>1303</v>
      </c>
      <c r="Z66" s="245"/>
      <c r="AA66" s="245"/>
      <c r="AB66" s="249"/>
      <c r="AC66" s="249"/>
      <c r="AD66" s="249"/>
      <c r="AE66" s="249"/>
      <c r="AF66" s="249"/>
      <c r="AG66" s="245"/>
      <c r="AH66" s="249"/>
      <c r="AI66" s="249"/>
      <c r="AJ66" s="249"/>
      <c r="AK66" s="245"/>
      <c r="AL66" s="245"/>
      <c r="AM66" s="245"/>
      <c r="AN66" s="251"/>
      <c r="AO66" s="251"/>
      <c r="AP66" s="249"/>
      <c r="AQ66" s="251"/>
      <c r="AR66" s="249"/>
    </row>
    <row r="67" spans="1:44" ht="87">
      <c r="A67" s="339"/>
      <c r="B67" s="337"/>
      <c r="C67" s="338"/>
      <c r="D67" s="519"/>
      <c r="E67" s="520"/>
      <c r="F67" s="37" t="s">
        <v>290</v>
      </c>
      <c r="G67" s="38" t="s">
        <v>291</v>
      </c>
      <c r="H67" s="39" t="s">
        <v>104</v>
      </c>
      <c r="I67" s="39" t="s">
        <v>114</v>
      </c>
      <c r="J67" s="40" t="str">
        <f t="shared" si="1"/>
        <v>Conèixer la tendència d'espècies exòtiques invasores amb afectacions sobre ecosistemes o activitats econòmiques dins l'ENP</v>
      </c>
      <c r="K67" s="51"/>
      <c r="L67" s="42" t="s">
        <v>1088</v>
      </c>
      <c r="M67" s="340" t="s">
        <v>1102</v>
      </c>
      <c r="N67" s="269" t="s">
        <v>1385</v>
      </c>
      <c r="O67" s="244" t="s">
        <v>115</v>
      </c>
      <c r="P67" s="45"/>
      <c r="Q67" s="245" t="s">
        <v>1386</v>
      </c>
      <c r="R67" s="246">
        <v>20</v>
      </c>
      <c r="S67" s="246">
        <v>50</v>
      </c>
      <c r="T67" s="245" t="s">
        <v>1387</v>
      </c>
      <c r="U67" s="247" t="s">
        <v>1388</v>
      </c>
      <c r="V67" s="247" t="s">
        <v>1389</v>
      </c>
      <c r="W67" s="248">
        <f t="shared" si="0"/>
        <v>45</v>
      </c>
      <c r="X67" s="245" t="s">
        <v>1095</v>
      </c>
      <c r="Y67" s="249" t="s">
        <v>1096</v>
      </c>
      <c r="Z67" s="245" t="s">
        <v>1109</v>
      </c>
      <c r="AA67" s="245"/>
      <c r="AB67" s="249"/>
      <c r="AC67" s="249"/>
      <c r="AD67" s="249"/>
      <c r="AE67" s="249"/>
      <c r="AF67" s="249"/>
      <c r="AG67" s="245"/>
      <c r="AH67" s="249"/>
      <c r="AI67" s="249">
        <v>40</v>
      </c>
      <c r="AJ67" s="249">
        <v>40</v>
      </c>
      <c r="AK67" s="245"/>
      <c r="AL67" s="245"/>
      <c r="AM67" s="245" t="s">
        <v>1220</v>
      </c>
      <c r="AN67" s="251">
        <v>5</v>
      </c>
      <c r="AO67" s="251"/>
      <c r="AP67" s="249"/>
      <c r="AQ67" s="251"/>
      <c r="AR67" s="249"/>
    </row>
    <row r="68" spans="1:44" ht="29">
      <c r="A68" s="339"/>
      <c r="B68" s="337"/>
      <c r="C68" s="338"/>
      <c r="D68" s="519"/>
      <c r="E68" s="520"/>
      <c r="F68" s="37" t="s">
        <v>292</v>
      </c>
      <c r="G68" s="38" t="s">
        <v>293</v>
      </c>
      <c r="H68" s="39" t="s">
        <v>104</v>
      </c>
      <c r="I68" s="39" t="s">
        <v>165</v>
      </c>
      <c r="J68" s="40" t="str">
        <f t="shared" si="1"/>
        <v>Coneixer com millorar la connectivitat de forma coordinada amb altres ENP</v>
      </c>
      <c r="K68" s="51"/>
      <c r="L68" s="42" t="s">
        <v>1088</v>
      </c>
      <c r="M68" s="242" t="s">
        <v>1102</v>
      </c>
      <c r="N68" s="243" t="s">
        <v>1390</v>
      </c>
      <c r="O68" s="244" t="s">
        <v>115</v>
      </c>
      <c r="P68" s="45"/>
      <c r="Q68" s="245" t="s">
        <v>1364</v>
      </c>
      <c r="R68" s="246">
        <v>1</v>
      </c>
      <c r="S68" s="246">
        <v>1</v>
      </c>
      <c r="T68" s="245"/>
      <c r="U68" s="247"/>
      <c r="V68" s="247"/>
      <c r="W68" s="248">
        <f t="shared" si="0"/>
        <v>100</v>
      </c>
      <c r="X68" s="245" t="s">
        <v>1095</v>
      </c>
      <c r="Y68" s="249" t="s">
        <v>1096</v>
      </c>
      <c r="Z68" s="245"/>
      <c r="AA68" s="245"/>
      <c r="AB68" s="249"/>
      <c r="AC68" s="249"/>
      <c r="AD68" s="249"/>
      <c r="AE68" s="249"/>
      <c r="AF68" s="249"/>
      <c r="AG68" s="245"/>
      <c r="AH68" s="249"/>
      <c r="AI68" s="249">
        <v>100</v>
      </c>
      <c r="AJ68" s="249">
        <v>100</v>
      </c>
      <c r="AK68" s="245"/>
      <c r="AL68" s="245"/>
      <c r="AM68" s="245"/>
      <c r="AN68" s="251"/>
      <c r="AO68" s="251"/>
      <c r="AP68" s="249"/>
      <c r="AQ68" s="251"/>
      <c r="AR68" s="249"/>
    </row>
    <row r="69" spans="1:44" ht="72.5">
      <c r="A69" s="339"/>
      <c r="B69" s="337"/>
      <c r="C69" s="338"/>
      <c r="D69" s="519" t="s">
        <v>294</v>
      </c>
      <c r="E69" s="520" t="s">
        <v>295</v>
      </c>
      <c r="F69" s="37" t="s">
        <v>296</v>
      </c>
      <c r="G69" s="38" t="s">
        <v>297</v>
      </c>
      <c r="H69" s="39" t="s">
        <v>104</v>
      </c>
      <c r="I69" s="39" t="s">
        <v>114</v>
      </c>
      <c r="J69" s="40" t="str">
        <f t="shared" si="1"/>
        <v>Participar en la definició del sistema estàndard de seguiment de flora, fauna i hàbitats de la DG</v>
      </c>
      <c r="K69" s="51"/>
      <c r="L69" s="42" t="s">
        <v>1088</v>
      </c>
      <c r="M69" s="242" t="s">
        <v>1102</v>
      </c>
      <c r="N69" s="243" t="s">
        <v>1391</v>
      </c>
      <c r="O69" s="244" t="s">
        <v>115</v>
      </c>
      <c r="P69" s="45" t="s">
        <v>298</v>
      </c>
      <c r="Q69" s="245" t="s">
        <v>1392</v>
      </c>
      <c r="R69" s="246">
        <v>1</v>
      </c>
      <c r="S69" s="246">
        <v>2</v>
      </c>
      <c r="T69" s="245"/>
      <c r="U69" s="247"/>
      <c r="V69" s="247"/>
      <c r="W69" s="248">
        <f t="shared" ref="W69:W132" si="2">AB69+AD69+AF69+AH69+AJ69+AL69+AN69+AP69+AR69</f>
        <v>110</v>
      </c>
      <c r="X69" s="245" t="s">
        <v>1095</v>
      </c>
      <c r="Y69" s="249" t="s">
        <v>1096</v>
      </c>
      <c r="Z69" s="245" t="s">
        <v>1108</v>
      </c>
      <c r="AA69" s="245"/>
      <c r="AB69" s="249"/>
      <c r="AC69" s="249"/>
      <c r="AD69" s="249">
        <v>30</v>
      </c>
      <c r="AE69" s="249"/>
      <c r="AF69" s="249"/>
      <c r="AG69" s="245"/>
      <c r="AH69" s="249"/>
      <c r="AI69" s="249">
        <v>80</v>
      </c>
      <c r="AJ69" s="249">
        <v>80</v>
      </c>
      <c r="AK69" s="245"/>
      <c r="AL69" s="245"/>
      <c r="AM69" s="245"/>
      <c r="AN69" s="251"/>
      <c r="AO69" s="251"/>
      <c r="AP69" s="249"/>
      <c r="AQ69" s="251"/>
      <c r="AR69" s="249"/>
    </row>
    <row r="70" spans="1:44" ht="217.5">
      <c r="A70" s="339"/>
      <c r="B70" s="337"/>
      <c r="C70" s="338"/>
      <c r="D70" s="519"/>
      <c r="E70" s="520"/>
      <c r="F70" s="37" t="s">
        <v>299</v>
      </c>
      <c r="G70" s="38" t="s">
        <v>300</v>
      </c>
      <c r="H70" s="39" t="s">
        <v>104</v>
      </c>
      <c r="I70" s="39" t="s">
        <v>114</v>
      </c>
      <c r="J70" s="40" t="str">
        <f t="shared" si="1"/>
        <v>Adequar i executar el sistema de seguiment periòdic dels grups clau de l'ENP al sistema estàndard de seguiment</v>
      </c>
      <c r="K70" s="51"/>
      <c r="L70" s="42" t="s">
        <v>1088</v>
      </c>
      <c r="M70" s="242" t="s">
        <v>1102</v>
      </c>
      <c r="N70" s="341" t="s">
        <v>1393</v>
      </c>
      <c r="O70" s="244" t="s">
        <v>115</v>
      </c>
      <c r="P70" s="45" t="s">
        <v>301</v>
      </c>
      <c r="Q70" s="245" t="s">
        <v>1394</v>
      </c>
      <c r="R70" s="246">
        <v>5</v>
      </c>
      <c r="S70" s="246">
        <v>6</v>
      </c>
      <c r="T70" s="245"/>
      <c r="U70" s="247"/>
      <c r="V70" s="247"/>
      <c r="W70" s="248">
        <f t="shared" si="2"/>
        <v>590</v>
      </c>
      <c r="X70" s="245" t="s">
        <v>1095</v>
      </c>
      <c r="Y70" s="249" t="s">
        <v>1395</v>
      </c>
      <c r="Z70" s="245" t="s">
        <v>1109</v>
      </c>
      <c r="AA70" s="245"/>
      <c r="AB70" s="249"/>
      <c r="AC70" s="42" t="s">
        <v>1396</v>
      </c>
      <c r="AD70" s="249">
        <v>185</v>
      </c>
      <c r="AE70" s="249"/>
      <c r="AF70" s="249"/>
      <c r="AG70" s="245"/>
      <c r="AH70" s="249"/>
      <c r="AI70" s="245" t="s">
        <v>1397</v>
      </c>
      <c r="AJ70" s="249">
        <v>365</v>
      </c>
      <c r="AK70" s="245"/>
      <c r="AL70" s="245"/>
      <c r="AM70" s="245" t="s">
        <v>1398</v>
      </c>
      <c r="AN70" s="251">
        <v>40</v>
      </c>
      <c r="AO70" s="251"/>
      <c r="AP70" s="249"/>
      <c r="AQ70" s="251"/>
      <c r="AR70" s="249"/>
    </row>
    <row r="71" spans="1:44" ht="43.5">
      <c r="A71" s="339"/>
      <c r="B71" s="337"/>
      <c r="C71" s="338"/>
      <c r="D71" s="519"/>
      <c r="E71" s="520"/>
      <c r="F71" s="37" t="s">
        <v>302</v>
      </c>
      <c r="G71" s="38" t="s">
        <v>303</v>
      </c>
      <c r="H71" s="39" t="s">
        <v>104</v>
      </c>
      <c r="I71" s="39" t="s">
        <v>114</v>
      </c>
      <c r="J71" s="40" t="str">
        <f t="shared" si="1"/>
        <v xml:space="preserve">Mantenir una base de dades de seguiment de patrimoni natural de l'ENP actualitzada i ordenada </v>
      </c>
      <c r="K71" s="51"/>
      <c r="L71" s="42" t="s">
        <v>1088</v>
      </c>
      <c r="M71" s="242" t="s">
        <v>1136</v>
      </c>
      <c r="N71" s="287" t="s">
        <v>1399</v>
      </c>
      <c r="O71" s="244"/>
      <c r="P71" s="45"/>
      <c r="Q71" s="245" t="s">
        <v>1400</v>
      </c>
      <c r="R71" s="246">
        <v>1</v>
      </c>
      <c r="S71" s="246">
        <v>1</v>
      </c>
      <c r="T71" s="245"/>
      <c r="U71" s="247"/>
      <c r="V71" s="247"/>
      <c r="W71" s="248">
        <f t="shared" si="2"/>
        <v>40</v>
      </c>
      <c r="X71" s="245" t="s">
        <v>1095</v>
      </c>
      <c r="Y71" s="249" t="s">
        <v>1096</v>
      </c>
      <c r="Z71" s="245" t="s">
        <v>1108</v>
      </c>
      <c r="AA71" s="245"/>
      <c r="AB71" s="249"/>
      <c r="AC71" s="249">
        <v>20</v>
      </c>
      <c r="AD71" s="249">
        <v>20</v>
      </c>
      <c r="AE71" s="249"/>
      <c r="AF71" s="249"/>
      <c r="AG71" s="245"/>
      <c r="AH71" s="249"/>
      <c r="AI71" s="249">
        <v>20</v>
      </c>
      <c r="AJ71" s="249">
        <v>20</v>
      </c>
      <c r="AK71" s="245"/>
      <c r="AL71" s="245"/>
      <c r="AM71" s="245"/>
      <c r="AN71" s="251"/>
      <c r="AO71" s="251"/>
      <c r="AP71" s="249"/>
      <c r="AQ71" s="251"/>
      <c r="AR71" s="249"/>
    </row>
    <row r="72" spans="1:44" ht="58" hidden="1">
      <c r="A72" s="339"/>
      <c r="B72" s="337"/>
      <c r="C72" s="338"/>
      <c r="D72" s="519"/>
      <c r="E72" s="520"/>
      <c r="F72" s="37" t="s">
        <v>304</v>
      </c>
      <c r="G72" s="38" t="s">
        <v>1401</v>
      </c>
      <c r="H72" s="39" t="s">
        <v>104</v>
      </c>
      <c r="I72" s="39" t="s">
        <v>114</v>
      </c>
      <c r="J72" s="317" t="s">
        <v>1402</v>
      </c>
      <c r="K72" s="318" t="s">
        <v>1264</v>
      </c>
      <c r="L72" s="46" t="s">
        <v>1088</v>
      </c>
      <c r="M72" s="242" t="s">
        <v>1136</v>
      </c>
      <c r="N72" s="243" t="s">
        <v>1403</v>
      </c>
      <c r="O72" s="244"/>
      <c r="P72" s="45" t="s">
        <v>306</v>
      </c>
      <c r="Q72" s="245" t="s">
        <v>1404</v>
      </c>
      <c r="R72" s="293">
        <v>1</v>
      </c>
      <c r="S72" s="293">
        <v>1</v>
      </c>
      <c r="T72" s="245"/>
      <c r="U72" s="247"/>
      <c r="V72" s="247"/>
      <c r="W72" s="248" t="e">
        <f t="shared" si="2"/>
        <v>#VALUE!</v>
      </c>
      <c r="X72" s="245" t="s">
        <v>1095</v>
      </c>
      <c r="Y72" s="249" t="s">
        <v>1405</v>
      </c>
      <c r="Z72" s="245" t="s">
        <v>1406</v>
      </c>
      <c r="AA72" s="245"/>
      <c r="AB72" s="249"/>
      <c r="AC72" s="249">
        <v>40</v>
      </c>
      <c r="AD72" s="249">
        <v>40</v>
      </c>
      <c r="AE72" s="249"/>
      <c r="AF72" s="249"/>
      <c r="AG72" s="245"/>
      <c r="AH72" s="249"/>
      <c r="AI72" s="249">
        <v>40</v>
      </c>
      <c r="AJ72" s="249">
        <v>40</v>
      </c>
      <c r="AK72" s="245"/>
      <c r="AL72" s="245" t="s">
        <v>1407</v>
      </c>
      <c r="AM72" s="245" t="s">
        <v>1139</v>
      </c>
      <c r="AN72" s="251">
        <v>40</v>
      </c>
      <c r="AO72" s="251"/>
      <c r="AP72" s="249"/>
      <c r="AQ72" s="251"/>
      <c r="AR72" s="249"/>
    </row>
    <row r="73" spans="1:44" ht="58">
      <c r="A73" s="339"/>
      <c r="B73" s="337"/>
      <c r="C73" s="338"/>
      <c r="D73" s="519" t="s">
        <v>307</v>
      </c>
      <c r="E73" s="520" t="s">
        <v>308</v>
      </c>
      <c r="F73" s="37" t="s">
        <v>309</v>
      </c>
      <c r="G73" s="38" t="s">
        <v>310</v>
      </c>
      <c r="H73" s="39" t="s">
        <v>104</v>
      </c>
      <c r="I73" s="39" t="s">
        <v>165</v>
      </c>
      <c r="J73" s="40" t="s">
        <v>1408</v>
      </c>
      <c r="K73" s="51"/>
      <c r="L73" s="42" t="s">
        <v>1088</v>
      </c>
      <c r="M73" s="242" t="s">
        <v>1136</v>
      </c>
      <c r="N73" s="243" t="s">
        <v>1409</v>
      </c>
      <c r="O73" s="342" t="s">
        <v>1410</v>
      </c>
      <c r="P73" s="45" t="s">
        <v>311</v>
      </c>
      <c r="Q73" s="245" t="s">
        <v>1410</v>
      </c>
      <c r="R73" s="246">
        <v>5</v>
      </c>
      <c r="S73" s="246">
        <v>6</v>
      </c>
      <c r="T73" s="245"/>
      <c r="U73" s="247"/>
      <c r="V73" s="247"/>
      <c r="W73" s="248">
        <f t="shared" si="2"/>
        <v>180</v>
      </c>
      <c r="X73" s="245" t="s">
        <v>1205</v>
      </c>
      <c r="Y73" s="249" t="s">
        <v>1160</v>
      </c>
      <c r="Z73" s="245" t="s">
        <v>1109</v>
      </c>
      <c r="AA73" s="245"/>
      <c r="AB73" s="249"/>
      <c r="AC73" s="249"/>
      <c r="AD73" s="249">
        <v>80</v>
      </c>
      <c r="AE73" s="249"/>
      <c r="AF73" s="249"/>
      <c r="AG73" s="245"/>
      <c r="AH73" s="249"/>
      <c r="AI73" s="249">
        <v>80</v>
      </c>
      <c r="AJ73" s="249">
        <v>80</v>
      </c>
      <c r="AK73" s="245"/>
      <c r="AL73" s="245"/>
      <c r="AM73" s="245" t="s">
        <v>1235</v>
      </c>
      <c r="AN73" s="251">
        <v>20</v>
      </c>
      <c r="AO73" s="251"/>
      <c r="AP73" s="249"/>
      <c r="AQ73" s="251"/>
      <c r="AR73" s="249"/>
    </row>
    <row r="74" spans="1:44" ht="58">
      <c r="A74" s="339"/>
      <c r="B74" s="337"/>
      <c r="C74" s="338"/>
      <c r="D74" s="519"/>
      <c r="E74" s="520"/>
      <c r="F74" s="37" t="s">
        <v>312</v>
      </c>
      <c r="G74" s="38" t="s">
        <v>313</v>
      </c>
      <c r="H74" s="39" t="s">
        <v>104</v>
      </c>
      <c r="I74" s="39" t="s">
        <v>165</v>
      </c>
      <c r="J74" s="40" t="s">
        <v>1411</v>
      </c>
      <c r="K74" s="51" t="s">
        <v>1412</v>
      </c>
      <c r="L74" s="42" t="s">
        <v>1088</v>
      </c>
      <c r="M74" s="284" t="s">
        <v>1136</v>
      </c>
      <c r="N74" s="243" t="s">
        <v>1413</v>
      </c>
      <c r="O74" s="244"/>
      <c r="P74" s="45" t="s">
        <v>314</v>
      </c>
      <c r="Q74" s="245" t="s">
        <v>1414</v>
      </c>
      <c r="R74" s="246">
        <v>4</v>
      </c>
      <c r="S74" s="246">
        <v>8</v>
      </c>
      <c r="T74" s="245"/>
      <c r="U74" s="247"/>
      <c r="V74" s="247"/>
      <c r="W74" s="248">
        <f t="shared" si="2"/>
        <v>0</v>
      </c>
      <c r="X74" s="245"/>
      <c r="Y74" s="249" t="s">
        <v>1096</v>
      </c>
      <c r="Z74" s="245" t="s">
        <v>1108</v>
      </c>
      <c r="AA74" s="245"/>
      <c r="AB74" s="249"/>
      <c r="AC74" s="249"/>
      <c r="AD74" s="249"/>
      <c r="AE74" s="249"/>
      <c r="AF74" s="249"/>
      <c r="AG74" s="245"/>
      <c r="AH74" s="249"/>
      <c r="AI74" s="249"/>
      <c r="AJ74" s="249"/>
      <c r="AK74" s="245"/>
      <c r="AL74" s="245"/>
      <c r="AM74" s="245"/>
      <c r="AN74" s="251"/>
      <c r="AO74" s="251"/>
      <c r="AP74" s="249"/>
      <c r="AQ74" s="251"/>
      <c r="AR74" s="249"/>
    </row>
    <row r="75" spans="1:44" ht="72.5" hidden="1">
      <c r="A75" s="339"/>
      <c r="B75" s="337"/>
      <c r="C75" s="338"/>
      <c r="D75" s="519"/>
      <c r="E75" s="520"/>
      <c r="F75" s="37" t="s">
        <v>315</v>
      </c>
      <c r="G75" s="38" t="s">
        <v>316</v>
      </c>
      <c r="H75" s="39" t="s">
        <v>104</v>
      </c>
      <c r="I75" s="39" t="s">
        <v>165</v>
      </c>
      <c r="J75" s="40" t="s">
        <v>1130</v>
      </c>
      <c r="K75" s="51" t="s">
        <v>1415</v>
      </c>
      <c r="L75" s="42" t="s">
        <v>674</v>
      </c>
      <c r="M75" s="268"/>
      <c r="N75" s="287"/>
      <c r="O75" s="244"/>
      <c r="P75" s="45"/>
      <c r="Q75" s="245"/>
      <c r="R75" s="246"/>
      <c r="S75" s="246"/>
      <c r="T75" s="245"/>
      <c r="U75" s="247"/>
      <c r="V75" s="247"/>
      <c r="W75" s="248">
        <f t="shared" si="2"/>
        <v>0</v>
      </c>
      <c r="X75" s="245"/>
      <c r="Y75" s="249"/>
      <c r="Z75" s="245"/>
      <c r="AA75" s="245"/>
      <c r="AB75" s="249"/>
      <c r="AC75" s="249"/>
      <c r="AD75" s="249"/>
      <c r="AE75" s="249"/>
      <c r="AF75" s="249"/>
      <c r="AG75" s="245"/>
      <c r="AH75" s="249"/>
      <c r="AI75" s="249"/>
      <c r="AJ75" s="249"/>
      <c r="AK75" s="245"/>
      <c r="AL75" s="245"/>
      <c r="AM75" s="245"/>
      <c r="AN75" s="251"/>
      <c r="AO75" s="251"/>
      <c r="AP75" s="249"/>
      <c r="AQ75" s="251"/>
      <c r="AR75" s="249"/>
    </row>
    <row r="76" spans="1:44" ht="72.5" hidden="1">
      <c r="A76" s="339"/>
      <c r="B76" s="337"/>
      <c r="C76" s="338"/>
      <c r="D76" s="519"/>
      <c r="E76" s="520"/>
      <c r="F76" s="37" t="s">
        <v>317</v>
      </c>
      <c r="G76" s="38" t="s">
        <v>318</v>
      </c>
      <c r="H76" s="39" t="s">
        <v>104</v>
      </c>
      <c r="I76" s="39" t="s">
        <v>165</v>
      </c>
      <c r="J76" s="40" t="s">
        <v>1130</v>
      </c>
      <c r="K76" s="51" t="s">
        <v>1416</v>
      </c>
      <c r="L76" s="42" t="s">
        <v>674</v>
      </c>
      <c r="M76" s="242"/>
      <c r="N76" s="287"/>
      <c r="O76" s="244"/>
      <c r="P76" s="45" t="s">
        <v>319</v>
      </c>
      <c r="Q76" s="245"/>
      <c r="R76" s="246"/>
      <c r="S76" s="246"/>
      <c r="T76" s="245"/>
      <c r="U76" s="247"/>
      <c r="V76" s="247"/>
      <c r="W76" s="248">
        <f t="shared" si="2"/>
        <v>0</v>
      </c>
      <c r="X76" s="245"/>
      <c r="Y76" s="249"/>
      <c r="Z76" s="245"/>
      <c r="AA76" s="245"/>
      <c r="AB76" s="249"/>
      <c r="AC76" s="249"/>
      <c r="AD76" s="249"/>
      <c r="AE76" s="249"/>
      <c r="AF76" s="249"/>
      <c r="AG76" s="245"/>
      <c r="AH76" s="249"/>
      <c r="AI76" s="249"/>
      <c r="AJ76" s="249"/>
      <c r="AK76" s="245"/>
      <c r="AL76" s="245"/>
      <c r="AM76" s="245"/>
      <c r="AN76" s="251"/>
      <c r="AO76" s="251"/>
      <c r="AP76" s="249"/>
      <c r="AQ76" s="251"/>
      <c r="AR76" s="249"/>
    </row>
    <row r="77" spans="1:44" ht="29">
      <c r="A77" s="339"/>
      <c r="B77" s="337"/>
      <c r="C77" s="338"/>
      <c r="D77" s="519"/>
      <c r="E77" s="520"/>
      <c r="F77" s="37" t="s">
        <v>320</v>
      </c>
      <c r="G77" s="38" t="s">
        <v>321</v>
      </c>
      <c r="H77" s="39" t="s">
        <v>104</v>
      </c>
      <c r="I77" s="39" t="s">
        <v>165</v>
      </c>
      <c r="J77" s="40" t="str">
        <f t="shared" ref="J77:J136" si="3">G77</f>
        <v>Posar a disposició de la recerca, equipaments i serveis de l'ENP</v>
      </c>
      <c r="K77" s="51"/>
      <c r="L77" s="42" t="s">
        <v>1088</v>
      </c>
      <c r="M77" s="242" t="s">
        <v>1136</v>
      </c>
      <c r="N77" s="343" t="s">
        <v>1417</v>
      </c>
      <c r="O77" s="244" t="s">
        <v>115</v>
      </c>
      <c r="P77" s="45"/>
      <c r="Q77" s="245" t="s">
        <v>1418</v>
      </c>
      <c r="R77" s="246">
        <v>4</v>
      </c>
      <c r="S77" s="246">
        <v>4</v>
      </c>
      <c r="T77" s="245"/>
      <c r="U77" s="247"/>
      <c r="V77" s="247"/>
      <c r="W77" s="248">
        <f t="shared" si="2"/>
        <v>20</v>
      </c>
      <c r="X77" s="245" t="s">
        <v>1419</v>
      </c>
      <c r="Y77" s="249" t="s">
        <v>1109</v>
      </c>
      <c r="Z77" s="245"/>
      <c r="AA77" s="245"/>
      <c r="AB77" s="249"/>
      <c r="AC77" s="249"/>
      <c r="AD77" s="249"/>
      <c r="AE77" s="249"/>
      <c r="AF77" s="249"/>
      <c r="AG77" s="245"/>
      <c r="AH77" s="249"/>
      <c r="AI77" s="249"/>
      <c r="AJ77" s="249"/>
      <c r="AK77" s="245"/>
      <c r="AL77" s="245"/>
      <c r="AM77" s="245">
        <v>20</v>
      </c>
      <c r="AN77" s="251">
        <v>20</v>
      </c>
      <c r="AO77" s="251"/>
      <c r="AP77" s="249"/>
      <c r="AQ77" s="251"/>
      <c r="AR77" s="249"/>
    </row>
    <row r="78" spans="1:44" ht="43.5" hidden="1">
      <c r="A78" s="339"/>
      <c r="B78" s="337"/>
      <c r="C78" s="338"/>
      <c r="D78" s="519"/>
      <c r="E78" s="520"/>
      <c r="F78" s="37" t="s">
        <v>322</v>
      </c>
      <c r="G78" s="38" t="s">
        <v>323</v>
      </c>
      <c r="H78" s="39" t="s">
        <v>104</v>
      </c>
      <c r="I78" s="39" t="s">
        <v>165</v>
      </c>
      <c r="J78" s="40" t="s">
        <v>1130</v>
      </c>
      <c r="K78" s="51"/>
      <c r="L78" s="42"/>
      <c r="M78" s="268"/>
      <c r="N78" s="287"/>
      <c r="O78" s="244"/>
      <c r="P78" s="45" t="s">
        <v>324</v>
      </c>
      <c r="Q78" s="245"/>
      <c r="R78" s="246"/>
      <c r="S78" s="246"/>
      <c r="T78" s="245"/>
      <c r="U78" s="247"/>
      <c r="V78" s="247"/>
      <c r="W78" s="248">
        <f t="shared" si="2"/>
        <v>0</v>
      </c>
      <c r="X78" s="245"/>
      <c r="Y78" s="249"/>
      <c r="Z78" s="245"/>
      <c r="AA78" s="245"/>
      <c r="AB78" s="249"/>
      <c r="AC78" s="249"/>
      <c r="AD78" s="249"/>
      <c r="AE78" s="249"/>
      <c r="AF78" s="249"/>
      <c r="AI78" s="249"/>
      <c r="AJ78" s="249"/>
      <c r="AK78" s="245"/>
      <c r="AL78" s="245"/>
      <c r="AM78" s="245"/>
      <c r="AN78" s="251"/>
      <c r="AO78" s="251"/>
      <c r="AP78" s="249"/>
      <c r="AQ78" s="251"/>
      <c r="AR78" s="249"/>
    </row>
    <row r="79" spans="1:44" ht="43.5">
      <c r="A79" s="339"/>
      <c r="B79" s="337"/>
      <c r="C79" s="338"/>
      <c r="D79" s="519" t="s">
        <v>325</v>
      </c>
      <c r="E79" s="520" t="s">
        <v>326</v>
      </c>
      <c r="F79" s="37" t="s">
        <v>327</v>
      </c>
      <c r="G79" s="38" t="s">
        <v>328</v>
      </c>
      <c r="H79" s="39" t="s">
        <v>104</v>
      </c>
      <c r="I79" s="39" t="s">
        <v>114</v>
      </c>
      <c r="J79" s="40" t="str">
        <f>G79</f>
        <v>Participar en la definició del sistema estándard de seguiment de l'ús públic amb el SENP</v>
      </c>
      <c r="K79" s="51"/>
      <c r="L79" s="42" t="s">
        <v>1088</v>
      </c>
      <c r="M79" s="284" t="s">
        <v>1102</v>
      </c>
      <c r="N79" s="243" t="s">
        <v>1420</v>
      </c>
      <c r="O79" s="244"/>
      <c r="P79" s="45" t="s">
        <v>329</v>
      </c>
      <c r="Q79" s="245" t="s">
        <v>1421</v>
      </c>
      <c r="R79" s="293">
        <v>12</v>
      </c>
      <c r="S79" s="293">
        <v>20</v>
      </c>
      <c r="T79" s="245"/>
      <c r="U79" s="247"/>
      <c r="V79" s="247"/>
      <c r="W79" s="248">
        <f t="shared" si="2"/>
        <v>100</v>
      </c>
      <c r="X79" s="245" t="s">
        <v>1205</v>
      </c>
      <c r="Y79" s="249" t="s">
        <v>1254</v>
      </c>
      <c r="Z79" s="245" t="s">
        <v>1130</v>
      </c>
      <c r="AA79" s="245"/>
      <c r="AB79" s="249"/>
      <c r="AC79" s="249"/>
      <c r="AD79" s="249"/>
      <c r="AE79" s="249"/>
      <c r="AF79" s="249"/>
      <c r="AG79" s="245"/>
      <c r="AH79" s="249"/>
      <c r="AI79" s="249"/>
      <c r="AJ79" s="249"/>
      <c r="AK79" s="245"/>
      <c r="AL79" s="245"/>
      <c r="AM79" s="245"/>
      <c r="AN79" s="251"/>
      <c r="AO79" s="251"/>
      <c r="AP79" s="249"/>
      <c r="AQ79" s="330">
        <v>1100</v>
      </c>
      <c r="AR79" s="249">
        <v>100</v>
      </c>
    </row>
    <row r="80" spans="1:44" ht="58">
      <c r="A80" s="339"/>
      <c r="B80" s="337"/>
      <c r="C80" s="338"/>
      <c r="D80" s="519"/>
      <c r="E80" s="520"/>
      <c r="F80" s="37" t="s">
        <v>330</v>
      </c>
      <c r="G80" s="38" t="s">
        <v>331</v>
      </c>
      <c r="H80" s="39" t="s">
        <v>104</v>
      </c>
      <c r="I80" s="39" t="s">
        <v>114</v>
      </c>
      <c r="J80" s="40" t="str">
        <f t="shared" si="3"/>
        <v xml:space="preserve">Disposar de dades de freqüentació i perfil d'usuari en l'ENP i en especial en equipaments i en zones d'alta freqüentació segons el model de DG </v>
      </c>
      <c r="K80" s="51"/>
      <c r="L80" s="42" t="s">
        <v>1088</v>
      </c>
      <c r="M80" s="242" t="s">
        <v>1089</v>
      </c>
      <c r="N80" s="243" t="s">
        <v>1422</v>
      </c>
      <c r="O80" s="244"/>
      <c r="P80" s="45" t="s">
        <v>332</v>
      </c>
      <c r="Q80" s="245" t="s">
        <v>1423</v>
      </c>
      <c r="R80" s="246">
        <v>10</v>
      </c>
      <c r="S80" s="246">
        <v>10</v>
      </c>
      <c r="T80" s="74" t="s">
        <v>1424</v>
      </c>
      <c r="U80" s="304" t="s">
        <v>1425</v>
      </c>
      <c r="V80" s="247" t="s">
        <v>1426</v>
      </c>
      <c r="W80" s="248">
        <f t="shared" si="2"/>
        <v>960</v>
      </c>
      <c r="X80" s="245" t="s">
        <v>1205</v>
      </c>
      <c r="Y80" s="249" t="s">
        <v>1427</v>
      </c>
      <c r="Z80" s="245" t="s">
        <v>1428</v>
      </c>
      <c r="AA80" s="245"/>
      <c r="AB80" s="249"/>
      <c r="AC80" s="249"/>
      <c r="AD80" s="249"/>
      <c r="AE80" s="249"/>
      <c r="AF80" s="249"/>
      <c r="AG80" s="245" t="s">
        <v>1429</v>
      </c>
      <c r="AH80" s="249">
        <v>480</v>
      </c>
      <c r="AI80" s="249"/>
      <c r="AJ80" s="249"/>
      <c r="AK80" s="245" t="s">
        <v>1430</v>
      </c>
      <c r="AL80" s="245">
        <v>320</v>
      </c>
      <c r="AM80" s="245" t="s">
        <v>1431</v>
      </c>
      <c r="AN80" s="251">
        <v>120</v>
      </c>
      <c r="AO80" s="251"/>
      <c r="AP80" s="249"/>
      <c r="AQ80" s="251" t="s">
        <v>1139</v>
      </c>
      <c r="AR80" s="249">
        <v>40</v>
      </c>
    </row>
    <row r="81" spans="1:44" ht="29" hidden="1">
      <c r="A81" s="339"/>
      <c r="B81" s="337"/>
      <c r="C81" s="338"/>
      <c r="D81" s="519"/>
      <c r="E81" s="520"/>
      <c r="F81" s="37" t="s">
        <v>333</v>
      </c>
      <c r="G81" s="38" t="s">
        <v>334</v>
      </c>
      <c r="H81" s="39" t="s">
        <v>104</v>
      </c>
      <c r="I81" s="39" t="s">
        <v>114</v>
      </c>
      <c r="J81" s="40" t="s">
        <v>1130</v>
      </c>
      <c r="K81" s="51" t="s">
        <v>1432</v>
      </c>
      <c r="L81" s="42"/>
      <c r="M81" s="268"/>
      <c r="N81" s="287"/>
      <c r="O81" s="244"/>
      <c r="P81" s="45"/>
      <c r="Q81" s="245"/>
      <c r="R81" s="246"/>
      <c r="S81" s="246"/>
      <c r="T81" s="245"/>
      <c r="U81" s="247"/>
      <c r="V81" s="247"/>
      <c r="W81" s="248">
        <f t="shared" si="2"/>
        <v>0</v>
      </c>
      <c r="X81" s="245"/>
      <c r="Y81" s="249"/>
      <c r="Z81" s="245"/>
      <c r="AA81" s="245"/>
      <c r="AB81" s="249"/>
      <c r="AC81" s="249"/>
      <c r="AD81" s="249"/>
      <c r="AE81" s="249"/>
      <c r="AF81" s="249"/>
      <c r="AG81" s="245"/>
      <c r="AH81" s="249"/>
      <c r="AI81" s="249"/>
      <c r="AJ81" s="249"/>
      <c r="AK81" s="245"/>
      <c r="AL81" s="245"/>
      <c r="AM81" s="245"/>
      <c r="AN81" s="251"/>
      <c r="AO81" s="251"/>
      <c r="AP81" s="249"/>
      <c r="AQ81" s="251"/>
      <c r="AR81" s="249"/>
    </row>
    <row r="82" spans="1:44" ht="29" hidden="1">
      <c r="A82" s="339"/>
      <c r="B82" s="337"/>
      <c r="C82" s="338"/>
      <c r="D82" s="519"/>
      <c r="E82" s="520"/>
      <c r="F82" s="37" t="s">
        <v>335</v>
      </c>
      <c r="G82" s="38" t="s">
        <v>336</v>
      </c>
      <c r="H82" s="39"/>
      <c r="I82" s="39"/>
      <c r="J82" s="257" t="s">
        <v>1130</v>
      </c>
      <c r="K82" s="51" t="s">
        <v>1432</v>
      </c>
      <c r="L82" s="42" t="s">
        <v>674</v>
      </c>
      <c r="M82" s="242"/>
      <c r="N82" s="344"/>
      <c r="O82" s="244"/>
      <c r="P82" s="45"/>
      <c r="Q82" s="245"/>
      <c r="R82" s="246"/>
      <c r="S82" s="246"/>
      <c r="T82" s="245"/>
      <c r="U82" s="247"/>
      <c r="V82" s="247"/>
      <c r="W82" s="248">
        <f t="shared" si="2"/>
        <v>0</v>
      </c>
      <c r="X82" s="245" t="s">
        <v>1205</v>
      </c>
      <c r="Y82" s="249"/>
      <c r="Z82" s="245"/>
      <c r="AA82" s="245"/>
      <c r="AB82" s="249"/>
      <c r="AC82" s="249"/>
      <c r="AD82" s="249"/>
      <c r="AE82" s="249"/>
      <c r="AF82" s="249"/>
      <c r="AG82" s="245"/>
      <c r="AH82" s="249"/>
      <c r="AI82" s="249"/>
      <c r="AJ82" s="249"/>
      <c r="AK82" s="245"/>
      <c r="AL82" s="245"/>
      <c r="AM82" s="245"/>
      <c r="AN82" s="251"/>
      <c r="AO82" s="251"/>
      <c r="AP82" s="249"/>
      <c r="AQ82" s="251"/>
      <c r="AR82" s="249"/>
    </row>
    <row r="83" spans="1:44" ht="43.5" hidden="1">
      <c r="A83" s="339"/>
      <c r="B83" s="337"/>
      <c r="C83" s="338"/>
      <c r="D83" s="519"/>
      <c r="E83" s="520"/>
      <c r="F83" s="37" t="s">
        <v>337</v>
      </c>
      <c r="G83" s="38" t="s">
        <v>1433</v>
      </c>
      <c r="H83" s="39" t="s">
        <v>104</v>
      </c>
      <c r="I83" s="39" t="s">
        <v>114</v>
      </c>
      <c r="J83" s="40" t="s">
        <v>1130</v>
      </c>
      <c r="K83" s="51" t="s">
        <v>1434</v>
      </c>
      <c r="L83" s="267"/>
      <c r="M83" s="268" t="s">
        <v>1133</v>
      </c>
      <c r="N83" s="287"/>
      <c r="O83" s="244"/>
      <c r="P83" s="45" t="s">
        <v>339</v>
      </c>
      <c r="Q83" s="245"/>
      <c r="R83" s="246"/>
      <c r="S83" s="246"/>
      <c r="T83" s="245"/>
      <c r="U83" s="247"/>
      <c r="V83" s="247"/>
      <c r="W83" s="248">
        <f t="shared" si="2"/>
        <v>0</v>
      </c>
      <c r="X83" s="245" t="s">
        <v>1205</v>
      </c>
      <c r="Y83" s="249"/>
      <c r="Z83" s="245"/>
      <c r="AA83" s="245"/>
      <c r="AB83" s="249"/>
      <c r="AC83" s="249"/>
      <c r="AD83" s="249"/>
      <c r="AE83" s="249"/>
      <c r="AF83" s="249"/>
      <c r="AG83" s="245"/>
      <c r="AH83" s="249"/>
      <c r="AI83" s="249"/>
      <c r="AJ83" s="249"/>
      <c r="AK83" s="245"/>
      <c r="AL83" s="245"/>
      <c r="AM83" s="245"/>
      <c r="AN83" s="251"/>
      <c r="AO83" s="251"/>
      <c r="AP83" s="249"/>
      <c r="AQ83" s="251"/>
      <c r="AR83" s="249"/>
    </row>
    <row r="84" spans="1:44" ht="43.5" hidden="1">
      <c r="A84" s="339"/>
      <c r="B84" s="337"/>
      <c r="C84" s="338"/>
      <c r="D84" s="519"/>
      <c r="E84" s="520"/>
      <c r="F84" s="37" t="s">
        <v>340</v>
      </c>
      <c r="G84" s="38" t="s">
        <v>341</v>
      </c>
      <c r="H84" s="39" t="s">
        <v>104</v>
      </c>
      <c r="I84" s="39" t="s">
        <v>114</v>
      </c>
      <c r="J84" s="40" t="s">
        <v>1130</v>
      </c>
      <c r="K84" s="51" t="s">
        <v>1434</v>
      </c>
      <c r="L84" s="267"/>
      <c r="M84" s="268" t="s">
        <v>1133</v>
      </c>
      <c r="N84" s="287"/>
      <c r="O84" s="244" t="s">
        <v>115</v>
      </c>
      <c r="P84" s="45"/>
      <c r="Q84" s="245"/>
      <c r="R84" s="246"/>
      <c r="S84" s="246"/>
      <c r="T84" s="245"/>
      <c r="U84" s="247"/>
      <c r="V84" s="247"/>
      <c r="W84" s="248">
        <f t="shared" si="2"/>
        <v>0</v>
      </c>
      <c r="X84" s="245" t="s">
        <v>1205</v>
      </c>
      <c r="Y84" s="249"/>
      <c r="Z84" s="245"/>
      <c r="AA84" s="245"/>
      <c r="AB84" s="249"/>
      <c r="AC84" s="249"/>
      <c r="AD84" s="249"/>
      <c r="AE84" s="249"/>
      <c r="AF84" s="249"/>
      <c r="AG84" s="245"/>
      <c r="AH84" s="249"/>
      <c r="AI84" s="249"/>
      <c r="AJ84" s="249"/>
      <c r="AK84" s="245"/>
      <c r="AL84" s="245"/>
      <c r="AM84" s="245"/>
      <c r="AN84" s="251"/>
      <c r="AO84" s="251"/>
      <c r="AP84" s="249"/>
      <c r="AQ84" s="251"/>
      <c r="AR84" s="249"/>
    </row>
    <row r="85" spans="1:44" ht="58" hidden="1">
      <c r="A85" s="60" t="s">
        <v>342</v>
      </c>
      <c r="B85" s="61">
        <v>7</v>
      </c>
      <c r="C85" s="10" t="s">
        <v>343</v>
      </c>
      <c r="D85" s="62" t="s">
        <v>344</v>
      </c>
      <c r="E85" s="63" t="s">
        <v>345</v>
      </c>
      <c r="F85" s="37" t="s">
        <v>346</v>
      </c>
      <c r="G85" s="38" t="s">
        <v>1435</v>
      </c>
      <c r="H85" s="39" t="s">
        <v>104</v>
      </c>
      <c r="I85" s="39" t="s">
        <v>105</v>
      </c>
      <c r="J85" s="324" t="str">
        <f>G85</f>
        <v xml:space="preserve">Promoure i/o col·laborar en l'aplicació de Plans de Desenvolupament Local Sostenible </v>
      </c>
      <c r="K85" s="51" t="s">
        <v>1436</v>
      </c>
      <c r="L85" s="42" t="s">
        <v>674</v>
      </c>
      <c r="M85" s="268"/>
      <c r="N85" s="287"/>
      <c r="O85" s="244"/>
      <c r="P85" s="45"/>
      <c r="Q85" s="245"/>
      <c r="R85" s="246"/>
      <c r="S85" s="246"/>
      <c r="T85" s="245"/>
      <c r="U85" s="247"/>
      <c r="V85" s="247"/>
      <c r="W85" s="248">
        <f t="shared" si="2"/>
        <v>0</v>
      </c>
      <c r="X85" s="245" t="s">
        <v>1205</v>
      </c>
      <c r="Y85" s="249"/>
      <c r="Z85" s="245"/>
      <c r="AA85" s="245"/>
      <c r="AB85" s="249"/>
      <c r="AC85" s="249"/>
      <c r="AD85" s="249"/>
      <c r="AE85" s="249"/>
      <c r="AF85" s="249"/>
      <c r="AG85" s="245"/>
      <c r="AH85" s="249"/>
      <c r="AI85" s="249"/>
      <c r="AJ85" s="249"/>
      <c r="AK85" s="245"/>
      <c r="AL85" s="245"/>
      <c r="AM85" s="245"/>
      <c r="AN85" s="251"/>
      <c r="AO85" s="251"/>
      <c r="AP85" s="249"/>
      <c r="AQ85" s="251"/>
      <c r="AR85" s="249"/>
    </row>
    <row r="86" spans="1:44" ht="58" hidden="1">
      <c r="A86" s="60"/>
      <c r="B86" s="521">
        <v>8</v>
      </c>
      <c r="C86" s="523" t="s">
        <v>348</v>
      </c>
      <c r="D86" s="510" t="s">
        <v>349</v>
      </c>
      <c r="E86" s="511" t="s">
        <v>350</v>
      </c>
      <c r="F86" s="37" t="s">
        <v>351</v>
      </c>
      <c r="G86" s="38" t="s">
        <v>352</v>
      </c>
      <c r="H86" s="39" t="s">
        <v>104</v>
      </c>
      <c r="I86" s="39" t="s">
        <v>105</v>
      </c>
      <c r="J86" s="324" t="str">
        <f>G86</f>
        <v xml:space="preserve">Acompanyar i assessorar els productors agraris per millorar les tècniques productives agràries i afavorir la conservació dels hàbitats i paisatges </v>
      </c>
      <c r="K86" s="51" t="s">
        <v>1437</v>
      </c>
      <c r="L86" s="42" t="s">
        <v>674</v>
      </c>
      <c r="M86" s="268"/>
      <c r="N86" s="287"/>
      <c r="O86" s="244"/>
      <c r="P86" s="45"/>
      <c r="Q86" s="245"/>
      <c r="R86" s="246"/>
      <c r="S86" s="246"/>
      <c r="T86" s="245"/>
      <c r="U86" s="247"/>
      <c r="V86" s="247"/>
      <c r="W86" s="248">
        <f t="shared" si="2"/>
        <v>0</v>
      </c>
      <c r="X86" s="245" t="s">
        <v>1159</v>
      </c>
      <c r="Y86" s="249"/>
      <c r="Z86" s="245"/>
      <c r="AA86" s="245"/>
      <c r="AB86" s="249"/>
      <c r="AC86" s="249"/>
      <c r="AD86" s="249"/>
      <c r="AE86" s="249"/>
      <c r="AF86" s="249"/>
      <c r="AI86" s="249"/>
      <c r="AJ86" s="249"/>
      <c r="AK86" s="245"/>
      <c r="AL86" s="245"/>
      <c r="AM86" s="245"/>
      <c r="AN86" s="251"/>
      <c r="AO86" s="251"/>
      <c r="AP86" s="249"/>
      <c r="AQ86" s="251"/>
      <c r="AR86" s="249"/>
    </row>
    <row r="87" spans="1:44" ht="58" hidden="1">
      <c r="A87" s="60"/>
      <c r="B87" s="521"/>
      <c r="C87" s="523"/>
      <c r="D87" s="510"/>
      <c r="E87" s="511"/>
      <c r="F87" s="37" t="s">
        <v>353</v>
      </c>
      <c r="G87" s="38" t="s">
        <v>354</v>
      </c>
      <c r="H87" s="39" t="s">
        <v>104</v>
      </c>
      <c r="I87" s="39" t="s">
        <v>105</v>
      </c>
      <c r="J87" s="324" t="str">
        <f>G87</f>
        <v xml:space="preserve">Oferir formació als productors agraris per millorar el seu coneixement sobre tècniques eficients i respectuoses amb la conservació del patrimoni natural i cultural </v>
      </c>
      <c r="K87" s="51" t="s">
        <v>1437</v>
      </c>
      <c r="L87" s="42" t="s">
        <v>674</v>
      </c>
      <c r="M87" s="268"/>
      <c r="N87" s="287"/>
      <c r="O87" s="244"/>
      <c r="P87" s="45"/>
      <c r="Q87" s="245"/>
      <c r="R87" s="246"/>
      <c r="S87" s="246"/>
      <c r="T87" s="245"/>
      <c r="U87" s="247"/>
      <c r="V87" s="247"/>
      <c r="W87" s="248">
        <f t="shared" si="2"/>
        <v>0</v>
      </c>
      <c r="X87" s="245" t="s">
        <v>1159</v>
      </c>
      <c r="Y87" s="249"/>
      <c r="Z87" s="245"/>
      <c r="AA87" s="245"/>
      <c r="AB87" s="249"/>
      <c r="AC87" s="249"/>
      <c r="AD87" s="249"/>
      <c r="AE87" s="249"/>
      <c r="AF87" s="249"/>
      <c r="AG87" s="245"/>
      <c r="AH87" s="249"/>
      <c r="AI87" s="249"/>
      <c r="AJ87" s="249"/>
      <c r="AK87" s="245"/>
      <c r="AL87" s="245"/>
      <c r="AM87" s="245"/>
      <c r="AN87" s="251"/>
      <c r="AO87" s="251"/>
      <c r="AP87" s="249"/>
      <c r="AQ87" s="251"/>
      <c r="AR87" s="249"/>
    </row>
    <row r="88" spans="1:44" ht="58">
      <c r="A88" s="60" t="s">
        <v>342</v>
      </c>
      <c r="B88" s="522"/>
      <c r="C88" s="523"/>
      <c r="D88" s="510"/>
      <c r="E88" s="511"/>
      <c r="F88" s="37" t="s">
        <v>355</v>
      </c>
      <c r="G88" s="38" t="s">
        <v>356</v>
      </c>
      <c r="H88" s="39" t="s">
        <v>126</v>
      </c>
      <c r="I88" s="39" t="s">
        <v>165</v>
      </c>
      <c r="J88" s="40" t="str">
        <f t="shared" si="3"/>
        <v>Promoure la recuperació i conservació de marges i punts d'aigua associats a la ramaderia i l'agricultura i d'interès per la biodiversitat</v>
      </c>
      <c r="K88" s="51"/>
      <c r="L88" s="42" t="s">
        <v>1088</v>
      </c>
      <c r="M88" s="242" t="s">
        <v>1136</v>
      </c>
      <c r="N88" s="243" t="s">
        <v>1438</v>
      </c>
      <c r="O88" s="244"/>
      <c r="P88" s="45"/>
      <c r="Q88" s="245" t="s">
        <v>1439</v>
      </c>
      <c r="R88" s="246">
        <v>5</v>
      </c>
      <c r="S88" s="246">
        <v>10</v>
      </c>
      <c r="T88" s="245"/>
      <c r="U88" s="247"/>
      <c r="V88" s="247"/>
      <c r="W88" s="248">
        <f t="shared" si="2"/>
        <v>1390</v>
      </c>
      <c r="X88" s="245" t="s">
        <v>1159</v>
      </c>
      <c r="Y88" s="309" t="s">
        <v>1440</v>
      </c>
      <c r="Z88" s="345"/>
      <c r="AA88" s="245"/>
      <c r="AB88" s="249"/>
      <c r="AC88" s="245" t="s">
        <v>1431</v>
      </c>
      <c r="AD88" s="249">
        <v>100</v>
      </c>
      <c r="AE88" s="249"/>
      <c r="AF88" s="249"/>
      <c r="AG88" s="245" t="s">
        <v>1441</v>
      </c>
      <c r="AH88" s="249">
        <v>1140</v>
      </c>
      <c r="AI88" s="249">
        <v>80</v>
      </c>
      <c r="AJ88" s="249">
        <v>80</v>
      </c>
      <c r="AK88" s="245"/>
      <c r="AL88" s="245"/>
      <c r="AM88" s="245" t="s">
        <v>1442</v>
      </c>
      <c r="AN88" s="251">
        <v>70</v>
      </c>
      <c r="AO88" s="251"/>
      <c r="AP88" s="249"/>
      <c r="AQ88" s="251"/>
      <c r="AR88" s="249"/>
    </row>
    <row r="89" spans="1:44" ht="43.5" hidden="1">
      <c r="A89" s="515"/>
      <c r="B89" s="521"/>
      <c r="C89" s="523"/>
      <c r="D89" s="62" t="s">
        <v>357</v>
      </c>
      <c r="E89" s="63" t="s">
        <v>358</v>
      </c>
      <c r="F89" s="39" t="s">
        <v>359</v>
      </c>
      <c r="G89" s="38" t="s">
        <v>360</v>
      </c>
      <c r="H89" s="44"/>
      <c r="I89" s="44"/>
      <c r="J89" s="40" t="s">
        <v>1130</v>
      </c>
      <c r="K89" s="296" t="s">
        <v>1443</v>
      </c>
      <c r="L89" s="42"/>
      <c r="M89" s="242"/>
      <c r="N89" s="301"/>
      <c r="O89" s="244" t="s">
        <v>115</v>
      </c>
      <c r="P89" s="45"/>
      <c r="Q89" s="278"/>
      <c r="R89" s="246"/>
      <c r="S89" s="246"/>
      <c r="T89" s="245"/>
      <c r="U89" s="247"/>
      <c r="V89" s="247"/>
      <c r="W89" s="248">
        <f t="shared" si="2"/>
        <v>0</v>
      </c>
      <c r="X89" s="245" t="s">
        <v>1205</v>
      </c>
      <c r="Y89" s="249"/>
      <c r="Z89" s="245"/>
      <c r="AA89" s="245"/>
      <c r="AB89" s="249"/>
      <c r="AC89" s="249"/>
      <c r="AD89" s="249"/>
      <c r="AE89" s="249"/>
      <c r="AF89" s="249"/>
      <c r="AG89" s="245"/>
      <c r="AH89" s="249"/>
      <c r="AI89" s="249"/>
      <c r="AJ89" s="249"/>
      <c r="AK89" s="245"/>
      <c r="AL89" s="245"/>
      <c r="AM89" s="245"/>
      <c r="AN89" s="251"/>
      <c r="AO89" s="251"/>
      <c r="AP89" s="249"/>
      <c r="AQ89" s="251"/>
      <c r="AR89" s="249"/>
    </row>
    <row r="90" spans="1:44" ht="58">
      <c r="A90" s="515"/>
      <c r="B90" s="522"/>
      <c r="C90" s="523"/>
      <c r="D90" s="516" t="s">
        <v>361</v>
      </c>
      <c r="E90" s="517" t="s">
        <v>362</v>
      </c>
      <c r="F90" s="37" t="s">
        <v>363</v>
      </c>
      <c r="G90" s="38" t="s">
        <v>364</v>
      </c>
      <c r="H90" s="39" t="s">
        <v>104</v>
      </c>
      <c r="I90" s="39" t="s">
        <v>165</v>
      </c>
      <c r="J90" s="40" t="str">
        <f t="shared" si="3"/>
        <v>Implantar un distintiu de qualitat i compatibilitat amb la conservació dels productes de la Xarxa d'ENP o criteris de qualitat propis de l'ENP</v>
      </c>
      <c r="K90" s="51"/>
      <c r="L90" s="42" t="s">
        <v>1088</v>
      </c>
      <c r="M90" s="242" t="s">
        <v>1136</v>
      </c>
      <c r="N90" s="301" t="s">
        <v>1444</v>
      </c>
      <c r="O90" s="244" t="s">
        <v>115</v>
      </c>
      <c r="P90" s="45" t="s">
        <v>365</v>
      </c>
      <c r="Q90" s="245"/>
      <c r="R90" s="246"/>
      <c r="S90" s="246"/>
      <c r="T90" s="74" t="s">
        <v>1445</v>
      </c>
      <c r="U90" s="247" t="s">
        <v>1446</v>
      </c>
      <c r="V90" s="247" t="s">
        <v>1446</v>
      </c>
      <c r="W90" s="248">
        <f t="shared" si="2"/>
        <v>140</v>
      </c>
      <c r="X90" s="245" t="s">
        <v>1205</v>
      </c>
      <c r="Y90" s="249" t="s">
        <v>1447</v>
      </c>
      <c r="Z90" s="245"/>
      <c r="AA90" s="245" t="s">
        <v>1448</v>
      </c>
      <c r="AB90" s="249">
        <v>80</v>
      </c>
      <c r="AC90" s="249"/>
      <c r="AD90" s="249"/>
      <c r="AE90" s="249"/>
      <c r="AF90" s="249"/>
      <c r="AG90" s="245"/>
      <c r="AH90" s="249"/>
      <c r="AI90" s="249"/>
      <c r="AJ90" s="249"/>
      <c r="AK90" s="245"/>
      <c r="AL90" s="245"/>
      <c r="AM90" s="245" t="s">
        <v>1449</v>
      </c>
      <c r="AN90" s="251">
        <v>60</v>
      </c>
      <c r="AO90" s="251"/>
      <c r="AP90" s="249"/>
      <c r="AQ90" s="251"/>
      <c r="AR90" s="249"/>
    </row>
    <row r="91" spans="1:44" ht="43.5">
      <c r="A91" s="515"/>
      <c r="B91" s="522"/>
      <c r="C91" s="523"/>
      <c r="D91" s="516"/>
      <c r="E91" s="517"/>
      <c r="F91" s="37" t="s">
        <v>366</v>
      </c>
      <c r="G91" s="38" t="s">
        <v>367</v>
      </c>
      <c r="H91" s="39" t="s">
        <v>104</v>
      </c>
      <c r="I91" s="39" t="s">
        <v>114</v>
      </c>
      <c r="J91" s="40" t="str">
        <f>G91</f>
        <v>Integrar els productes i activitats locals de qualitat en l'oferta d'activitats d'informació i turístiques de l'ENP</v>
      </c>
      <c r="K91" s="51"/>
      <c r="L91" s="42" t="s">
        <v>1088</v>
      </c>
      <c r="M91" s="242" t="s">
        <v>1136</v>
      </c>
      <c r="N91" s="243" t="s">
        <v>1450</v>
      </c>
      <c r="O91" s="259" t="s">
        <v>368</v>
      </c>
      <c r="P91" s="45"/>
      <c r="Q91" s="245" t="s">
        <v>1451</v>
      </c>
      <c r="R91" s="246">
        <v>6</v>
      </c>
      <c r="S91" s="246">
        <v>12</v>
      </c>
      <c r="T91" s="74"/>
      <c r="U91" s="304"/>
      <c r="V91" s="304"/>
      <c r="W91" s="248">
        <f t="shared" si="2"/>
        <v>130</v>
      </c>
      <c r="X91" s="245" t="s">
        <v>1205</v>
      </c>
      <c r="Y91" s="249" t="s">
        <v>1452</v>
      </c>
      <c r="Z91" s="245" t="s">
        <v>1348</v>
      </c>
      <c r="AA91" s="245" t="s">
        <v>1190</v>
      </c>
      <c r="AB91" s="249">
        <v>80</v>
      </c>
      <c r="AC91" s="249"/>
      <c r="AD91" s="249"/>
      <c r="AE91" s="249"/>
      <c r="AF91" s="249"/>
      <c r="AG91" s="245"/>
      <c r="AH91" s="249"/>
      <c r="AI91" s="249"/>
      <c r="AJ91" s="249"/>
      <c r="AK91" s="245" t="s">
        <v>1176</v>
      </c>
      <c r="AL91" s="245">
        <v>10</v>
      </c>
      <c r="AM91" s="245" t="s">
        <v>1176</v>
      </c>
      <c r="AN91" s="251">
        <v>10</v>
      </c>
      <c r="AO91" s="251"/>
      <c r="AP91" s="249"/>
      <c r="AQ91" s="251" t="s">
        <v>1453</v>
      </c>
      <c r="AR91" s="249">
        <v>30</v>
      </c>
    </row>
    <row r="92" spans="1:44" ht="87" hidden="1">
      <c r="A92" s="515"/>
      <c r="B92" s="521"/>
      <c r="C92" s="523"/>
      <c r="D92" s="516"/>
      <c r="E92" s="517"/>
      <c r="F92" s="37" t="s">
        <v>369</v>
      </c>
      <c r="G92" s="38" t="s">
        <v>370</v>
      </c>
      <c r="H92" s="39" t="s">
        <v>104</v>
      </c>
      <c r="I92" s="39" t="s">
        <v>165</v>
      </c>
      <c r="J92" s="40" t="s">
        <v>1130</v>
      </c>
      <c r="K92" s="51" t="s">
        <v>1454</v>
      </c>
      <c r="L92" s="46"/>
      <c r="M92" s="268"/>
      <c r="N92" s="346"/>
      <c r="O92" s="244"/>
      <c r="P92" s="45"/>
      <c r="Q92" s="245"/>
      <c r="R92" s="246"/>
      <c r="S92" s="246"/>
      <c r="T92" s="347"/>
      <c r="U92" s="348"/>
      <c r="V92" s="348"/>
      <c r="W92" s="248">
        <f t="shared" si="2"/>
        <v>0</v>
      </c>
      <c r="X92" s="245"/>
      <c r="Y92" s="249"/>
      <c r="Z92" s="245"/>
      <c r="AA92" s="245"/>
      <c r="AB92" s="249"/>
      <c r="AC92" s="249"/>
      <c r="AD92" s="249"/>
      <c r="AE92" s="249"/>
      <c r="AF92" s="249"/>
      <c r="AG92" s="245"/>
      <c r="AH92" s="249"/>
      <c r="AI92" s="249"/>
      <c r="AJ92" s="249"/>
      <c r="AK92" s="245"/>
      <c r="AL92" s="245"/>
      <c r="AM92" s="245"/>
      <c r="AN92" s="251"/>
      <c r="AO92" s="251"/>
      <c r="AP92" s="249"/>
      <c r="AQ92" s="251"/>
      <c r="AR92" s="249"/>
    </row>
    <row r="93" spans="1:44" ht="43.5">
      <c r="A93" s="515"/>
      <c r="B93" s="522"/>
      <c r="C93" s="523"/>
      <c r="D93" s="516"/>
      <c r="E93" s="517"/>
      <c r="F93" s="37" t="s">
        <v>371</v>
      </c>
      <c r="G93" s="38" t="s">
        <v>372</v>
      </c>
      <c r="H93" s="39" t="s">
        <v>104</v>
      </c>
      <c r="I93" s="39" t="s">
        <v>165</v>
      </c>
      <c r="J93" s="40" t="str">
        <f t="shared" si="3"/>
        <v xml:space="preserve">Generar aliances entre el sector primari, el turisme, la restauració i altres per fomentar la gastronomia local </v>
      </c>
      <c r="K93" s="51"/>
      <c r="L93" s="42" t="s">
        <v>1088</v>
      </c>
      <c r="M93" s="242" t="s">
        <v>1136</v>
      </c>
      <c r="N93" s="243" t="s">
        <v>1455</v>
      </c>
      <c r="O93" s="259" t="s">
        <v>368</v>
      </c>
      <c r="P93" s="45"/>
      <c r="Q93" s="74" t="s">
        <v>1456</v>
      </c>
      <c r="R93" s="280">
        <v>4</v>
      </c>
      <c r="S93" s="349">
        <v>8</v>
      </c>
      <c r="T93" s="272"/>
      <c r="U93" s="273"/>
      <c r="V93" s="273"/>
      <c r="W93" s="248">
        <f t="shared" si="2"/>
        <v>80</v>
      </c>
      <c r="X93" s="245" t="s">
        <v>1205</v>
      </c>
      <c r="Y93" s="249" t="s">
        <v>1130</v>
      </c>
      <c r="Z93" s="245" t="s">
        <v>1109</v>
      </c>
      <c r="AA93" s="245" t="s">
        <v>1274</v>
      </c>
      <c r="AB93" s="249">
        <v>40</v>
      </c>
      <c r="AC93" s="249"/>
      <c r="AD93" s="249"/>
      <c r="AE93" s="249"/>
      <c r="AF93" s="249"/>
      <c r="AG93" s="245"/>
      <c r="AH93" s="249"/>
      <c r="AI93" s="249"/>
      <c r="AJ93" s="249"/>
      <c r="AK93" s="245"/>
      <c r="AL93" s="245"/>
      <c r="AM93" s="245" t="s">
        <v>1121</v>
      </c>
      <c r="AN93" s="251">
        <v>40</v>
      </c>
      <c r="AO93" s="251"/>
      <c r="AP93" s="249"/>
      <c r="AQ93" s="251"/>
      <c r="AR93" s="249"/>
    </row>
    <row r="94" spans="1:44" ht="43.5">
      <c r="A94" s="515"/>
      <c r="B94" s="522"/>
      <c r="C94" s="523"/>
      <c r="D94" s="516"/>
      <c r="E94" s="517"/>
      <c r="F94" s="37" t="s">
        <v>373</v>
      </c>
      <c r="G94" s="38" t="s">
        <v>374</v>
      </c>
      <c r="H94" s="39" t="s">
        <v>104</v>
      </c>
      <c r="I94" s="39" t="s">
        <v>165</v>
      </c>
      <c r="J94" s="40" t="str">
        <f>G94</f>
        <v>Elaborar una diagnòsi del teixit productiu local i un pla d’acció amb línies de treball i actuacions concretes per donar-li suport</v>
      </c>
      <c r="K94" s="51"/>
      <c r="L94" s="42" t="s">
        <v>1088</v>
      </c>
      <c r="M94" s="242" t="s">
        <v>1102</v>
      </c>
      <c r="N94" s="243" t="s">
        <v>1457</v>
      </c>
      <c r="O94" s="259" t="s">
        <v>115</v>
      </c>
      <c r="P94" s="45"/>
      <c r="Q94" s="245"/>
      <c r="R94" s="246"/>
      <c r="S94" s="246"/>
      <c r="T94" s="350" t="s">
        <v>1458</v>
      </c>
      <c r="U94" s="351" t="s">
        <v>1446</v>
      </c>
      <c r="V94" s="351" t="s">
        <v>1459</v>
      </c>
      <c r="W94" s="248">
        <f t="shared" si="2"/>
        <v>10</v>
      </c>
      <c r="X94" s="245" t="s">
        <v>1205</v>
      </c>
      <c r="Y94" s="249"/>
      <c r="Z94" s="245"/>
      <c r="AA94" s="245"/>
      <c r="AB94" s="249"/>
      <c r="AC94" s="249"/>
      <c r="AD94" s="249"/>
      <c r="AE94" s="249"/>
      <c r="AF94" s="249"/>
      <c r="AG94" s="245"/>
      <c r="AH94" s="249"/>
      <c r="AI94" s="249"/>
      <c r="AJ94" s="249"/>
      <c r="AK94" s="245"/>
      <c r="AL94" s="245"/>
      <c r="AM94" s="245" t="s">
        <v>1460</v>
      </c>
      <c r="AN94" s="251">
        <v>10</v>
      </c>
      <c r="AO94" s="251"/>
      <c r="AP94" s="249"/>
      <c r="AQ94" s="251"/>
      <c r="AR94" s="249"/>
    </row>
    <row r="95" spans="1:44" ht="96" hidden="1" customHeight="1">
      <c r="A95" s="515"/>
      <c r="B95" s="521"/>
      <c r="C95" s="523"/>
      <c r="D95" s="516"/>
      <c r="E95" s="517"/>
      <c r="F95" s="37" t="s">
        <v>375</v>
      </c>
      <c r="G95" s="38" t="s">
        <v>1461</v>
      </c>
      <c r="H95" s="39" t="s">
        <v>104</v>
      </c>
      <c r="I95" s="39" t="s">
        <v>165</v>
      </c>
      <c r="J95" s="317" t="s">
        <v>1462</v>
      </c>
      <c r="K95" s="318" t="s">
        <v>1264</v>
      </c>
      <c r="L95" s="46" t="s">
        <v>1088</v>
      </c>
      <c r="M95" s="242" t="s">
        <v>1377</v>
      </c>
      <c r="N95" s="243" t="s">
        <v>1463</v>
      </c>
      <c r="O95" s="244"/>
      <c r="P95" s="45"/>
      <c r="Q95" s="245" t="s">
        <v>1464</v>
      </c>
      <c r="R95" s="246">
        <v>1</v>
      </c>
      <c r="S95" s="246">
        <v>1</v>
      </c>
      <c r="T95" s="74" t="s">
        <v>1465</v>
      </c>
      <c r="U95" s="304" t="s">
        <v>1466</v>
      </c>
      <c r="V95" s="304" t="s">
        <v>1467</v>
      </c>
      <c r="W95" s="248">
        <f t="shared" si="2"/>
        <v>770</v>
      </c>
      <c r="X95" s="245" t="s">
        <v>1205</v>
      </c>
      <c r="Y95" s="249" t="s">
        <v>1468</v>
      </c>
      <c r="Z95" s="245" t="s">
        <v>1109</v>
      </c>
      <c r="AA95" s="245"/>
      <c r="AB95" s="249">
        <v>400</v>
      </c>
      <c r="AC95" s="249"/>
      <c r="AD95" s="249"/>
      <c r="AE95" s="249"/>
      <c r="AF95" s="249"/>
      <c r="AG95" s="245"/>
      <c r="AH95" s="249"/>
      <c r="AI95" s="249"/>
      <c r="AJ95" s="249"/>
      <c r="AK95" s="245" t="s">
        <v>1430</v>
      </c>
      <c r="AL95" s="245">
        <v>320</v>
      </c>
      <c r="AM95" s="245" t="s">
        <v>1469</v>
      </c>
      <c r="AN95" s="251">
        <v>50</v>
      </c>
      <c r="AO95" s="251"/>
      <c r="AP95" s="249"/>
      <c r="AQ95" s="251"/>
      <c r="AR95" s="249"/>
    </row>
    <row r="96" spans="1:44" ht="72.5">
      <c r="A96" s="515"/>
      <c r="B96" s="522"/>
      <c r="C96" s="523"/>
      <c r="D96" s="516" t="s">
        <v>377</v>
      </c>
      <c r="E96" s="518" t="s">
        <v>378</v>
      </c>
      <c r="F96" s="37" t="s">
        <v>379</v>
      </c>
      <c r="G96" s="38" t="s">
        <v>380</v>
      </c>
      <c r="H96" s="39" t="s">
        <v>104</v>
      </c>
      <c r="I96" s="39" t="s">
        <v>114</v>
      </c>
      <c r="J96" s="40" t="str">
        <f t="shared" si="3"/>
        <v>Treballar amb l'autoritat competent per garantir objectius de conservació d’espècies i hàbitats en la revisió dels Plans de Gestió Cinegètica</v>
      </c>
      <c r="K96" s="51"/>
      <c r="L96" s="42" t="s">
        <v>1088</v>
      </c>
      <c r="M96" s="242" t="s">
        <v>1136</v>
      </c>
      <c r="N96" s="243" t="s">
        <v>1470</v>
      </c>
      <c r="O96" s="244" t="s">
        <v>106</v>
      </c>
      <c r="P96" s="45"/>
      <c r="Q96" s="245" t="s">
        <v>1471</v>
      </c>
      <c r="R96" s="293">
        <v>1</v>
      </c>
      <c r="S96" s="293">
        <v>1</v>
      </c>
      <c r="T96" s="74"/>
      <c r="U96" s="304"/>
      <c r="V96" s="304"/>
      <c r="W96" s="248">
        <f t="shared" si="2"/>
        <v>120</v>
      </c>
      <c r="X96" s="245" t="s">
        <v>1095</v>
      </c>
      <c r="Y96" s="249" t="s">
        <v>1108</v>
      </c>
      <c r="Z96" s="245" t="s">
        <v>1109</v>
      </c>
      <c r="AA96" s="245"/>
      <c r="AB96" s="249"/>
      <c r="AC96" s="249" t="s">
        <v>1190</v>
      </c>
      <c r="AD96" s="249">
        <v>80</v>
      </c>
      <c r="AE96" s="249"/>
      <c r="AF96" s="249"/>
      <c r="AG96" s="245"/>
      <c r="AH96" s="249"/>
      <c r="AI96" s="249"/>
      <c r="AJ96" s="249"/>
      <c r="AK96" s="245"/>
      <c r="AL96" s="245"/>
      <c r="AM96" s="245" t="s">
        <v>1139</v>
      </c>
      <c r="AN96" s="251">
        <v>40</v>
      </c>
      <c r="AO96" s="251"/>
      <c r="AP96" s="249"/>
      <c r="AQ96" s="251"/>
      <c r="AR96" s="249"/>
    </row>
    <row r="97" spans="1:44" ht="58">
      <c r="A97" s="515"/>
      <c r="B97" s="522"/>
      <c r="C97" s="523"/>
      <c r="D97" s="516"/>
      <c r="E97" s="518"/>
      <c r="F97" s="37" t="s">
        <v>381</v>
      </c>
      <c r="G97" s="38" t="s">
        <v>382</v>
      </c>
      <c r="H97" s="39" t="s">
        <v>104</v>
      </c>
      <c r="I97" s="39" t="s">
        <v>114</v>
      </c>
      <c r="J97" s="257" t="s">
        <v>1472</v>
      </c>
      <c r="K97" s="51"/>
      <c r="L97" s="42" t="s">
        <v>1088</v>
      </c>
      <c r="M97" s="242" t="s">
        <v>1102</v>
      </c>
      <c r="N97" s="297" t="s">
        <v>1473</v>
      </c>
      <c r="O97" s="244" t="s">
        <v>106</v>
      </c>
      <c r="P97" s="45"/>
      <c r="Q97" s="245" t="s">
        <v>1474</v>
      </c>
      <c r="R97" s="293">
        <v>0.9</v>
      </c>
      <c r="S97" s="293">
        <v>1</v>
      </c>
      <c r="T97" s="74"/>
      <c r="U97" s="304"/>
      <c r="V97" s="304"/>
      <c r="W97" s="248">
        <f t="shared" si="2"/>
        <v>20</v>
      </c>
      <c r="X97" s="245" t="s">
        <v>1159</v>
      </c>
      <c r="Y97" s="249" t="s">
        <v>1108</v>
      </c>
      <c r="Z97" s="245" t="s">
        <v>1109</v>
      </c>
      <c r="AA97" s="245"/>
      <c r="AB97" s="249"/>
      <c r="AC97" s="74" t="s">
        <v>1176</v>
      </c>
      <c r="AD97" s="249">
        <v>10</v>
      </c>
      <c r="AE97" s="249"/>
      <c r="AF97" s="249"/>
      <c r="AG97" s="245"/>
      <c r="AH97" s="249"/>
      <c r="AI97" s="249"/>
      <c r="AJ97" s="249"/>
      <c r="AK97" s="245"/>
      <c r="AL97" s="245"/>
      <c r="AM97" s="290" t="s">
        <v>1475</v>
      </c>
      <c r="AN97" s="352">
        <v>10</v>
      </c>
      <c r="AO97" s="251"/>
      <c r="AP97" s="249"/>
      <c r="AQ97" s="251"/>
      <c r="AR97" s="249"/>
    </row>
    <row r="98" spans="1:44" ht="58">
      <c r="A98" s="515"/>
      <c r="B98" s="522"/>
      <c r="C98" s="523"/>
      <c r="D98" s="516"/>
      <c r="E98" s="518"/>
      <c r="F98" s="37" t="s">
        <v>383</v>
      </c>
      <c r="G98" s="38" t="s">
        <v>384</v>
      </c>
      <c r="H98" s="39" t="s">
        <v>104</v>
      </c>
      <c r="I98" s="39" t="s">
        <v>114</v>
      </c>
      <c r="J98" s="40" t="str">
        <f t="shared" si="3"/>
        <v>Donar suport en la gestió de poblacions que generen danys a les activitats econòmiques de l'ENP</v>
      </c>
      <c r="K98" s="51"/>
      <c r="L98" s="42" t="s">
        <v>1088</v>
      </c>
      <c r="M98" s="242" t="s">
        <v>1136</v>
      </c>
      <c r="N98" s="243" t="s">
        <v>1476</v>
      </c>
      <c r="O98" s="244"/>
      <c r="P98" s="45"/>
      <c r="Q98" s="245" t="s">
        <v>1477</v>
      </c>
      <c r="R98" s="293">
        <v>1</v>
      </c>
      <c r="S98" s="293">
        <v>1</v>
      </c>
      <c r="T98" s="74"/>
      <c r="U98" s="304"/>
      <c r="V98" s="304"/>
      <c r="W98" s="248">
        <f t="shared" si="2"/>
        <v>80</v>
      </c>
      <c r="X98" s="245" t="s">
        <v>1159</v>
      </c>
      <c r="Y98" s="249" t="s">
        <v>1108</v>
      </c>
      <c r="Z98" s="245" t="s">
        <v>1109</v>
      </c>
      <c r="AA98" s="245"/>
      <c r="AB98" s="249"/>
      <c r="AC98" s="245" t="s">
        <v>1478</v>
      </c>
      <c r="AD98" s="249">
        <v>60</v>
      </c>
      <c r="AE98" s="249"/>
      <c r="AF98" s="249"/>
      <c r="AG98" s="245"/>
      <c r="AH98" s="249"/>
      <c r="AI98" s="249"/>
      <c r="AJ98" s="249"/>
      <c r="AK98" s="245"/>
      <c r="AL98" s="245"/>
      <c r="AM98" s="245" t="s">
        <v>1479</v>
      </c>
      <c r="AN98" s="251">
        <v>20</v>
      </c>
      <c r="AO98" s="251"/>
      <c r="AP98" s="249"/>
      <c r="AQ98" s="251"/>
      <c r="AR98" s="249"/>
    </row>
    <row r="99" spans="1:44" ht="141" customHeight="1">
      <c r="A99" s="60"/>
      <c r="B99" s="64">
        <v>9</v>
      </c>
      <c r="C99" s="65" t="s">
        <v>385</v>
      </c>
      <c r="D99" s="510" t="s">
        <v>386</v>
      </c>
      <c r="E99" s="511" t="s">
        <v>387</v>
      </c>
      <c r="F99" s="37" t="s">
        <v>388</v>
      </c>
      <c r="G99" s="38" t="s">
        <v>389</v>
      </c>
      <c r="H99" s="39" t="s">
        <v>104</v>
      </c>
      <c r="I99" s="39" t="s">
        <v>165</v>
      </c>
      <c r="J99" s="353" t="s">
        <v>1480</v>
      </c>
      <c r="K99" s="51" t="s">
        <v>1481</v>
      </c>
      <c r="L99" s="46" t="s">
        <v>1088</v>
      </c>
      <c r="M99" s="242" t="s">
        <v>1102</v>
      </c>
      <c r="N99" s="335" t="s">
        <v>1482</v>
      </c>
      <c r="O99" s="244" t="s">
        <v>115</v>
      </c>
      <c r="P99" s="45"/>
      <c r="Q99" s="245" t="s">
        <v>1483</v>
      </c>
      <c r="R99" s="293">
        <v>0.8</v>
      </c>
      <c r="S99" s="293">
        <v>1</v>
      </c>
      <c r="T99" s="245" t="s">
        <v>1484</v>
      </c>
      <c r="U99" s="247" t="s">
        <v>1485</v>
      </c>
      <c r="V99" s="247" t="s">
        <v>1486</v>
      </c>
      <c r="W99" s="248">
        <f t="shared" si="2"/>
        <v>780</v>
      </c>
      <c r="X99" s="245" t="s">
        <v>1205</v>
      </c>
      <c r="Y99" s="249" t="s">
        <v>1452</v>
      </c>
      <c r="Z99" s="245" t="s">
        <v>1109</v>
      </c>
      <c r="AA99" s="74" t="s">
        <v>1487</v>
      </c>
      <c r="AB99" s="73">
        <v>380</v>
      </c>
      <c r="AC99" s="249"/>
      <c r="AD99" s="249"/>
      <c r="AE99" s="249"/>
      <c r="AF99" s="249"/>
      <c r="AG99" s="245"/>
      <c r="AH99" s="249"/>
      <c r="AI99" s="249"/>
      <c r="AJ99" s="249"/>
      <c r="AK99" s="245"/>
      <c r="AL99" s="245"/>
      <c r="AM99" s="245" t="s">
        <v>1488</v>
      </c>
      <c r="AN99" s="251">
        <v>90</v>
      </c>
      <c r="AO99" s="251"/>
      <c r="AP99" s="249"/>
      <c r="AQ99" s="290" t="s">
        <v>1489</v>
      </c>
      <c r="AR99" s="249">
        <v>310</v>
      </c>
    </row>
    <row r="100" spans="1:44" ht="14.5" hidden="1">
      <c r="A100" s="60"/>
      <c r="B100" s="354"/>
      <c r="C100" s="355"/>
      <c r="D100" s="510"/>
      <c r="E100" s="511"/>
      <c r="F100" s="37" t="s">
        <v>390</v>
      </c>
      <c r="G100" s="38" t="s">
        <v>391</v>
      </c>
      <c r="H100" s="39" t="s">
        <v>104</v>
      </c>
      <c r="I100" s="39" t="s">
        <v>165</v>
      </c>
      <c r="J100" s="40" t="s">
        <v>1130</v>
      </c>
      <c r="K100" s="51"/>
      <c r="L100" s="46"/>
      <c r="M100" s="268"/>
      <c r="N100" s="287"/>
      <c r="O100" s="244"/>
      <c r="P100" s="45"/>
      <c r="Q100" s="245"/>
      <c r="R100" s="246"/>
      <c r="S100" s="246"/>
      <c r="T100" s="245"/>
      <c r="U100" s="247"/>
      <c r="V100" s="247"/>
      <c r="W100" s="248">
        <f t="shared" si="2"/>
        <v>0</v>
      </c>
      <c r="X100" s="245"/>
      <c r="Y100" s="249"/>
      <c r="Z100" s="245"/>
      <c r="AA100" s="245"/>
      <c r="AB100" s="249"/>
      <c r="AC100" s="249"/>
      <c r="AD100" s="249"/>
      <c r="AE100" s="249"/>
      <c r="AF100" s="249"/>
      <c r="AG100" s="245"/>
      <c r="AH100" s="249"/>
      <c r="AI100" s="249"/>
      <c r="AJ100" s="249"/>
      <c r="AK100" s="245"/>
      <c r="AL100" s="245"/>
      <c r="AM100" s="245"/>
      <c r="AN100" s="251"/>
      <c r="AO100" s="251"/>
      <c r="AP100" s="249"/>
      <c r="AQ100" s="251"/>
      <c r="AR100" s="249"/>
    </row>
    <row r="101" spans="1:44" ht="80.150000000000006" hidden="1" customHeight="1">
      <c r="A101" s="60"/>
      <c r="B101" s="354"/>
      <c r="C101" s="355"/>
      <c r="D101" s="356"/>
      <c r="E101" s="357"/>
      <c r="F101" s="37" t="s">
        <v>1490</v>
      </c>
      <c r="G101" s="38" t="s">
        <v>1491</v>
      </c>
      <c r="H101" s="39" t="s">
        <v>104</v>
      </c>
      <c r="I101" s="39" t="s">
        <v>165</v>
      </c>
      <c r="J101" s="40" t="s">
        <v>1130</v>
      </c>
      <c r="K101" s="51" t="s">
        <v>1492</v>
      </c>
      <c r="L101" s="46"/>
      <c r="M101" s="268"/>
      <c r="N101" s="287"/>
      <c r="O101" s="244"/>
      <c r="P101" s="45"/>
      <c r="Q101" s="245"/>
      <c r="R101" s="246"/>
      <c r="S101" s="246"/>
      <c r="T101" s="245"/>
      <c r="U101" s="247"/>
      <c r="V101" s="247"/>
      <c r="W101" s="248">
        <f t="shared" si="2"/>
        <v>0</v>
      </c>
      <c r="X101" s="245"/>
      <c r="Y101" s="249"/>
      <c r="Z101" s="245"/>
      <c r="AA101" s="245"/>
      <c r="AB101" s="249"/>
      <c r="AC101" s="249"/>
      <c r="AD101" s="249"/>
      <c r="AE101" s="249"/>
      <c r="AF101" s="249"/>
      <c r="AG101" s="245"/>
      <c r="AH101" s="249"/>
      <c r="AI101" s="249"/>
      <c r="AJ101" s="249"/>
      <c r="AK101" s="245"/>
      <c r="AL101" s="245"/>
      <c r="AM101" s="245"/>
      <c r="AN101" s="251"/>
      <c r="AO101" s="251"/>
      <c r="AP101" s="249"/>
      <c r="AQ101" s="251"/>
      <c r="AR101" s="249"/>
    </row>
    <row r="102" spans="1:44" ht="87">
      <c r="A102" s="358"/>
      <c r="B102" s="354"/>
      <c r="C102" s="355"/>
      <c r="D102" s="510" t="s">
        <v>392</v>
      </c>
      <c r="E102" s="511" t="s">
        <v>393</v>
      </c>
      <c r="F102" s="37" t="s">
        <v>394</v>
      </c>
      <c r="G102" s="38" t="s">
        <v>395</v>
      </c>
      <c r="H102" s="39" t="s">
        <v>104</v>
      </c>
      <c r="I102" s="39" t="s">
        <v>165</v>
      </c>
      <c r="J102" s="40" t="s">
        <v>1493</v>
      </c>
      <c r="K102" s="51" t="s">
        <v>1494</v>
      </c>
      <c r="L102" s="46" t="s">
        <v>1088</v>
      </c>
      <c r="M102" s="242" t="s">
        <v>1102</v>
      </c>
      <c r="N102" s="243" t="s">
        <v>1495</v>
      </c>
      <c r="O102" s="244" t="s">
        <v>115</v>
      </c>
      <c r="P102" s="45"/>
      <c r="Q102" s="245" t="s">
        <v>1496</v>
      </c>
      <c r="R102" s="293">
        <v>0.5</v>
      </c>
      <c r="S102" s="293">
        <v>1</v>
      </c>
      <c r="T102" s="245" t="s">
        <v>1497</v>
      </c>
      <c r="U102" s="247" t="s">
        <v>1498</v>
      </c>
      <c r="V102" s="247" t="s">
        <v>1499</v>
      </c>
      <c r="W102" s="248">
        <f t="shared" si="2"/>
        <v>428</v>
      </c>
      <c r="X102" s="245" t="s">
        <v>1205</v>
      </c>
      <c r="Y102" s="249" t="s">
        <v>1500</v>
      </c>
      <c r="Z102" s="245" t="s">
        <v>1109</v>
      </c>
      <c r="AA102" s="245" t="s">
        <v>1501</v>
      </c>
      <c r="AB102" s="249">
        <v>213</v>
      </c>
      <c r="AC102" s="249"/>
      <c r="AD102" s="249"/>
      <c r="AE102" s="249"/>
      <c r="AF102" s="249"/>
      <c r="AG102" s="245"/>
      <c r="AH102" s="249"/>
      <c r="AI102" s="249"/>
      <c r="AJ102" s="249"/>
      <c r="AK102" s="245"/>
      <c r="AL102" s="245"/>
      <c r="AM102" s="245" t="s">
        <v>1502</v>
      </c>
      <c r="AN102" s="251">
        <v>50</v>
      </c>
      <c r="AO102" s="251"/>
      <c r="AP102" s="249"/>
      <c r="AQ102" s="148" t="s">
        <v>1503</v>
      </c>
      <c r="AR102" s="249">
        <v>165</v>
      </c>
    </row>
    <row r="103" spans="1:44" ht="43.5" hidden="1">
      <c r="A103" s="358"/>
      <c r="B103" s="354"/>
      <c r="C103" s="355"/>
      <c r="D103" s="510"/>
      <c r="E103" s="511"/>
      <c r="F103" s="37" t="s">
        <v>396</v>
      </c>
      <c r="G103" s="38" t="s">
        <v>397</v>
      </c>
      <c r="H103" s="39" t="s">
        <v>104</v>
      </c>
      <c r="I103" s="39" t="s">
        <v>165</v>
      </c>
      <c r="J103" s="40" t="s">
        <v>1130</v>
      </c>
      <c r="K103" s="51" t="s">
        <v>1504</v>
      </c>
      <c r="L103" s="42"/>
      <c r="M103" s="268"/>
      <c r="N103" s="287"/>
      <c r="O103" s="244" t="s">
        <v>115</v>
      </c>
      <c r="P103" s="45"/>
      <c r="Q103" s="245"/>
      <c r="R103" s="246"/>
      <c r="S103" s="246"/>
      <c r="T103" s="245"/>
      <c r="U103" s="247"/>
      <c r="V103" s="247"/>
      <c r="W103" s="248">
        <f t="shared" si="2"/>
        <v>0</v>
      </c>
      <c r="X103" s="245" t="s">
        <v>1205</v>
      </c>
      <c r="Y103" s="249"/>
      <c r="Z103" s="245"/>
      <c r="AA103" s="245"/>
      <c r="AB103" s="249"/>
      <c r="AC103" s="249"/>
      <c r="AD103" s="249"/>
      <c r="AE103" s="249"/>
      <c r="AF103" s="249"/>
      <c r="AG103" s="245"/>
      <c r="AH103" s="249"/>
      <c r="AI103" s="249"/>
      <c r="AJ103" s="249"/>
      <c r="AK103" s="245"/>
      <c r="AL103" s="245"/>
      <c r="AM103" s="245"/>
      <c r="AN103" s="251"/>
      <c r="AO103" s="251"/>
      <c r="AP103" s="249"/>
      <c r="AQ103" s="251"/>
      <c r="AR103" s="249"/>
    </row>
    <row r="104" spans="1:44" ht="72.5" hidden="1">
      <c r="A104" s="66" t="s">
        <v>398</v>
      </c>
      <c r="B104" s="67">
        <v>10</v>
      </c>
      <c r="C104" s="68" t="s">
        <v>399</v>
      </c>
      <c r="D104" s="69" t="s">
        <v>400</v>
      </c>
      <c r="E104" s="70" t="s">
        <v>1505</v>
      </c>
      <c r="F104" s="37" t="s">
        <v>402</v>
      </c>
      <c r="G104" s="38" t="s">
        <v>403</v>
      </c>
      <c r="H104" s="39" t="s">
        <v>104</v>
      </c>
      <c r="I104" s="39" t="s">
        <v>114</v>
      </c>
      <c r="J104" s="359" t="str">
        <f>G104</f>
        <v>Establir un model de construcció a l'ENP en base al model de Pla de protecció</v>
      </c>
      <c r="K104" s="51" t="s">
        <v>1132</v>
      </c>
      <c r="L104" s="42" t="s">
        <v>674</v>
      </c>
      <c r="M104" s="308"/>
      <c r="N104" s="360"/>
      <c r="O104" s="244"/>
      <c r="P104" s="45" t="s">
        <v>404</v>
      </c>
      <c r="Q104" s="245"/>
      <c r="R104" s="246"/>
      <c r="S104" s="246"/>
      <c r="T104" s="245"/>
      <c r="U104" s="247"/>
      <c r="V104" s="247"/>
      <c r="W104" s="248">
        <f t="shared" si="2"/>
        <v>0</v>
      </c>
      <c r="X104" s="245" t="s">
        <v>1205</v>
      </c>
      <c r="Y104" s="249"/>
      <c r="Z104" s="245"/>
      <c r="AA104" s="245"/>
      <c r="AB104" s="249"/>
      <c r="AC104" s="249"/>
      <c r="AD104" s="249"/>
      <c r="AE104" s="249"/>
      <c r="AF104" s="249"/>
      <c r="AG104" s="245"/>
      <c r="AH104" s="249"/>
      <c r="AI104" s="249"/>
      <c r="AJ104" s="249"/>
      <c r="AK104" s="245"/>
      <c r="AL104" s="245"/>
      <c r="AM104" s="245"/>
      <c r="AN104" s="251"/>
      <c r="AO104" s="251"/>
      <c r="AP104" s="249"/>
      <c r="AQ104" s="251"/>
      <c r="AR104" s="249"/>
    </row>
    <row r="105" spans="1:44" ht="29" hidden="1">
      <c r="A105" s="66"/>
      <c r="B105" s="361"/>
      <c r="C105" s="362"/>
      <c r="D105" s="363"/>
      <c r="E105" s="364"/>
      <c r="F105" s="37" t="s">
        <v>1506</v>
      </c>
      <c r="G105" s="38" t="s">
        <v>1507</v>
      </c>
      <c r="H105" s="39" t="s">
        <v>104</v>
      </c>
      <c r="I105" s="39" t="s">
        <v>114</v>
      </c>
      <c r="J105" s="359" t="s">
        <v>1130</v>
      </c>
      <c r="K105" s="296" t="s">
        <v>1508</v>
      </c>
      <c r="L105" s="42"/>
      <c r="M105" s="308"/>
      <c r="N105" s="360"/>
      <c r="O105" s="244"/>
      <c r="P105" s="45"/>
      <c r="Q105" s="245"/>
      <c r="R105" s="246"/>
      <c r="S105" s="246"/>
      <c r="T105" s="245"/>
      <c r="U105" s="247"/>
      <c r="V105" s="247"/>
      <c r="W105" s="248">
        <f t="shared" si="2"/>
        <v>0</v>
      </c>
      <c r="X105" s="245" t="s">
        <v>1159</v>
      </c>
      <c r="Y105" s="249" t="s">
        <v>1108</v>
      </c>
      <c r="Z105" s="245"/>
      <c r="AA105" s="245"/>
      <c r="AB105" s="249"/>
      <c r="AC105" s="249"/>
      <c r="AD105" s="249"/>
      <c r="AE105" s="249"/>
      <c r="AF105" s="249"/>
      <c r="AG105" s="245"/>
      <c r="AH105" s="249"/>
      <c r="AI105" s="249"/>
      <c r="AJ105" s="249"/>
      <c r="AK105" s="245"/>
      <c r="AL105" s="245"/>
      <c r="AM105" s="245"/>
      <c r="AN105" s="251"/>
      <c r="AO105" s="251"/>
      <c r="AP105" s="249"/>
      <c r="AQ105" s="251"/>
      <c r="AR105" s="249"/>
    </row>
    <row r="106" spans="1:44" ht="154.5" hidden="1" customHeight="1">
      <c r="A106" s="66"/>
      <c r="B106" s="72">
        <v>11</v>
      </c>
      <c r="C106" s="512" t="s">
        <v>405</v>
      </c>
      <c r="D106" s="497" t="s">
        <v>406</v>
      </c>
      <c r="E106" s="499" t="s">
        <v>407</v>
      </c>
      <c r="F106" s="37" t="s">
        <v>408</v>
      </c>
      <c r="G106" s="90" t="s">
        <v>1509</v>
      </c>
      <c r="H106" s="39" t="s">
        <v>104</v>
      </c>
      <c r="I106" s="39" t="s">
        <v>114</v>
      </c>
      <c r="J106" s="365" t="s">
        <v>1510</v>
      </c>
      <c r="K106" s="318" t="s">
        <v>1264</v>
      </c>
      <c r="L106" s="40" t="s">
        <v>1088</v>
      </c>
      <c r="M106" s="242" t="s">
        <v>1102</v>
      </c>
      <c r="N106" s="336" t="s">
        <v>1511</v>
      </c>
      <c r="O106" s="244"/>
      <c r="P106" s="45" t="s">
        <v>404</v>
      </c>
      <c r="Q106" s="74" t="s">
        <v>1512</v>
      </c>
      <c r="R106" s="246">
        <v>1</v>
      </c>
      <c r="S106" s="246">
        <v>1</v>
      </c>
      <c r="T106" s="366" t="s">
        <v>1513</v>
      </c>
      <c r="U106" s="247" t="s">
        <v>1514</v>
      </c>
      <c r="V106" s="247" t="s">
        <v>1515</v>
      </c>
      <c r="W106" s="248">
        <f t="shared" si="2"/>
        <v>130</v>
      </c>
      <c r="X106" s="245" t="s">
        <v>1205</v>
      </c>
      <c r="Y106" s="249" t="s">
        <v>1108</v>
      </c>
      <c r="Z106" s="74" t="s">
        <v>1516</v>
      </c>
      <c r="AA106" s="245"/>
      <c r="AB106" s="249"/>
      <c r="AC106" s="245" t="s">
        <v>1517</v>
      </c>
      <c r="AD106" s="249">
        <v>100</v>
      </c>
      <c r="AE106" s="249"/>
      <c r="AF106" s="249"/>
      <c r="AG106" s="245"/>
      <c r="AH106" s="249"/>
      <c r="AI106" s="249"/>
      <c r="AJ106" s="249"/>
      <c r="AK106" s="245"/>
      <c r="AL106" s="245"/>
      <c r="AM106" s="245" t="s">
        <v>1518</v>
      </c>
      <c r="AN106" s="251">
        <v>30</v>
      </c>
      <c r="AO106" s="251"/>
      <c r="AP106" s="249"/>
      <c r="AQ106" s="251"/>
      <c r="AR106" s="249"/>
    </row>
    <row r="107" spans="1:44" ht="150" hidden="1" customHeight="1">
      <c r="A107" s="66"/>
      <c r="B107" s="367"/>
      <c r="C107" s="512"/>
      <c r="D107" s="497"/>
      <c r="E107" s="499"/>
      <c r="F107" s="37" t="s">
        <v>410</v>
      </c>
      <c r="G107" s="38" t="s">
        <v>1519</v>
      </c>
      <c r="H107" s="39" t="s">
        <v>104</v>
      </c>
      <c r="I107" s="39" t="s">
        <v>114</v>
      </c>
      <c r="J107" s="365" t="s">
        <v>1520</v>
      </c>
      <c r="K107" s="318" t="s">
        <v>1264</v>
      </c>
      <c r="L107" s="40" t="s">
        <v>1088</v>
      </c>
      <c r="M107" s="242" t="s">
        <v>1136</v>
      </c>
      <c r="N107" s="368" t="s">
        <v>1521</v>
      </c>
      <c r="O107" s="244"/>
      <c r="P107" s="45" t="s">
        <v>404</v>
      </c>
      <c r="Q107" s="245" t="s">
        <v>1522</v>
      </c>
      <c r="R107" s="246">
        <v>1</v>
      </c>
      <c r="S107" s="246">
        <v>4</v>
      </c>
      <c r="T107" s="40" t="s">
        <v>1523</v>
      </c>
      <c r="U107" s="247" t="s">
        <v>1524</v>
      </c>
      <c r="V107" s="247" t="s">
        <v>1525</v>
      </c>
      <c r="W107" s="248">
        <f t="shared" si="2"/>
        <v>100</v>
      </c>
      <c r="X107" s="245" t="s">
        <v>1205</v>
      </c>
      <c r="Y107" s="249" t="s">
        <v>1108</v>
      </c>
      <c r="Z107" s="245" t="s">
        <v>1109</v>
      </c>
      <c r="AA107" s="245"/>
      <c r="AB107" s="249"/>
      <c r="AC107" s="245" t="s">
        <v>1526</v>
      </c>
      <c r="AD107" s="249">
        <v>55</v>
      </c>
      <c r="AE107" s="249"/>
      <c r="AF107" s="249"/>
      <c r="AG107" s="245"/>
      <c r="AH107" s="249"/>
      <c r="AI107" s="249"/>
      <c r="AJ107" s="249"/>
      <c r="AK107" s="245"/>
      <c r="AL107" s="245"/>
      <c r="AM107" s="245" t="s">
        <v>1527</v>
      </c>
      <c r="AN107" s="251">
        <v>15</v>
      </c>
      <c r="AO107" s="251"/>
      <c r="AP107" s="249"/>
      <c r="AQ107" s="251" t="s">
        <v>1528</v>
      </c>
      <c r="AR107" s="249">
        <v>30</v>
      </c>
    </row>
    <row r="108" spans="1:44" ht="184.5" hidden="1" customHeight="1">
      <c r="A108" s="66"/>
      <c r="B108" s="367"/>
      <c r="C108" s="512"/>
      <c r="D108" s="497"/>
      <c r="E108" s="499"/>
      <c r="F108" s="37" t="s">
        <v>412</v>
      </c>
      <c r="G108" s="38" t="s">
        <v>1529</v>
      </c>
      <c r="H108" s="39" t="s">
        <v>126</v>
      </c>
      <c r="I108" s="39" t="s">
        <v>114</v>
      </c>
      <c r="J108" s="317" t="s">
        <v>1530</v>
      </c>
      <c r="K108" s="318" t="s">
        <v>1264</v>
      </c>
      <c r="L108" s="40" t="s">
        <v>1088</v>
      </c>
      <c r="M108" s="242" t="s">
        <v>1136</v>
      </c>
      <c r="N108" s="301" t="s">
        <v>1531</v>
      </c>
      <c r="O108" s="244"/>
      <c r="P108" s="45" t="s">
        <v>404</v>
      </c>
      <c r="Q108" s="247" t="s">
        <v>1532</v>
      </c>
      <c r="R108" s="246">
        <v>3</v>
      </c>
      <c r="S108" s="246">
        <v>4</v>
      </c>
      <c r="T108" s="40" t="s">
        <v>1533</v>
      </c>
      <c r="U108" s="247" t="s">
        <v>1534</v>
      </c>
      <c r="V108" s="247" t="s">
        <v>1535</v>
      </c>
      <c r="W108" s="248">
        <f t="shared" si="2"/>
        <v>85</v>
      </c>
      <c r="X108" s="245" t="s">
        <v>1205</v>
      </c>
      <c r="Y108" s="249" t="s">
        <v>1108</v>
      </c>
      <c r="Z108" s="245" t="s">
        <v>1109</v>
      </c>
      <c r="AA108" s="245"/>
      <c r="AB108" s="249"/>
      <c r="AC108" s="245" t="s">
        <v>1536</v>
      </c>
      <c r="AD108" s="249">
        <v>75</v>
      </c>
      <c r="AE108" s="249"/>
      <c r="AF108" s="249"/>
      <c r="AG108" s="245"/>
      <c r="AH108" s="249"/>
      <c r="AI108" s="249"/>
      <c r="AJ108" s="249"/>
      <c r="AK108" s="245"/>
      <c r="AL108" s="245"/>
      <c r="AM108" s="245" t="s">
        <v>1176</v>
      </c>
      <c r="AN108" s="251">
        <v>10</v>
      </c>
      <c r="AO108" s="251"/>
      <c r="AP108" s="249"/>
      <c r="AQ108" s="251"/>
      <c r="AR108" s="249"/>
    </row>
    <row r="109" spans="1:44" ht="77.25" hidden="1" customHeight="1">
      <c r="A109" s="66"/>
      <c r="B109" s="367"/>
      <c r="C109" s="369"/>
      <c r="D109" s="497"/>
      <c r="E109" s="499"/>
      <c r="F109" s="37" t="s">
        <v>414</v>
      </c>
      <c r="G109" s="38" t="s">
        <v>1537</v>
      </c>
      <c r="H109" s="39" t="s">
        <v>104</v>
      </c>
      <c r="I109" s="39" t="s">
        <v>114</v>
      </c>
      <c r="J109" s="317" t="s">
        <v>1538</v>
      </c>
      <c r="K109" s="318" t="s">
        <v>1264</v>
      </c>
      <c r="L109" s="40" t="s">
        <v>1088</v>
      </c>
      <c r="M109" s="242" t="s">
        <v>1089</v>
      </c>
      <c r="N109" s="336" t="s">
        <v>1539</v>
      </c>
      <c r="O109" s="244"/>
      <c r="P109" s="45" t="s">
        <v>404</v>
      </c>
      <c r="Q109" s="245" t="s">
        <v>1540</v>
      </c>
      <c r="R109" s="293">
        <v>0.75</v>
      </c>
      <c r="S109" s="293">
        <v>1</v>
      </c>
      <c r="T109" s="245" t="s">
        <v>1541</v>
      </c>
      <c r="U109" s="247" t="s">
        <v>1542</v>
      </c>
      <c r="V109" s="247" t="s">
        <v>1543</v>
      </c>
      <c r="W109" s="248">
        <f t="shared" si="2"/>
        <v>40</v>
      </c>
      <c r="X109" s="245" t="s">
        <v>1205</v>
      </c>
      <c r="Y109" s="249" t="s">
        <v>1108</v>
      </c>
      <c r="Z109" s="245" t="s">
        <v>1109</v>
      </c>
      <c r="AA109" s="245"/>
      <c r="AB109" s="249"/>
      <c r="AC109" s="245" t="s">
        <v>1544</v>
      </c>
      <c r="AD109" s="249">
        <v>30</v>
      </c>
      <c r="AE109" s="249"/>
      <c r="AF109" s="249"/>
      <c r="AG109" s="245"/>
      <c r="AH109" s="249"/>
      <c r="AI109" s="249"/>
      <c r="AJ109" s="249"/>
      <c r="AK109" s="245"/>
      <c r="AL109" s="245"/>
      <c r="AM109" s="245" t="s">
        <v>1362</v>
      </c>
      <c r="AN109" s="251">
        <v>10</v>
      </c>
      <c r="AO109" s="251"/>
      <c r="AP109" s="249"/>
      <c r="AQ109" s="251"/>
      <c r="AR109" s="249"/>
    </row>
    <row r="110" spans="1:44" ht="87" hidden="1">
      <c r="A110" s="66"/>
      <c r="B110" s="361"/>
      <c r="C110" s="362"/>
      <c r="D110" s="497"/>
      <c r="E110" s="499"/>
      <c r="F110" s="37" t="s">
        <v>416</v>
      </c>
      <c r="G110" s="38" t="s">
        <v>1545</v>
      </c>
      <c r="H110" s="39" t="s">
        <v>104</v>
      </c>
      <c r="I110" s="39" t="s">
        <v>114</v>
      </c>
      <c r="J110" s="317" t="s">
        <v>1546</v>
      </c>
      <c r="K110" s="318" t="s">
        <v>1264</v>
      </c>
      <c r="L110" s="40" t="s">
        <v>1088</v>
      </c>
      <c r="M110" s="242" t="s">
        <v>1136</v>
      </c>
      <c r="N110" s="336" t="s">
        <v>1547</v>
      </c>
      <c r="O110" s="244"/>
      <c r="P110" s="45" t="s">
        <v>404</v>
      </c>
      <c r="Q110" s="245" t="s">
        <v>1548</v>
      </c>
      <c r="R110" s="293">
        <v>1</v>
      </c>
      <c r="S110" s="293">
        <v>1</v>
      </c>
      <c r="T110" s="290"/>
      <c r="U110" s="247"/>
      <c r="V110" s="247"/>
      <c r="W110" s="248">
        <f t="shared" si="2"/>
        <v>45</v>
      </c>
      <c r="X110" s="245" t="s">
        <v>1205</v>
      </c>
      <c r="Y110" s="249" t="s">
        <v>1108</v>
      </c>
      <c r="Z110" s="245" t="s">
        <v>1109</v>
      </c>
      <c r="AA110" s="245"/>
      <c r="AB110" s="249"/>
      <c r="AC110" s="249" t="s">
        <v>1139</v>
      </c>
      <c r="AD110" s="249">
        <v>40</v>
      </c>
      <c r="AE110" s="249"/>
      <c r="AF110" s="249"/>
      <c r="AG110" s="245"/>
      <c r="AH110" s="249"/>
      <c r="AI110" s="249"/>
      <c r="AJ110" s="249"/>
      <c r="AK110" s="245"/>
      <c r="AL110" s="245"/>
      <c r="AM110" s="245" t="s">
        <v>1220</v>
      </c>
      <c r="AN110" s="251">
        <v>5</v>
      </c>
      <c r="AO110" s="251"/>
      <c r="AP110" s="249"/>
      <c r="AQ110" s="251"/>
      <c r="AR110" s="249"/>
    </row>
    <row r="111" spans="1:44" ht="96" hidden="1" customHeight="1">
      <c r="A111" s="66"/>
      <c r="B111" s="361"/>
      <c r="C111" s="362"/>
      <c r="D111" s="497"/>
      <c r="E111" s="499"/>
      <c r="F111" s="37" t="s">
        <v>418</v>
      </c>
      <c r="G111" s="38" t="s">
        <v>1549</v>
      </c>
      <c r="H111" s="39" t="s">
        <v>104</v>
      </c>
      <c r="I111" s="39" t="s">
        <v>114</v>
      </c>
      <c r="J111" s="317" t="s">
        <v>1550</v>
      </c>
      <c r="K111" s="318" t="s">
        <v>1264</v>
      </c>
      <c r="L111" s="40" t="s">
        <v>1088</v>
      </c>
      <c r="M111" s="242" t="s">
        <v>1136</v>
      </c>
      <c r="N111" s="336" t="s">
        <v>1551</v>
      </c>
      <c r="O111" s="244"/>
      <c r="P111" s="45" t="s">
        <v>404</v>
      </c>
      <c r="Q111" s="245" t="s">
        <v>1552</v>
      </c>
      <c r="R111" s="293">
        <v>1</v>
      </c>
      <c r="S111" s="293">
        <v>1</v>
      </c>
      <c r="T111" s="290"/>
      <c r="U111" s="247"/>
      <c r="V111" s="247"/>
      <c r="W111" s="248">
        <f t="shared" si="2"/>
        <v>125</v>
      </c>
      <c r="X111" s="245" t="s">
        <v>1205</v>
      </c>
      <c r="Y111" s="249" t="s">
        <v>1108</v>
      </c>
      <c r="Z111" s="245" t="s">
        <v>1109</v>
      </c>
      <c r="AA111" s="245"/>
      <c r="AB111" s="249"/>
      <c r="AC111" s="249" t="s">
        <v>1553</v>
      </c>
      <c r="AD111" s="249">
        <v>120</v>
      </c>
      <c r="AE111" s="249"/>
      <c r="AF111" s="249"/>
      <c r="AG111" s="245"/>
      <c r="AH111" s="249"/>
      <c r="AI111" s="249"/>
      <c r="AJ111" s="249"/>
      <c r="AK111" s="245"/>
      <c r="AL111" s="245"/>
      <c r="AM111" s="245" t="s">
        <v>1220</v>
      </c>
      <c r="AN111" s="251">
        <v>5</v>
      </c>
      <c r="AO111" s="251"/>
      <c r="AP111" s="249"/>
      <c r="AQ111" s="251"/>
      <c r="AR111" s="249"/>
    </row>
    <row r="112" spans="1:44" ht="72.5" hidden="1">
      <c r="A112" s="66"/>
      <c r="B112" s="367"/>
      <c r="C112" s="369"/>
      <c r="D112" s="497"/>
      <c r="E112" s="499"/>
      <c r="F112" s="37" t="s">
        <v>420</v>
      </c>
      <c r="G112" s="38" t="s">
        <v>1554</v>
      </c>
      <c r="H112" s="39" t="s">
        <v>126</v>
      </c>
      <c r="I112" s="39" t="s">
        <v>114</v>
      </c>
      <c r="J112" s="40" t="s">
        <v>1130</v>
      </c>
      <c r="K112" s="51" t="s">
        <v>1555</v>
      </c>
      <c r="L112" s="40"/>
      <c r="M112" s="242"/>
      <c r="N112" s="370"/>
      <c r="O112" s="244"/>
      <c r="P112" s="45" t="s">
        <v>404</v>
      </c>
      <c r="Q112" s="245"/>
      <c r="R112" s="246"/>
      <c r="S112" s="246"/>
      <c r="T112" s="245"/>
      <c r="U112" s="247"/>
      <c r="V112" s="247"/>
      <c r="W112" s="248">
        <f t="shared" si="2"/>
        <v>0</v>
      </c>
      <c r="X112" s="245" t="s">
        <v>1205</v>
      </c>
      <c r="Y112" s="249"/>
      <c r="Z112" s="245"/>
      <c r="AA112" s="245"/>
      <c r="AB112" s="249"/>
      <c r="AC112" s="249"/>
      <c r="AD112" s="249"/>
      <c r="AE112" s="249"/>
      <c r="AF112" s="249"/>
      <c r="AG112" s="245"/>
      <c r="AH112" s="249"/>
      <c r="AI112" s="249"/>
      <c r="AJ112" s="249"/>
      <c r="AK112" s="245"/>
      <c r="AL112" s="245"/>
      <c r="AM112" s="245"/>
      <c r="AN112" s="251"/>
      <c r="AO112" s="251"/>
      <c r="AP112" s="249"/>
      <c r="AQ112" s="251"/>
      <c r="AR112" s="249"/>
    </row>
    <row r="113" spans="1:44" ht="72.5">
      <c r="A113" s="66" t="s">
        <v>398</v>
      </c>
      <c r="B113" s="367">
        <v>11</v>
      </c>
      <c r="C113" s="371" t="s">
        <v>1556</v>
      </c>
      <c r="D113" s="497"/>
      <c r="E113" s="499"/>
      <c r="F113" s="37" t="s">
        <v>422</v>
      </c>
      <c r="G113" s="38" t="s">
        <v>1557</v>
      </c>
      <c r="H113" s="39" t="s">
        <v>126</v>
      </c>
      <c r="I113" s="39" t="s">
        <v>114</v>
      </c>
      <c r="J113" s="40" t="s">
        <v>1557</v>
      </c>
      <c r="K113" s="51"/>
      <c r="L113" s="40" t="s">
        <v>1088</v>
      </c>
      <c r="M113" s="242" t="s">
        <v>1136</v>
      </c>
      <c r="N113" s="343" t="s">
        <v>1558</v>
      </c>
      <c r="O113" s="244"/>
      <c r="P113" s="45" t="s">
        <v>404</v>
      </c>
      <c r="Q113" s="245" t="s">
        <v>1559</v>
      </c>
      <c r="R113" s="293">
        <v>0.75</v>
      </c>
      <c r="S113" s="293">
        <v>1</v>
      </c>
      <c r="T113" s="245" t="s">
        <v>1560</v>
      </c>
      <c r="U113" s="247" t="s">
        <v>1561</v>
      </c>
      <c r="V113" s="247" t="s">
        <v>1562</v>
      </c>
      <c r="W113" s="248">
        <f t="shared" si="2"/>
        <v>70</v>
      </c>
      <c r="X113" s="245" t="s">
        <v>1205</v>
      </c>
      <c r="Y113" s="249" t="s">
        <v>1108</v>
      </c>
      <c r="Z113" s="245" t="s">
        <v>1109</v>
      </c>
      <c r="AA113" s="245"/>
      <c r="AB113" s="249"/>
      <c r="AC113" s="245" t="s">
        <v>1563</v>
      </c>
      <c r="AD113" s="249">
        <v>65</v>
      </c>
      <c r="AE113" s="249"/>
      <c r="AF113" s="249"/>
      <c r="AG113" s="245"/>
      <c r="AH113" s="249"/>
      <c r="AI113" s="249"/>
      <c r="AJ113" s="249"/>
      <c r="AK113" s="245"/>
      <c r="AL113" s="245"/>
      <c r="AM113" s="245" t="s">
        <v>1220</v>
      </c>
      <c r="AN113" s="251">
        <v>5</v>
      </c>
      <c r="AO113" s="251"/>
      <c r="AP113" s="249"/>
      <c r="AQ113" s="251"/>
      <c r="AR113" s="249"/>
    </row>
    <row r="114" spans="1:44" ht="14.5" hidden="1">
      <c r="A114" s="66"/>
      <c r="B114" s="367"/>
      <c r="C114" s="369"/>
      <c r="D114" s="497"/>
      <c r="E114" s="499"/>
      <c r="F114" s="37" t="s">
        <v>424</v>
      </c>
      <c r="G114" s="38" t="s">
        <v>1564</v>
      </c>
      <c r="H114" s="39" t="s">
        <v>126</v>
      </c>
      <c r="I114" s="39" t="s">
        <v>114</v>
      </c>
      <c r="J114" s="40" t="s">
        <v>1130</v>
      </c>
      <c r="K114" s="51" t="s">
        <v>1565</v>
      </c>
      <c r="L114" s="40"/>
      <c r="M114" s="308"/>
      <c r="N114" s="372"/>
      <c r="O114" s="244"/>
      <c r="P114" s="45" t="s">
        <v>404</v>
      </c>
      <c r="Q114" s="245"/>
      <c r="R114" s="246"/>
      <c r="S114" s="246"/>
      <c r="T114" s="245"/>
      <c r="U114" s="247"/>
      <c r="V114" s="247"/>
      <c r="W114" s="248">
        <f t="shared" si="2"/>
        <v>0</v>
      </c>
      <c r="X114" s="245" t="s">
        <v>1205</v>
      </c>
      <c r="Y114" s="249"/>
      <c r="Z114" s="245"/>
      <c r="AA114" s="245"/>
      <c r="AB114" s="249"/>
      <c r="AC114" s="249"/>
      <c r="AD114" s="249"/>
      <c r="AE114" s="249"/>
      <c r="AF114" s="249"/>
      <c r="AG114" s="245"/>
      <c r="AH114" s="249"/>
      <c r="AI114" s="249"/>
      <c r="AJ114" s="249"/>
      <c r="AK114" s="245"/>
      <c r="AL114" s="245"/>
      <c r="AM114" s="245"/>
      <c r="AN114" s="251"/>
      <c r="AO114" s="251"/>
      <c r="AP114" s="249"/>
      <c r="AQ114" s="251"/>
      <c r="AR114" s="249"/>
    </row>
    <row r="115" spans="1:44" ht="29" hidden="1">
      <c r="A115" s="66"/>
      <c r="B115" s="367"/>
      <c r="C115" s="369"/>
      <c r="D115" s="497"/>
      <c r="E115" s="499"/>
      <c r="F115" s="37" t="s">
        <v>426</v>
      </c>
      <c r="G115" s="38" t="s">
        <v>1566</v>
      </c>
      <c r="H115" s="39" t="s">
        <v>126</v>
      </c>
      <c r="I115" s="39" t="s">
        <v>114</v>
      </c>
      <c r="J115" s="40" t="s">
        <v>1130</v>
      </c>
      <c r="K115" s="51" t="s">
        <v>1565</v>
      </c>
      <c r="L115" s="40"/>
      <c r="M115" s="308"/>
      <c r="N115" s="372"/>
      <c r="O115" s="244"/>
      <c r="P115" s="45" t="s">
        <v>404</v>
      </c>
      <c r="Q115" s="245"/>
      <c r="R115" s="246"/>
      <c r="S115" s="246"/>
      <c r="T115" s="245"/>
      <c r="U115" s="247"/>
      <c r="V115" s="247"/>
      <c r="W115" s="248">
        <f t="shared" si="2"/>
        <v>0</v>
      </c>
      <c r="X115" s="245" t="s">
        <v>1205</v>
      </c>
      <c r="Y115" s="249"/>
      <c r="Z115" s="245"/>
      <c r="AA115" s="245"/>
      <c r="AB115" s="249"/>
      <c r="AC115" s="249"/>
      <c r="AD115" s="249"/>
      <c r="AE115" s="249"/>
      <c r="AF115" s="249"/>
      <c r="AG115" s="245"/>
      <c r="AH115" s="249"/>
      <c r="AI115" s="249"/>
      <c r="AJ115" s="249"/>
      <c r="AK115" s="245"/>
      <c r="AL115" s="245"/>
      <c r="AM115" s="245"/>
      <c r="AN115" s="251"/>
      <c r="AO115" s="251"/>
      <c r="AP115" s="249"/>
      <c r="AQ115" s="251"/>
      <c r="AR115" s="249"/>
    </row>
    <row r="116" spans="1:44" ht="43.5">
      <c r="A116" s="66"/>
      <c r="B116" s="367"/>
      <c r="C116" s="369"/>
      <c r="D116" s="497"/>
      <c r="E116" s="499"/>
      <c r="F116" s="37" t="s">
        <v>428</v>
      </c>
      <c r="G116" s="45" t="s">
        <v>1567</v>
      </c>
      <c r="H116" s="39" t="s">
        <v>104</v>
      </c>
      <c r="I116" s="39" t="s">
        <v>114</v>
      </c>
      <c r="J116" s="40" t="str">
        <f>G116</f>
        <v>Ordenar la presència d'animals de companyia</v>
      </c>
      <c r="K116" s="51" t="s">
        <v>1568</v>
      </c>
      <c r="L116" s="40" t="s">
        <v>1088</v>
      </c>
      <c r="M116" s="242" t="s">
        <v>1377</v>
      </c>
      <c r="N116" s="373" t="s">
        <v>1569</v>
      </c>
      <c r="O116" s="244"/>
      <c r="P116" s="45" t="s">
        <v>404</v>
      </c>
      <c r="Q116" s="245" t="s">
        <v>1570</v>
      </c>
      <c r="R116" s="246">
        <v>1</v>
      </c>
      <c r="S116" s="246">
        <v>1</v>
      </c>
      <c r="U116" s="247"/>
      <c r="V116" s="247"/>
      <c r="W116" s="248">
        <f t="shared" si="2"/>
        <v>5</v>
      </c>
      <c r="X116" s="245" t="s">
        <v>1205</v>
      </c>
      <c r="Y116" s="249"/>
      <c r="Z116" s="245"/>
      <c r="AA116" s="245"/>
      <c r="AB116" s="249"/>
      <c r="AC116" s="249"/>
      <c r="AD116" s="249"/>
      <c r="AE116" s="249"/>
      <c r="AF116" s="249"/>
      <c r="AG116" s="245"/>
      <c r="AH116" s="249"/>
      <c r="AI116" s="249"/>
      <c r="AJ116" s="249"/>
      <c r="AK116" s="245"/>
      <c r="AL116" s="245"/>
      <c r="AM116" s="245" t="s">
        <v>1571</v>
      </c>
      <c r="AN116" s="251">
        <v>5</v>
      </c>
      <c r="AO116" s="251"/>
      <c r="AP116" s="249"/>
      <c r="AQ116" s="251"/>
      <c r="AR116" s="249"/>
    </row>
    <row r="117" spans="1:44" ht="43.5" hidden="1">
      <c r="A117" s="66"/>
      <c r="B117" s="367"/>
      <c r="C117" s="369"/>
      <c r="D117" s="497"/>
      <c r="E117" s="499"/>
      <c r="F117" s="37" t="s">
        <v>430</v>
      </c>
      <c r="G117" s="38" t="s">
        <v>1572</v>
      </c>
      <c r="H117" s="39" t="s">
        <v>104</v>
      </c>
      <c r="I117" s="39" t="s">
        <v>114</v>
      </c>
      <c r="J117" s="324" t="str">
        <f>G117</f>
        <v>Ordenar lels activitats d'educació ambiental i el lleure educatiu</v>
      </c>
      <c r="K117" s="51" t="s">
        <v>1568</v>
      </c>
      <c r="L117" s="42" t="s">
        <v>674</v>
      </c>
      <c r="M117" s="308"/>
      <c r="N117" s="372"/>
      <c r="O117" s="244"/>
      <c r="P117" s="45" t="s">
        <v>404</v>
      </c>
      <c r="Q117" s="245"/>
      <c r="R117" s="246"/>
      <c r="S117" s="246"/>
      <c r="T117" s="245"/>
      <c r="U117" s="247"/>
      <c r="V117" s="247"/>
      <c r="W117" s="248">
        <f t="shared" si="2"/>
        <v>0</v>
      </c>
      <c r="X117" s="245" t="s">
        <v>1205</v>
      </c>
      <c r="Y117" s="249"/>
      <c r="Z117" s="245"/>
      <c r="AA117" s="245"/>
      <c r="AB117" s="249"/>
      <c r="AC117" s="249"/>
      <c r="AD117" s="249"/>
      <c r="AE117" s="249"/>
      <c r="AF117" s="249"/>
      <c r="AG117" s="245"/>
      <c r="AH117" s="249"/>
      <c r="AI117" s="249"/>
      <c r="AJ117" s="249"/>
      <c r="AK117" s="245"/>
      <c r="AL117" s="245"/>
      <c r="AM117" s="245"/>
      <c r="AN117" s="251"/>
      <c r="AO117" s="251"/>
      <c r="AP117" s="249"/>
      <c r="AQ117" s="251"/>
      <c r="AR117" s="249"/>
    </row>
    <row r="118" spans="1:44" ht="54" customHeight="1">
      <c r="A118" s="66"/>
      <c r="B118" s="367"/>
      <c r="C118" s="369"/>
      <c r="D118" s="497" t="s">
        <v>432</v>
      </c>
      <c r="E118" s="514" t="s">
        <v>433</v>
      </c>
      <c r="F118" s="374" t="s">
        <v>434</v>
      </c>
      <c r="G118" s="375" t="s">
        <v>435</v>
      </c>
      <c r="H118" s="374" t="s">
        <v>104</v>
      </c>
      <c r="I118" s="374" t="s">
        <v>114</v>
      </c>
      <c r="J118" s="376" t="s">
        <v>1573</v>
      </c>
      <c r="K118" s="377"/>
      <c r="L118" s="378" t="s">
        <v>1088</v>
      </c>
      <c r="M118" s="379" t="s">
        <v>1136</v>
      </c>
      <c r="N118" s="243" t="s">
        <v>1574</v>
      </c>
      <c r="O118" s="380"/>
      <c r="P118" s="375" t="s">
        <v>436</v>
      </c>
      <c r="Q118" s="262" t="s">
        <v>1575</v>
      </c>
      <c r="R118" s="260">
        <v>20</v>
      </c>
      <c r="S118" s="260">
        <v>20</v>
      </c>
      <c r="T118" s="262" t="s">
        <v>1576</v>
      </c>
      <c r="U118" s="266" t="s">
        <v>1577</v>
      </c>
      <c r="V118" s="266" t="s">
        <v>1578</v>
      </c>
      <c r="W118" s="248">
        <f t="shared" si="2"/>
        <v>295</v>
      </c>
      <c r="X118" s="262" t="s">
        <v>1205</v>
      </c>
      <c r="Y118" s="381" t="s">
        <v>1108</v>
      </c>
      <c r="Z118" s="262" t="s">
        <v>1579</v>
      </c>
      <c r="AA118" s="262"/>
      <c r="AB118" s="381"/>
      <c r="AC118" s="382" t="s">
        <v>1580</v>
      </c>
      <c r="AD118" s="382">
        <v>200</v>
      </c>
      <c r="AE118" s="381"/>
      <c r="AF118" s="381"/>
      <c r="AI118" s="381"/>
      <c r="AJ118" s="381"/>
      <c r="AK118" s="262"/>
      <c r="AL118" s="262"/>
      <c r="AM118" s="262" t="s">
        <v>1235</v>
      </c>
      <c r="AN118" s="383">
        <v>20</v>
      </c>
      <c r="AO118" s="383"/>
      <c r="AP118" s="381"/>
      <c r="AQ118" s="383" t="s">
        <v>1325</v>
      </c>
      <c r="AR118" s="381">
        <v>75</v>
      </c>
    </row>
    <row r="119" spans="1:44" s="332" customFormat="1" ht="95.25" customHeight="1">
      <c r="A119" s="384"/>
      <c r="B119" s="385"/>
      <c r="C119" s="386"/>
      <c r="D119" s="513"/>
      <c r="E119" s="514"/>
      <c r="F119" s="387" t="s">
        <v>437</v>
      </c>
      <c r="G119" s="388" t="s">
        <v>438</v>
      </c>
      <c r="H119" s="387" t="s">
        <v>104</v>
      </c>
      <c r="I119" s="387" t="s">
        <v>114</v>
      </c>
      <c r="J119" s="372" t="str">
        <f t="shared" si="3"/>
        <v>Treballar conjuntament amb els principals canals d’informació de rutes  per prioritzar itineraris oficials dins l’ENP</v>
      </c>
      <c r="K119" s="389"/>
      <c r="L119" s="287" t="s">
        <v>1088</v>
      </c>
      <c r="M119" s="390" t="s">
        <v>1102</v>
      </c>
      <c r="N119" s="391" t="s">
        <v>1581</v>
      </c>
      <c r="O119" s="392"/>
      <c r="P119" s="388" t="s">
        <v>439</v>
      </c>
      <c r="Q119" s="272" t="s">
        <v>1582</v>
      </c>
      <c r="R119" s="264">
        <v>1</v>
      </c>
      <c r="S119" s="264">
        <v>3</v>
      </c>
      <c r="T119" s="272" t="s">
        <v>1583</v>
      </c>
      <c r="U119" s="273" t="s">
        <v>1584</v>
      </c>
      <c r="V119" s="273" t="s">
        <v>1585</v>
      </c>
      <c r="W119" s="248">
        <f t="shared" si="2"/>
        <v>90</v>
      </c>
      <c r="X119" s="272" t="s">
        <v>1159</v>
      </c>
      <c r="Y119" s="332" t="s">
        <v>1586</v>
      </c>
      <c r="Z119" s="272" t="s">
        <v>1109</v>
      </c>
      <c r="AA119" s="272"/>
      <c r="AC119" s="272" t="s">
        <v>1587</v>
      </c>
      <c r="AD119" s="332">
        <v>60</v>
      </c>
      <c r="AG119" s="272"/>
      <c r="AK119" s="272"/>
      <c r="AL119" s="272"/>
      <c r="AM119" s="272" t="s">
        <v>1220</v>
      </c>
      <c r="AN119" s="393">
        <v>5</v>
      </c>
      <c r="AO119" s="393"/>
      <c r="AQ119" s="393" t="s">
        <v>1270</v>
      </c>
      <c r="AR119" s="332">
        <v>25</v>
      </c>
    </row>
    <row r="120" spans="1:44" ht="96" customHeight="1">
      <c r="A120" s="66"/>
      <c r="B120" s="367"/>
      <c r="C120" s="369"/>
      <c r="D120" s="497" t="s">
        <v>440</v>
      </c>
      <c r="E120" s="499" t="s">
        <v>441</v>
      </c>
      <c r="F120" s="394" t="s">
        <v>442</v>
      </c>
      <c r="G120" s="395" t="s">
        <v>1588</v>
      </c>
      <c r="H120" s="396" t="s">
        <v>104</v>
      </c>
      <c r="I120" s="396" t="s">
        <v>114</v>
      </c>
      <c r="J120" s="397" t="str">
        <f t="shared" si="3"/>
        <v>Ordenar l'accés i la circulació</v>
      </c>
      <c r="K120" s="398"/>
      <c r="L120" s="397" t="s">
        <v>1088</v>
      </c>
      <c r="M120" s="399" t="s">
        <v>1089</v>
      </c>
      <c r="N120" s="336" t="s">
        <v>1589</v>
      </c>
      <c r="O120" s="400"/>
      <c r="P120" s="401" t="s">
        <v>404</v>
      </c>
      <c r="R120" s="270"/>
      <c r="S120" s="270"/>
      <c r="T120" s="276" t="s">
        <v>1590</v>
      </c>
      <c r="U120" s="277" t="s">
        <v>1591</v>
      </c>
      <c r="V120" s="277" t="s">
        <v>1591</v>
      </c>
      <c r="W120" s="248">
        <f t="shared" si="2"/>
        <v>1285</v>
      </c>
      <c r="X120" s="276" t="s">
        <v>1205</v>
      </c>
      <c r="Y120" s="334" t="s">
        <v>1108</v>
      </c>
      <c r="Z120" s="276" t="s">
        <v>1109</v>
      </c>
      <c r="AA120" s="276"/>
      <c r="AB120" s="334"/>
      <c r="AC120" s="334" t="s">
        <v>1592</v>
      </c>
      <c r="AD120" s="334">
        <v>50</v>
      </c>
      <c r="AE120" s="334"/>
      <c r="AF120" s="334"/>
      <c r="AG120" s="276" t="s">
        <v>1593</v>
      </c>
      <c r="AH120" s="334">
        <v>1200</v>
      </c>
      <c r="AI120" s="334"/>
      <c r="AJ120" s="334"/>
      <c r="AK120" s="276"/>
      <c r="AL120" s="276"/>
      <c r="AM120" s="276" t="s">
        <v>1594</v>
      </c>
      <c r="AN120" s="402">
        <v>35</v>
      </c>
      <c r="AO120" s="402"/>
      <c r="AP120" s="334"/>
      <c r="AQ120" s="402"/>
      <c r="AR120" s="334"/>
    </row>
    <row r="121" spans="1:44" ht="43.5">
      <c r="A121" s="66"/>
      <c r="B121" s="367"/>
      <c r="C121" s="369"/>
      <c r="D121" s="497"/>
      <c r="E121" s="499"/>
      <c r="F121" s="37" t="s">
        <v>444</v>
      </c>
      <c r="G121" s="38" t="s">
        <v>1595</v>
      </c>
      <c r="H121" s="39" t="s">
        <v>104</v>
      </c>
      <c r="I121" s="39" t="s">
        <v>114</v>
      </c>
      <c r="J121" s="40" t="str">
        <f t="shared" si="3"/>
        <v>Ordenar la xarxa viària principal, secundària i restringida</v>
      </c>
      <c r="K121" s="51"/>
      <c r="L121" s="40" t="s">
        <v>1088</v>
      </c>
      <c r="M121" s="242" t="s">
        <v>1136</v>
      </c>
      <c r="N121" s="336" t="s">
        <v>1596</v>
      </c>
      <c r="O121" s="244"/>
      <c r="P121" s="45" t="s">
        <v>404</v>
      </c>
      <c r="Q121" s="245" t="s">
        <v>1597</v>
      </c>
      <c r="R121" s="293">
        <v>1</v>
      </c>
      <c r="S121" s="293">
        <v>1</v>
      </c>
      <c r="T121" s="245"/>
      <c r="U121" s="247"/>
      <c r="V121" s="247"/>
      <c r="W121" s="248">
        <f t="shared" si="2"/>
        <v>45</v>
      </c>
      <c r="X121" s="245" t="s">
        <v>1205</v>
      </c>
      <c r="Y121" s="249" t="s">
        <v>1108</v>
      </c>
      <c r="Z121" s="245"/>
      <c r="AA121" s="245"/>
      <c r="AB121" s="249"/>
      <c r="AC121" s="249" t="s">
        <v>1598</v>
      </c>
      <c r="AD121" s="249">
        <v>35</v>
      </c>
      <c r="AE121" s="249"/>
      <c r="AF121" s="249"/>
      <c r="AI121" s="249"/>
      <c r="AJ121" s="249"/>
      <c r="AK121" s="245"/>
      <c r="AL121" s="245"/>
      <c r="AM121" s="245" t="s">
        <v>1176</v>
      </c>
      <c r="AN121" s="251">
        <v>10</v>
      </c>
      <c r="AO121" s="251"/>
      <c r="AP121" s="249"/>
      <c r="AQ121" s="251"/>
      <c r="AR121" s="249"/>
    </row>
    <row r="122" spans="1:44" ht="94.5" customHeight="1">
      <c r="A122" s="66"/>
      <c r="B122" s="367"/>
      <c r="C122" s="369"/>
      <c r="D122" s="497"/>
      <c r="E122" s="499"/>
      <c r="F122" s="37" t="s">
        <v>446</v>
      </c>
      <c r="G122" s="38" t="s">
        <v>1599</v>
      </c>
      <c r="H122" s="39" t="s">
        <v>126</v>
      </c>
      <c r="I122" s="39" t="s">
        <v>114</v>
      </c>
      <c r="J122" s="40" t="str">
        <f t="shared" si="3"/>
        <v>Ordenar l'ús de drons, l'enlairament i l'aterratge</v>
      </c>
      <c r="K122" s="51" t="s">
        <v>1600</v>
      </c>
      <c r="L122" s="40" t="s">
        <v>1088</v>
      </c>
      <c r="M122" s="242" t="s">
        <v>1136</v>
      </c>
      <c r="N122" s="336" t="s">
        <v>1601</v>
      </c>
      <c r="O122" s="244"/>
      <c r="P122" s="45" t="s">
        <v>404</v>
      </c>
      <c r="Q122" s="245" t="s">
        <v>1602</v>
      </c>
      <c r="R122" s="246">
        <v>1</v>
      </c>
      <c r="S122" s="246">
        <v>1</v>
      </c>
      <c r="T122" s="245" t="s">
        <v>1603</v>
      </c>
      <c r="U122" s="247" t="s">
        <v>1604</v>
      </c>
      <c r="V122" s="247" t="s">
        <v>1604</v>
      </c>
      <c r="W122" s="248">
        <f t="shared" si="2"/>
        <v>215</v>
      </c>
      <c r="X122" s="245" t="s">
        <v>1419</v>
      </c>
      <c r="Y122" s="249" t="s">
        <v>1108</v>
      </c>
      <c r="Z122" s="245" t="s">
        <v>1109</v>
      </c>
      <c r="AA122" s="245"/>
      <c r="AB122" s="249"/>
      <c r="AC122" s="245" t="s">
        <v>1605</v>
      </c>
      <c r="AD122" s="249">
        <v>200</v>
      </c>
      <c r="AE122" s="249"/>
      <c r="AF122" s="249"/>
      <c r="AG122" s="245"/>
      <c r="AH122" s="249"/>
      <c r="AI122" s="249"/>
      <c r="AJ122" s="249"/>
      <c r="AK122" s="245"/>
      <c r="AL122" s="245"/>
      <c r="AM122" s="245" t="s">
        <v>1606</v>
      </c>
      <c r="AN122" s="251">
        <v>15</v>
      </c>
      <c r="AO122" s="251"/>
      <c r="AP122" s="249"/>
      <c r="AQ122" s="251"/>
      <c r="AR122" s="249"/>
    </row>
    <row r="123" spans="1:44" ht="80.25" customHeight="1">
      <c r="A123" s="66"/>
      <c r="B123" s="367"/>
      <c r="C123" s="369"/>
      <c r="D123" s="497"/>
      <c r="E123" s="499"/>
      <c r="F123" s="37" t="s">
        <v>448</v>
      </c>
      <c r="G123" s="38" t="s">
        <v>449</v>
      </c>
      <c r="H123" s="39" t="s">
        <v>104</v>
      </c>
      <c r="I123" s="39" t="s">
        <v>114</v>
      </c>
      <c r="J123" s="40" t="str">
        <f t="shared" si="3"/>
        <v>Aplicar limitacions temporals d'accés o circulació</v>
      </c>
      <c r="K123" s="51"/>
      <c r="L123" s="40" t="s">
        <v>1088</v>
      </c>
      <c r="M123" s="242" t="s">
        <v>1136</v>
      </c>
      <c r="N123" s="343" t="s">
        <v>1607</v>
      </c>
      <c r="O123" s="244"/>
      <c r="P123" s="45" t="s">
        <v>404</v>
      </c>
      <c r="Q123" s="245" t="s">
        <v>1608</v>
      </c>
      <c r="R123" s="293">
        <v>0.75</v>
      </c>
      <c r="S123" s="293">
        <v>1</v>
      </c>
      <c r="T123" s="290" t="s">
        <v>1609</v>
      </c>
      <c r="U123" s="247" t="s">
        <v>1610</v>
      </c>
      <c r="V123" s="247" t="s">
        <v>1611</v>
      </c>
      <c r="W123" s="248">
        <f t="shared" si="2"/>
        <v>1845</v>
      </c>
      <c r="X123" s="245" t="s">
        <v>1205</v>
      </c>
      <c r="Y123" s="249" t="s">
        <v>1151</v>
      </c>
      <c r="Z123" s="245" t="s">
        <v>1109</v>
      </c>
      <c r="AA123" s="245"/>
      <c r="AB123" s="249"/>
      <c r="AC123" s="249" t="s">
        <v>1612</v>
      </c>
      <c r="AD123" s="249">
        <v>30</v>
      </c>
      <c r="AE123" s="249"/>
      <c r="AF123" s="249"/>
      <c r="AG123" s="245" t="s">
        <v>1613</v>
      </c>
      <c r="AH123" s="249">
        <v>1800</v>
      </c>
      <c r="AI123" s="249"/>
      <c r="AJ123" s="249"/>
      <c r="AK123" s="245"/>
      <c r="AL123" s="245"/>
      <c r="AM123" s="245" t="s">
        <v>1614</v>
      </c>
      <c r="AN123" s="251">
        <v>15</v>
      </c>
      <c r="AO123" s="251"/>
      <c r="AP123" s="249"/>
      <c r="AQ123" s="251"/>
      <c r="AR123" s="249"/>
    </row>
    <row r="124" spans="1:44" ht="130.5" hidden="1" customHeight="1">
      <c r="A124" s="66"/>
      <c r="B124" s="367"/>
      <c r="C124" s="369"/>
      <c r="D124" s="497"/>
      <c r="E124" s="499"/>
      <c r="F124" s="37" t="s">
        <v>450</v>
      </c>
      <c r="G124" s="38" t="s">
        <v>1615</v>
      </c>
      <c r="H124" s="39" t="s">
        <v>104</v>
      </c>
      <c r="I124" s="39" t="s">
        <v>114</v>
      </c>
      <c r="J124" s="359" t="s">
        <v>1130</v>
      </c>
      <c r="K124" s="51" t="s">
        <v>1616</v>
      </c>
      <c r="L124" s="42" t="s">
        <v>674</v>
      </c>
      <c r="M124" s="308"/>
      <c r="N124" s="372"/>
      <c r="O124" s="244"/>
      <c r="P124" s="45" t="s">
        <v>404</v>
      </c>
      <c r="Q124" s="245"/>
      <c r="R124" s="246"/>
      <c r="S124" s="246"/>
      <c r="T124" s="245"/>
      <c r="U124" s="247"/>
      <c r="V124" s="247"/>
      <c r="W124" s="248">
        <f t="shared" si="2"/>
        <v>0</v>
      </c>
      <c r="X124" s="245" t="s">
        <v>1205</v>
      </c>
      <c r="Y124" s="249"/>
      <c r="Z124" s="245"/>
      <c r="AA124" s="245"/>
      <c r="AB124" s="249"/>
      <c r="AC124" s="249"/>
      <c r="AD124" s="249"/>
      <c r="AE124" s="249"/>
      <c r="AF124" s="249"/>
      <c r="AG124" s="245"/>
      <c r="AH124" s="249"/>
      <c r="AI124" s="249"/>
      <c r="AJ124" s="249"/>
      <c r="AK124" s="245"/>
      <c r="AL124" s="245"/>
      <c r="AM124" s="245"/>
      <c r="AN124" s="251"/>
      <c r="AO124" s="251"/>
      <c r="AP124" s="249"/>
      <c r="AQ124" s="251"/>
      <c r="AR124" s="249"/>
    </row>
    <row r="125" spans="1:44" ht="58">
      <c r="A125" s="66"/>
      <c r="B125" s="367"/>
      <c r="C125" s="369"/>
      <c r="D125" s="497" t="s">
        <v>452</v>
      </c>
      <c r="E125" s="499" t="s">
        <v>453</v>
      </c>
      <c r="F125" s="37" t="s">
        <v>454</v>
      </c>
      <c r="G125" s="38" t="s">
        <v>455</v>
      </c>
      <c r="H125" s="39" t="s">
        <v>104</v>
      </c>
      <c r="I125" s="39" t="s">
        <v>114</v>
      </c>
      <c r="J125" s="40" t="str">
        <f>G125</f>
        <v>Implementar l'ordenació de l'ús públic en col·laboració amb els agents del territori</v>
      </c>
      <c r="K125" s="51"/>
      <c r="L125" s="42" t="s">
        <v>1088</v>
      </c>
      <c r="M125" s="242" t="s">
        <v>1089</v>
      </c>
      <c r="N125" s="243" t="s">
        <v>1617</v>
      </c>
      <c r="O125" s="244"/>
      <c r="P125" s="45"/>
      <c r="Q125" s="74" t="s">
        <v>1618</v>
      </c>
      <c r="R125" s="293">
        <v>0.5</v>
      </c>
      <c r="S125" s="293">
        <v>0.8</v>
      </c>
      <c r="T125" s="245"/>
      <c r="U125" s="247"/>
      <c r="V125" s="247"/>
      <c r="W125" s="248">
        <f t="shared" si="2"/>
        <v>150</v>
      </c>
      <c r="X125" s="245" t="s">
        <v>1205</v>
      </c>
      <c r="Y125" s="249" t="s">
        <v>1619</v>
      </c>
      <c r="Z125" s="245"/>
      <c r="AA125" s="245"/>
      <c r="AB125" s="249"/>
      <c r="AC125" s="249"/>
      <c r="AD125" s="249"/>
      <c r="AE125" s="249"/>
      <c r="AF125" s="249"/>
      <c r="AG125" s="245"/>
      <c r="AH125" s="249"/>
      <c r="AI125" s="249"/>
      <c r="AJ125" s="249"/>
      <c r="AK125" s="245"/>
      <c r="AL125" s="245"/>
      <c r="AM125" s="245" t="s">
        <v>1207</v>
      </c>
      <c r="AN125" s="251">
        <v>100</v>
      </c>
      <c r="AO125" s="251"/>
      <c r="AP125" s="249"/>
      <c r="AQ125" s="251" t="s">
        <v>1592</v>
      </c>
      <c r="AR125" s="249">
        <v>50</v>
      </c>
    </row>
    <row r="126" spans="1:44" ht="43.5">
      <c r="A126" s="66"/>
      <c r="B126" s="367"/>
      <c r="C126" s="369"/>
      <c r="D126" s="497"/>
      <c r="E126" s="499"/>
      <c r="F126" s="37" t="s">
        <v>456</v>
      </c>
      <c r="G126" s="38" t="s">
        <v>457</v>
      </c>
      <c r="H126" s="39" t="s">
        <v>104</v>
      </c>
      <c r="I126" s="39" t="s">
        <v>114</v>
      </c>
      <c r="J126" s="40" t="str">
        <f>G126</f>
        <v>Promoció i acompanyament en l'ordenació de l'ús públic de l'ENP des de l'àmbit municipal</v>
      </c>
      <c r="K126" s="51"/>
      <c r="L126" s="73" t="s">
        <v>1088</v>
      </c>
      <c r="M126" s="242" t="s">
        <v>1102</v>
      </c>
      <c r="N126" s="243" t="s">
        <v>1620</v>
      </c>
      <c r="O126" s="244"/>
      <c r="P126" s="45"/>
      <c r="Q126" s="245" t="s">
        <v>1621</v>
      </c>
      <c r="R126" s="246">
        <v>4</v>
      </c>
      <c r="S126" s="246">
        <v>8</v>
      </c>
      <c r="T126" s="245"/>
      <c r="U126" s="247"/>
      <c r="V126" s="247"/>
      <c r="W126" s="248">
        <f t="shared" si="2"/>
        <v>40</v>
      </c>
      <c r="X126" s="245" t="s">
        <v>1205</v>
      </c>
      <c r="Y126" s="249" t="s">
        <v>1109</v>
      </c>
      <c r="Z126" s="245" t="s">
        <v>1622</v>
      </c>
      <c r="AA126" s="245"/>
      <c r="AB126" s="249"/>
      <c r="AC126" s="249"/>
      <c r="AD126" s="249"/>
      <c r="AE126" s="249"/>
      <c r="AF126" s="249"/>
      <c r="AI126" s="249"/>
      <c r="AJ126" s="249"/>
      <c r="AK126" s="245"/>
      <c r="AL126" s="245"/>
      <c r="AM126" s="245" t="s">
        <v>1139</v>
      </c>
      <c r="AN126" s="251">
        <v>40</v>
      </c>
      <c r="AO126" s="251"/>
      <c r="AP126" s="249"/>
      <c r="AQ126" s="251"/>
      <c r="AR126" s="249"/>
    </row>
    <row r="127" spans="1:44" ht="96" customHeight="1">
      <c r="A127" s="66"/>
      <c r="B127" s="367"/>
      <c r="C127" s="369"/>
      <c r="D127" s="497" t="s">
        <v>458</v>
      </c>
      <c r="E127" s="499" t="s">
        <v>459</v>
      </c>
      <c r="F127" s="37" t="s">
        <v>460</v>
      </c>
      <c r="G127" s="38" t="s">
        <v>461</v>
      </c>
      <c r="H127" s="39" t="s">
        <v>104</v>
      </c>
      <c r="I127" s="39" t="s">
        <v>114</v>
      </c>
      <c r="J127" s="40" t="str">
        <f t="shared" si="3"/>
        <v>Realitzar l'inventari de senyalètica de l'ENP</v>
      </c>
      <c r="K127" s="51"/>
      <c r="L127" s="46" t="s">
        <v>1088</v>
      </c>
      <c r="M127" s="242" t="s">
        <v>1102</v>
      </c>
      <c r="N127" s="287" t="s">
        <v>1623</v>
      </c>
      <c r="O127" s="244"/>
      <c r="P127" s="45"/>
      <c r="Q127" s="245" t="s">
        <v>1624</v>
      </c>
      <c r="R127" s="293">
        <v>0.85</v>
      </c>
      <c r="S127" s="293">
        <v>1</v>
      </c>
      <c r="T127" s="245" t="s">
        <v>1625</v>
      </c>
      <c r="U127" s="247" t="s">
        <v>1626</v>
      </c>
      <c r="V127" s="247" t="s">
        <v>1627</v>
      </c>
      <c r="W127" s="248">
        <f t="shared" si="2"/>
        <v>70</v>
      </c>
      <c r="X127" s="245" t="s">
        <v>1205</v>
      </c>
      <c r="Y127" s="249" t="s">
        <v>1108</v>
      </c>
      <c r="Z127" s="245"/>
      <c r="AA127" s="245"/>
      <c r="AB127" s="249"/>
      <c r="AC127" s="245" t="s">
        <v>1628</v>
      </c>
      <c r="AD127" s="249">
        <v>70</v>
      </c>
      <c r="AE127" s="249"/>
      <c r="AF127" s="249"/>
      <c r="AG127" s="245"/>
      <c r="AH127" s="249"/>
      <c r="AI127" s="249"/>
      <c r="AJ127" s="249"/>
      <c r="AK127" s="245"/>
      <c r="AL127" s="245"/>
      <c r="AM127" s="245"/>
      <c r="AN127" s="251"/>
      <c r="AO127" s="251"/>
      <c r="AP127" s="249"/>
      <c r="AQ127" s="251"/>
      <c r="AR127" s="249"/>
    </row>
    <row r="128" spans="1:44" ht="173.15" customHeight="1">
      <c r="A128" s="66"/>
      <c r="B128" s="367"/>
      <c r="C128" s="369"/>
      <c r="D128" s="497"/>
      <c r="E128" s="499"/>
      <c r="F128" s="37" t="s">
        <v>462</v>
      </c>
      <c r="G128" s="38" t="s">
        <v>463</v>
      </c>
      <c r="H128" s="39" t="s">
        <v>104</v>
      </c>
      <c r="I128" s="39" t="s">
        <v>114</v>
      </c>
      <c r="J128" s="40" t="s">
        <v>1629</v>
      </c>
      <c r="K128" s="296" t="s">
        <v>1630</v>
      </c>
      <c r="L128" s="42" t="s">
        <v>1088</v>
      </c>
      <c r="M128" s="242" t="s">
        <v>1102</v>
      </c>
      <c r="N128" s="243" t="s">
        <v>1631</v>
      </c>
      <c r="O128" s="259" t="s">
        <v>122</v>
      </c>
      <c r="P128" s="38" t="s">
        <v>464</v>
      </c>
      <c r="Q128" s="245" t="s">
        <v>1632</v>
      </c>
      <c r="R128" s="293">
        <v>0.75</v>
      </c>
      <c r="S128" s="293">
        <v>1</v>
      </c>
      <c r="T128" s="245" t="s">
        <v>1633</v>
      </c>
      <c r="U128" s="247" t="s">
        <v>1634</v>
      </c>
      <c r="V128" s="247" t="s">
        <v>1635</v>
      </c>
      <c r="W128" s="248">
        <f t="shared" si="2"/>
        <v>3130</v>
      </c>
      <c r="X128" s="245" t="s">
        <v>1205</v>
      </c>
      <c r="Y128" s="249" t="s">
        <v>1303</v>
      </c>
      <c r="Z128" s="245" t="s">
        <v>1109</v>
      </c>
      <c r="AA128" s="245"/>
      <c r="AB128" s="249"/>
      <c r="AC128" s="245" t="s">
        <v>1636</v>
      </c>
      <c r="AD128" s="249">
        <v>720</v>
      </c>
      <c r="AE128" s="249"/>
      <c r="AF128" s="249"/>
      <c r="AG128" s="245" t="s">
        <v>1637</v>
      </c>
      <c r="AH128" s="249">
        <v>2400</v>
      </c>
      <c r="AI128" s="249"/>
      <c r="AJ128" s="249"/>
      <c r="AK128" s="245"/>
      <c r="AL128" s="245"/>
      <c r="AM128" s="245" t="s">
        <v>1638</v>
      </c>
      <c r="AN128" s="251">
        <v>10</v>
      </c>
      <c r="AO128" s="251"/>
      <c r="AP128" s="249"/>
      <c r="AQ128" s="251"/>
      <c r="AR128" s="249"/>
    </row>
    <row r="129" spans="1:44" ht="87" hidden="1">
      <c r="A129" s="66"/>
      <c r="B129" s="367"/>
      <c r="C129" s="369"/>
      <c r="D129" s="497" t="s">
        <v>465</v>
      </c>
      <c r="E129" s="499" t="s">
        <v>466</v>
      </c>
      <c r="F129" s="37" t="s">
        <v>467</v>
      </c>
      <c r="G129" s="38" t="s">
        <v>468</v>
      </c>
      <c r="H129" s="39" t="s">
        <v>104</v>
      </c>
      <c r="I129" s="39" t="s">
        <v>165</v>
      </c>
      <c r="J129" s="40" t="s">
        <v>1130</v>
      </c>
      <c r="K129" s="51" t="s">
        <v>1639</v>
      </c>
      <c r="L129" s="42"/>
      <c r="M129" s="242"/>
      <c r="N129" s="287"/>
      <c r="O129" s="244"/>
      <c r="P129" s="45"/>
      <c r="Q129" s="245"/>
      <c r="R129" s="246"/>
      <c r="S129" s="246"/>
      <c r="T129" s="245"/>
      <c r="U129" s="247"/>
      <c r="V129" s="247"/>
      <c r="W129" s="248">
        <f t="shared" si="2"/>
        <v>0</v>
      </c>
      <c r="X129" s="245" t="s">
        <v>1205</v>
      </c>
      <c r="Y129" s="249"/>
      <c r="Z129" s="245"/>
      <c r="AA129" s="245"/>
      <c r="AB129" s="249"/>
      <c r="AC129" s="249"/>
      <c r="AD129" s="249"/>
      <c r="AE129" s="249"/>
      <c r="AF129" s="249"/>
      <c r="AG129" s="245"/>
      <c r="AH129" s="249"/>
      <c r="AI129" s="249"/>
      <c r="AJ129" s="249"/>
      <c r="AK129" s="245"/>
      <c r="AL129" s="245"/>
      <c r="AM129" s="245"/>
      <c r="AN129" s="251"/>
      <c r="AO129" s="251"/>
      <c r="AP129" s="249"/>
      <c r="AQ129" s="251"/>
      <c r="AR129" s="249"/>
    </row>
    <row r="130" spans="1:44" ht="67.5" customHeight="1">
      <c r="A130" s="66"/>
      <c r="B130" s="367"/>
      <c r="C130" s="369"/>
      <c r="D130" s="497"/>
      <c r="E130" s="499"/>
      <c r="F130" s="37" t="s">
        <v>469</v>
      </c>
      <c r="G130" s="58" t="s">
        <v>470</v>
      </c>
      <c r="H130" s="39" t="s">
        <v>104</v>
      </c>
      <c r="I130" s="39" t="s">
        <v>165</v>
      </c>
      <c r="J130" s="40" t="str">
        <f>G130</f>
        <v xml:space="preserve">Implementar les mesures extraordinàries de regulació de l'ús públic </v>
      </c>
      <c r="K130" s="403"/>
      <c r="L130" s="42" t="s">
        <v>1088</v>
      </c>
      <c r="M130" s="242" t="s">
        <v>1089</v>
      </c>
      <c r="N130" s="243" t="s">
        <v>1640</v>
      </c>
      <c r="O130" s="244"/>
      <c r="P130" s="45"/>
      <c r="Q130" s="290"/>
      <c r="R130" s="246"/>
      <c r="S130" s="246"/>
      <c r="T130" s="245" t="s">
        <v>1641</v>
      </c>
      <c r="U130" s="247" t="s">
        <v>1642</v>
      </c>
      <c r="V130" s="247" t="s">
        <v>1643</v>
      </c>
      <c r="W130" s="248">
        <f t="shared" si="2"/>
        <v>140</v>
      </c>
      <c r="X130" s="245" t="s">
        <v>1205</v>
      </c>
      <c r="Y130" s="249" t="s">
        <v>1586</v>
      </c>
      <c r="Z130" s="245" t="s">
        <v>1109</v>
      </c>
      <c r="AA130" s="245"/>
      <c r="AB130" s="249"/>
      <c r="AC130" s="249"/>
      <c r="AD130" s="249"/>
      <c r="AE130" s="249"/>
      <c r="AF130" s="249"/>
      <c r="AI130" s="249"/>
      <c r="AJ130" s="249"/>
      <c r="AK130" s="245"/>
      <c r="AL130" s="245"/>
      <c r="AM130" s="245" t="s">
        <v>1644</v>
      </c>
      <c r="AN130" s="251">
        <v>20</v>
      </c>
      <c r="AO130" s="251"/>
      <c r="AP130" s="249"/>
      <c r="AQ130" s="251" t="s">
        <v>1645</v>
      </c>
      <c r="AR130" s="249">
        <v>120</v>
      </c>
    </row>
    <row r="131" spans="1:44" ht="111.75" customHeight="1">
      <c r="A131" s="66"/>
      <c r="B131" s="367"/>
      <c r="C131" s="369"/>
      <c r="D131" s="497" t="s">
        <v>471</v>
      </c>
      <c r="E131" s="499" t="s">
        <v>472</v>
      </c>
      <c r="F131" s="37" t="s">
        <v>473</v>
      </c>
      <c r="G131" s="38" t="s">
        <v>474</v>
      </c>
      <c r="H131" s="39" t="s">
        <v>104</v>
      </c>
      <c r="I131" s="39" t="s">
        <v>114</v>
      </c>
      <c r="J131" s="40" t="str">
        <f t="shared" si="3"/>
        <v>Adequar els principals accessos, aparcaments i centres d'interès amb un ús elevat</v>
      </c>
      <c r="K131" s="51"/>
      <c r="L131" s="42" t="s">
        <v>1088</v>
      </c>
      <c r="M131" s="242" t="s">
        <v>1089</v>
      </c>
      <c r="N131" s="243" t="s">
        <v>1646</v>
      </c>
      <c r="O131" s="244"/>
      <c r="P131" s="45"/>
      <c r="Q131" s="290"/>
      <c r="R131" s="246"/>
      <c r="S131" s="246"/>
      <c r="T131" s="245" t="s">
        <v>1647</v>
      </c>
      <c r="U131" s="247" t="s">
        <v>1648</v>
      </c>
      <c r="V131" s="247" t="s">
        <v>1649</v>
      </c>
      <c r="W131" s="248">
        <f t="shared" si="2"/>
        <v>16275</v>
      </c>
      <c r="X131" s="245" t="s">
        <v>1205</v>
      </c>
      <c r="Y131" s="249" t="s">
        <v>1109</v>
      </c>
      <c r="Z131" s="245" t="s">
        <v>1650</v>
      </c>
      <c r="AA131" s="245"/>
      <c r="AB131" s="249"/>
      <c r="AC131" s="245" t="s">
        <v>1651</v>
      </c>
      <c r="AD131" s="249">
        <v>140</v>
      </c>
      <c r="AE131" s="249"/>
      <c r="AF131" s="249"/>
      <c r="AG131" s="245" t="s">
        <v>1652</v>
      </c>
      <c r="AH131" s="249">
        <v>16080</v>
      </c>
      <c r="AI131" s="249"/>
      <c r="AJ131" s="249"/>
      <c r="AK131" s="245"/>
      <c r="AL131" s="245"/>
      <c r="AM131" s="245" t="s">
        <v>1653</v>
      </c>
      <c r="AN131" s="251">
        <v>55</v>
      </c>
      <c r="AO131" s="251"/>
      <c r="AP131" s="249"/>
      <c r="AQ131" s="251"/>
      <c r="AR131" s="249"/>
    </row>
    <row r="132" spans="1:44" ht="175.5" hidden="1" customHeight="1">
      <c r="A132" s="66"/>
      <c r="B132" s="367"/>
      <c r="C132" s="369"/>
      <c r="D132" s="497"/>
      <c r="E132" s="499"/>
      <c r="F132" s="37" t="s">
        <v>475</v>
      </c>
      <c r="G132" s="58" t="s">
        <v>1654</v>
      </c>
      <c r="H132" s="39" t="s">
        <v>104</v>
      </c>
      <c r="I132" s="39" t="s">
        <v>114</v>
      </c>
      <c r="J132" s="404" t="s">
        <v>1654</v>
      </c>
      <c r="K132" s="51"/>
      <c r="L132" s="42" t="s">
        <v>1088</v>
      </c>
      <c r="M132" s="242" t="s">
        <v>1102</v>
      </c>
      <c r="N132" s="391" t="s">
        <v>1655</v>
      </c>
      <c r="O132" s="244"/>
      <c r="P132" s="45"/>
      <c r="Q132" s="245" t="s">
        <v>1656</v>
      </c>
      <c r="R132" s="293">
        <v>0.8</v>
      </c>
      <c r="S132" s="293">
        <v>1</v>
      </c>
      <c r="T132" s="245" t="s">
        <v>1657</v>
      </c>
      <c r="U132" s="247" t="s">
        <v>1658</v>
      </c>
      <c r="V132" s="247" t="s">
        <v>1659</v>
      </c>
      <c r="W132" s="248">
        <f t="shared" si="2"/>
        <v>1365</v>
      </c>
      <c r="X132" s="245" t="s">
        <v>1205</v>
      </c>
      <c r="Y132" s="249" t="s">
        <v>1109</v>
      </c>
      <c r="Z132" s="245" t="s">
        <v>1660</v>
      </c>
      <c r="AA132" s="245"/>
      <c r="AB132" s="249"/>
      <c r="AC132" s="249"/>
      <c r="AD132" s="249"/>
      <c r="AE132" s="249"/>
      <c r="AF132" s="249"/>
      <c r="AG132" s="245" t="s">
        <v>1661</v>
      </c>
      <c r="AH132" s="250">
        <v>960</v>
      </c>
      <c r="AI132" s="249"/>
      <c r="AJ132" s="249"/>
      <c r="AK132" s="245" t="s">
        <v>1662</v>
      </c>
      <c r="AL132" s="245">
        <v>140</v>
      </c>
      <c r="AM132" s="245" t="s">
        <v>1663</v>
      </c>
      <c r="AN132" s="251">
        <v>140</v>
      </c>
      <c r="AO132" s="251"/>
      <c r="AP132" s="249"/>
      <c r="AQ132" s="148" t="s">
        <v>1664</v>
      </c>
      <c r="AR132" s="249">
        <v>125</v>
      </c>
    </row>
    <row r="133" spans="1:44" ht="29" hidden="1">
      <c r="A133" s="66"/>
      <c r="B133" s="367"/>
      <c r="C133" s="369"/>
      <c r="D133" s="497"/>
      <c r="E133" s="499"/>
      <c r="F133" s="37" t="s">
        <v>477</v>
      </c>
      <c r="G133" s="58" t="s">
        <v>478</v>
      </c>
      <c r="H133" s="39" t="s">
        <v>104</v>
      </c>
      <c r="I133" s="39" t="s">
        <v>114</v>
      </c>
      <c r="J133" s="257" t="str">
        <f>G133</f>
        <v>Desenvolupar el Pla d'acollida als visitants en base al model de la DG</v>
      </c>
      <c r="K133" s="51" t="s">
        <v>1665</v>
      </c>
      <c r="L133" s="42" t="s">
        <v>674</v>
      </c>
      <c r="M133" s="308"/>
      <c r="N133" s="297"/>
      <c r="O133" s="244"/>
      <c r="P133" s="38" t="s">
        <v>479</v>
      </c>
      <c r="Q133" s="245"/>
      <c r="R133" s="246"/>
      <c r="S133" s="246"/>
      <c r="T133" s="245"/>
      <c r="U133" s="247"/>
      <c r="V133" s="247"/>
      <c r="W133" s="248">
        <f t="shared" ref="W133:W193" si="4">AB133+AD133+AF133+AH133+AJ133+AL133+AN133+AP133+AR133</f>
        <v>0</v>
      </c>
      <c r="X133" s="245"/>
      <c r="Y133" s="249"/>
      <c r="Z133" s="245"/>
      <c r="AA133" s="245"/>
      <c r="AB133" s="249"/>
      <c r="AC133" s="249"/>
      <c r="AD133" s="249"/>
      <c r="AE133" s="249"/>
      <c r="AF133" s="249"/>
      <c r="AG133" s="245"/>
      <c r="AH133" s="249"/>
      <c r="AI133" s="249"/>
      <c r="AJ133" s="249"/>
      <c r="AK133" s="245"/>
      <c r="AL133" s="245"/>
      <c r="AM133" s="245"/>
      <c r="AN133" s="251"/>
      <c r="AO133" s="251"/>
      <c r="AP133" s="249"/>
      <c r="AQ133" s="251"/>
      <c r="AR133" s="249"/>
    </row>
    <row r="134" spans="1:44" ht="43.5" hidden="1">
      <c r="A134" s="66"/>
      <c r="B134" s="367"/>
      <c r="C134" s="369"/>
      <c r="D134" s="497"/>
      <c r="E134" s="499"/>
      <c r="F134" s="37" t="s">
        <v>480</v>
      </c>
      <c r="G134" s="58" t="s">
        <v>481</v>
      </c>
      <c r="H134" s="39" t="s">
        <v>104</v>
      </c>
      <c r="I134" s="39" t="s">
        <v>114</v>
      </c>
      <c r="J134" s="257" t="str">
        <f>G134</f>
        <v>Adaptar els missatges a donar des d'oficines d’informació, pròpies i alienes, d'acord amb el model de la DG</v>
      </c>
      <c r="K134" s="51" t="s">
        <v>1666</v>
      </c>
      <c r="L134" s="42" t="s">
        <v>674</v>
      </c>
      <c r="M134" s="242"/>
      <c r="N134" s="287"/>
      <c r="O134" s="244" t="s">
        <v>106</v>
      </c>
      <c r="P134" s="38" t="s">
        <v>482</v>
      </c>
      <c r="Q134" s="245"/>
      <c r="R134" s="246"/>
      <c r="S134" s="246"/>
      <c r="T134" s="245"/>
      <c r="U134" s="247"/>
      <c r="V134" s="247"/>
      <c r="W134" s="248">
        <f t="shared" si="4"/>
        <v>60</v>
      </c>
      <c r="X134" s="245" t="s">
        <v>1205</v>
      </c>
      <c r="Y134" s="249" t="s">
        <v>1667</v>
      </c>
      <c r="Z134" s="245" t="s">
        <v>1254</v>
      </c>
      <c r="AA134" s="245"/>
      <c r="AB134" s="249"/>
      <c r="AC134" s="249"/>
      <c r="AD134" s="249"/>
      <c r="AE134" s="249"/>
      <c r="AF134" s="249"/>
      <c r="AG134" s="245"/>
      <c r="AH134" s="249"/>
      <c r="AI134" s="249"/>
      <c r="AJ134" s="249"/>
      <c r="AK134" s="245">
        <v>10</v>
      </c>
      <c r="AL134" s="245">
        <v>10</v>
      </c>
      <c r="AM134" s="245"/>
      <c r="AN134" s="251"/>
      <c r="AO134" s="251"/>
      <c r="AP134" s="249"/>
      <c r="AQ134" s="251">
        <v>50</v>
      </c>
      <c r="AR134" s="249">
        <v>50</v>
      </c>
    </row>
    <row r="135" spans="1:44" ht="72.5" hidden="1">
      <c r="A135" s="66"/>
      <c r="B135" s="367"/>
      <c r="C135" s="369"/>
      <c r="D135" s="497" t="s">
        <v>483</v>
      </c>
      <c r="E135" s="499" t="s">
        <v>484</v>
      </c>
      <c r="F135" s="37" t="s">
        <v>485</v>
      </c>
      <c r="G135" s="38" t="s">
        <v>486</v>
      </c>
      <c r="H135" s="39" t="s">
        <v>104</v>
      </c>
      <c r="I135" s="39" t="s">
        <v>165</v>
      </c>
      <c r="J135" s="40" t="s">
        <v>1130</v>
      </c>
      <c r="K135" s="51" t="s">
        <v>1162</v>
      </c>
      <c r="L135" s="42"/>
      <c r="M135" s="268"/>
      <c r="N135" s="287"/>
      <c r="O135" s="244"/>
      <c r="P135" s="45"/>
      <c r="Q135" s="245"/>
      <c r="R135" s="246"/>
      <c r="S135" s="246"/>
      <c r="T135" s="245"/>
      <c r="U135" s="247"/>
      <c r="V135" s="247"/>
      <c r="W135" s="248">
        <f t="shared" si="4"/>
        <v>0</v>
      </c>
      <c r="X135" s="245"/>
      <c r="Y135" s="249"/>
      <c r="Z135" s="245"/>
      <c r="AA135" s="245"/>
      <c r="AB135" s="249"/>
      <c r="AC135" s="249"/>
      <c r="AD135" s="249"/>
      <c r="AE135" s="249"/>
      <c r="AF135" s="249"/>
      <c r="AG135" s="245"/>
      <c r="AH135" s="249"/>
      <c r="AI135" s="249"/>
      <c r="AJ135" s="249"/>
      <c r="AK135" s="245"/>
      <c r="AL135" s="245"/>
      <c r="AM135" s="245"/>
      <c r="AN135" s="251"/>
      <c r="AO135" s="251"/>
      <c r="AP135" s="249"/>
      <c r="AQ135" s="251"/>
      <c r="AR135" s="249"/>
    </row>
    <row r="136" spans="1:44" ht="43.5">
      <c r="A136" s="66"/>
      <c r="B136" s="367"/>
      <c r="C136" s="369"/>
      <c r="D136" s="497"/>
      <c r="E136" s="508"/>
      <c r="F136" s="37" t="s">
        <v>487</v>
      </c>
      <c r="G136" s="38" t="s">
        <v>488</v>
      </c>
      <c r="H136" s="39" t="s">
        <v>104</v>
      </c>
      <c r="I136" s="39" t="s">
        <v>114</v>
      </c>
      <c r="J136" s="40" t="str">
        <f t="shared" si="3"/>
        <v>Millorar la coordinació amb els cossos de seguretat per efectuar accions de control i vigilància</v>
      </c>
      <c r="K136" s="51"/>
      <c r="L136" s="42" t="s">
        <v>1088</v>
      </c>
      <c r="M136" s="242" t="s">
        <v>1136</v>
      </c>
      <c r="N136" s="243" t="s">
        <v>1668</v>
      </c>
      <c r="O136" s="244"/>
      <c r="P136" s="45"/>
      <c r="Q136" s="245" t="s">
        <v>1669</v>
      </c>
      <c r="R136" s="246">
        <v>4</v>
      </c>
      <c r="S136" s="246">
        <v>4</v>
      </c>
      <c r="T136" s="245"/>
      <c r="U136" s="247"/>
      <c r="V136" s="247"/>
      <c r="W136" s="248">
        <f t="shared" si="4"/>
        <v>50</v>
      </c>
      <c r="X136" s="245" t="s">
        <v>1159</v>
      </c>
      <c r="Y136" s="249" t="s">
        <v>1109</v>
      </c>
      <c r="Z136" s="245"/>
      <c r="AA136" s="245"/>
      <c r="AB136" s="249"/>
      <c r="AC136" s="249"/>
      <c r="AD136" s="249"/>
      <c r="AE136" s="249"/>
      <c r="AF136" s="249"/>
      <c r="AG136" s="245"/>
      <c r="AH136" s="249"/>
      <c r="AI136" s="249"/>
      <c r="AJ136" s="249"/>
      <c r="AK136" s="245"/>
      <c r="AL136" s="245"/>
      <c r="AM136" s="245" t="s">
        <v>1294</v>
      </c>
      <c r="AN136" s="251">
        <v>50</v>
      </c>
      <c r="AO136" s="251"/>
      <c r="AP136" s="249"/>
      <c r="AQ136" s="251"/>
      <c r="AR136" s="249"/>
    </row>
    <row r="137" spans="1:44" ht="145" hidden="1">
      <c r="A137" s="66"/>
      <c r="B137" s="367"/>
      <c r="C137" s="369"/>
      <c r="D137" s="507"/>
      <c r="E137" s="509"/>
      <c r="F137" s="37" t="s">
        <v>489</v>
      </c>
      <c r="G137" s="38" t="s">
        <v>490</v>
      </c>
      <c r="H137" s="39" t="s">
        <v>104</v>
      </c>
      <c r="I137" s="39" t="s">
        <v>114</v>
      </c>
      <c r="J137" s="40" t="s">
        <v>1130</v>
      </c>
      <c r="K137" s="51" t="s">
        <v>1670</v>
      </c>
      <c r="L137" s="42"/>
      <c r="M137" s="242"/>
      <c r="N137" s="287"/>
      <c r="O137" s="244"/>
      <c r="P137" s="45"/>
      <c r="Q137" s="245"/>
      <c r="R137" s="246"/>
      <c r="S137" s="246"/>
      <c r="T137" s="74"/>
      <c r="U137" s="247"/>
      <c r="V137" s="247"/>
      <c r="W137" s="248">
        <f t="shared" si="4"/>
        <v>20</v>
      </c>
      <c r="X137" s="245" t="s">
        <v>1159</v>
      </c>
      <c r="Y137" s="249" t="s">
        <v>1109</v>
      </c>
      <c r="Z137" s="245" t="s">
        <v>1395</v>
      </c>
      <c r="AA137" s="245"/>
      <c r="AB137" s="249"/>
      <c r="AC137" s="247"/>
      <c r="AD137" s="249"/>
      <c r="AE137" s="249"/>
      <c r="AF137" s="249"/>
      <c r="AG137" s="245"/>
      <c r="AH137" s="249"/>
      <c r="AI137" s="249"/>
      <c r="AJ137" s="249"/>
      <c r="AK137" s="245"/>
      <c r="AL137" s="245"/>
      <c r="AM137" s="245"/>
      <c r="AN137" s="251">
        <v>20</v>
      </c>
      <c r="AO137" s="251"/>
      <c r="AP137" s="249"/>
      <c r="AQ137" s="251"/>
      <c r="AR137" s="249"/>
    </row>
    <row r="138" spans="1:44" ht="87" hidden="1">
      <c r="A138" s="66"/>
      <c r="B138" s="76">
        <v>12</v>
      </c>
      <c r="C138" s="77" t="s">
        <v>491</v>
      </c>
      <c r="D138" s="497" t="s">
        <v>492</v>
      </c>
      <c r="E138" s="499" t="s">
        <v>493</v>
      </c>
      <c r="F138" s="37" t="s">
        <v>494</v>
      </c>
      <c r="G138" s="38" t="s">
        <v>495</v>
      </c>
      <c r="H138" s="39" t="s">
        <v>104</v>
      </c>
      <c r="I138" s="39" t="s">
        <v>114</v>
      </c>
      <c r="J138" s="40" t="s">
        <v>1130</v>
      </c>
      <c r="K138" s="296" t="s">
        <v>1671</v>
      </c>
      <c r="L138" s="42"/>
      <c r="M138" s="242"/>
      <c r="N138" s="287"/>
      <c r="O138" s="244"/>
      <c r="P138" s="45"/>
      <c r="Q138" s="245"/>
      <c r="R138" s="246"/>
      <c r="S138" s="246"/>
      <c r="T138" s="245"/>
      <c r="U138" s="247"/>
      <c r="V138" s="247"/>
      <c r="W138" s="248">
        <f t="shared" si="4"/>
        <v>0</v>
      </c>
      <c r="X138" s="245" t="s">
        <v>1205</v>
      </c>
      <c r="Y138" s="249"/>
      <c r="Z138" s="245"/>
      <c r="AA138" s="245"/>
      <c r="AB138" s="249"/>
      <c r="AC138" s="249"/>
      <c r="AD138" s="249"/>
      <c r="AE138" s="249"/>
      <c r="AF138" s="249"/>
      <c r="AG138" s="245"/>
      <c r="AH138" s="249"/>
      <c r="AI138" s="249"/>
      <c r="AJ138" s="249"/>
      <c r="AK138" s="245"/>
      <c r="AL138" s="245"/>
      <c r="AM138" s="245"/>
      <c r="AN138" s="251"/>
      <c r="AO138" s="251"/>
      <c r="AP138" s="249"/>
      <c r="AQ138" s="251"/>
      <c r="AR138" s="249"/>
    </row>
    <row r="139" spans="1:44" ht="109.5" customHeight="1">
      <c r="A139" s="66"/>
      <c r="B139" s="405">
        <v>12</v>
      </c>
      <c r="C139" s="406" t="s">
        <v>1672</v>
      </c>
      <c r="D139" s="498"/>
      <c r="E139" s="500"/>
      <c r="F139" s="37" t="s">
        <v>496</v>
      </c>
      <c r="G139" s="38" t="s">
        <v>497</v>
      </c>
      <c r="H139" s="39" t="s">
        <v>104</v>
      </c>
      <c r="I139" s="39" t="s">
        <v>114</v>
      </c>
      <c r="J139" s="40" t="str">
        <f t="shared" ref="J139:J189" si="5">G139</f>
        <v>Contribuir a la protecció dels assentaments humans respecte dels riscos naturals</v>
      </c>
      <c r="K139" s="51"/>
      <c r="L139" s="80" t="s">
        <v>1088</v>
      </c>
      <c r="M139" s="242" t="s">
        <v>1102</v>
      </c>
      <c r="N139" s="243" t="s">
        <v>1673</v>
      </c>
      <c r="O139" s="244"/>
      <c r="P139" s="407"/>
      <c r="Q139" s="408"/>
      <c r="R139" s="246"/>
      <c r="S139" s="246"/>
      <c r="T139" s="245" t="s">
        <v>1674</v>
      </c>
      <c r="U139" s="247" t="s">
        <v>1675</v>
      </c>
      <c r="V139" s="247" t="s">
        <v>1676</v>
      </c>
      <c r="W139" s="248">
        <f t="shared" si="4"/>
        <v>300</v>
      </c>
      <c r="X139" s="245" t="s">
        <v>1159</v>
      </c>
      <c r="Y139" s="249" t="s">
        <v>1109</v>
      </c>
      <c r="Z139" s="245" t="s">
        <v>1303</v>
      </c>
      <c r="AA139" s="245"/>
      <c r="AB139" s="249"/>
      <c r="AC139" s="249"/>
      <c r="AD139" s="249"/>
      <c r="AE139" s="249"/>
      <c r="AF139" s="249"/>
      <c r="AG139" s="245" t="s">
        <v>1677</v>
      </c>
      <c r="AH139" s="249">
        <v>240</v>
      </c>
      <c r="AI139" s="249"/>
      <c r="AJ139" s="249"/>
      <c r="AK139" s="245"/>
      <c r="AL139" s="245"/>
      <c r="AM139" s="245" t="s">
        <v>1678</v>
      </c>
      <c r="AN139" s="251">
        <v>60</v>
      </c>
      <c r="AO139" s="251"/>
      <c r="AP139" s="249"/>
      <c r="AQ139" s="251"/>
      <c r="AR139" s="249"/>
    </row>
    <row r="140" spans="1:44" ht="123.65" customHeight="1">
      <c r="A140" s="78" t="s">
        <v>498</v>
      </c>
      <c r="B140" s="501">
        <v>13</v>
      </c>
      <c r="C140" s="502" t="s">
        <v>499</v>
      </c>
      <c r="D140" s="503" t="s">
        <v>500</v>
      </c>
      <c r="E140" s="504" t="s">
        <v>501</v>
      </c>
      <c r="F140" s="79" t="s">
        <v>502</v>
      </c>
      <c r="G140" s="38" t="s">
        <v>503</v>
      </c>
      <c r="H140" s="39" t="s">
        <v>104</v>
      </c>
      <c r="I140" s="39" t="s">
        <v>114</v>
      </c>
      <c r="J140" s="324" t="s">
        <v>1679</v>
      </c>
      <c r="K140" s="51" t="s">
        <v>1680</v>
      </c>
      <c r="L140" s="42" t="s">
        <v>1088</v>
      </c>
      <c r="M140" s="242" t="s">
        <v>1089</v>
      </c>
      <c r="N140" s="243" t="s">
        <v>1681</v>
      </c>
      <c r="O140" s="409" t="s">
        <v>504</v>
      </c>
      <c r="P140" s="45"/>
      <c r="Q140" s="74" t="s">
        <v>1682</v>
      </c>
      <c r="R140" s="246">
        <v>1</v>
      </c>
      <c r="S140" s="246">
        <v>1</v>
      </c>
      <c r="T140" s="245" t="s">
        <v>1683</v>
      </c>
      <c r="U140" s="247" t="s">
        <v>1684</v>
      </c>
      <c r="V140" s="247" t="s">
        <v>1685</v>
      </c>
      <c r="W140" s="248">
        <f t="shared" si="4"/>
        <v>1420</v>
      </c>
      <c r="X140" s="245" t="s">
        <v>1205</v>
      </c>
      <c r="Y140" s="245" t="s">
        <v>1686</v>
      </c>
      <c r="Z140" s="245"/>
      <c r="AA140" s="245"/>
      <c r="AB140" s="249"/>
      <c r="AC140" s="249"/>
      <c r="AD140" s="249"/>
      <c r="AE140" s="249"/>
      <c r="AF140" s="249"/>
      <c r="AG140" s="245"/>
      <c r="AH140" s="249"/>
      <c r="AI140" s="249"/>
      <c r="AJ140" s="249"/>
      <c r="AK140" s="366" t="s">
        <v>1687</v>
      </c>
      <c r="AL140" s="1">
        <v>520</v>
      </c>
      <c r="AM140" s="245"/>
      <c r="AN140" s="251"/>
      <c r="AO140" s="251"/>
      <c r="AP140" s="249"/>
      <c r="AQ140" s="330">
        <v>1900</v>
      </c>
      <c r="AR140" s="250">
        <v>900</v>
      </c>
    </row>
    <row r="141" spans="1:44" ht="58">
      <c r="A141" s="78"/>
      <c r="B141" s="501"/>
      <c r="C141" s="502"/>
      <c r="D141" s="503"/>
      <c r="E141" s="504"/>
      <c r="F141" s="79" t="s">
        <v>505</v>
      </c>
      <c r="G141" s="410" t="s">
        <v>506</v>
      </c>
      <c r="H141" s="39" t="s">
        <v>104</v>
      </c>
      <c r="I141" s="411" t="s">
        <v>114</v>
      </c>
      <c r="J141" s="40" t="str">
        <f>G141</f>
        <v>Desplegar el model de Xarxa d'Escoles de l'Espai Natural (XEEN) a l'ENP d'acord amb el model general</v>
      </c>
      <c r="K141" s="51" t="s">
        <v>1688</v>
      </c>
      <c r="L141" s="80" t="s">
        <v>1088</v>
      </c>
      <c r="M141" s="242" t="s">
        <v>1089</v>
      </c>
      <c r="N141" s="341" t="s">
        <v>1689</v>
      </c>
      <c r="O141" s="409" t="s">
        <v>504</v>
      </c>
      <c r="P141" s="38" t="s">
        <v>507</v>
      </c>
      <c r="Q141" s="245"/>
      <c r="R141" s="246"/>
      <c r="S141" s="246"/>
      <c r="T141" s="245" t="s">
        <v>1690</v>
      </c>
      <c r="U141" s="247" t="s">
        <v>1691</v>
      </c>
      <c r="V141" s="247" t="s">
        <v>1691</v>
      </c>
      <c r="W141" s="248">
        <f t="shared" si="4"/>
        <v>148</v>
      </c>
      <c r="X141" s="245"/>
      <c r="Y141" s="249" t="s">
        <v>1692</v>
      </c>
      <c r="Z141" s="245"/>
      <c r="AA141" s="245" t="s">
        <v>1693</v>
      </c>
      <c r="AB141" s="249">
        <v>48</v>
      </c>
      <c r="AC141" s="249"/>
      <c r="AD141" s="249"/>
      <c r="AE141" s="249"/>
      <c r="AF141" s="249"/>
      <c r="AG141" s="245"/>
      <c r="AH141" s="249"/>
      <c r="AI141" s="249"/>
      <c r="AJ141" s="249"/>
      <c r="AK141" s="245" t="s">
        <v>1694</v>
      </c>
      <c r="AL141" s="245">
        <v>100</v>
      </c>
      <c r="AM141" s="245"/>
      <c r="AN141" s="251"/>
      <c r="AO141" s="251"/>
      <c r="AP141" s="249"/>
      <c r="AQ141" s="251"/>
      <c r="AR141" s="249"/>
    </row>
    <row r="142" spans="1:44" ht="101.5">
      <c r="A142" s="78"/>
      <c r="B142" s="501"/>
      <c r="C142" s="502"/>
      <c r="D142" s="503"/>
      <c r="E142" s="504"/>
      <c r="F142" s="79" t="s">
        <v>508</v>
      </c>
      <c r="G142" s="38" t="s">
        <v>509</v>
      </c>
      <c r="H142" s="39" t="s">
        <v>104</v>
      </c>
      <c r="I142" s="39" t="s">
        <v>114</v>
      </c>
      <c r="J142" s="40" t="str">
        <f>G142</f>
        <v xml:space="preserve">Formar i capacitar al professorat de la XEEN </v>
      </c>
      <c r="K142" s="329"/>
      <c r="L142" s="80" t="s">
        <v>1088</v>
      </c>
      <c r="M142" s="284" t="s">
        <v>1089</v>
      </c>
      <c r="N142" s="341" t="s">
        <v>1695</v>
      </c>
      <c r="O142" s="409" t="s">
        <v>504</v>
      </c>
      <c r="P142" s="38"/>
      <c r="Q142" s="245" t="s">
        <v>1696</v>
      </c>
      <c r="R142" s="246">
        <v>4</v>
      </c>
      <c r="S142" s="246">
        <v>28</v>
      </c>
      <c r="T142" s="245"/>
      <c r="U142" s="247"/>
      <c r="V142" s="247"/>
      <c r="W142" s="248">
        <f t="shared" si="4"/>
        <v>76</v>
      </c>
      <c r="X142" s="245" t="s">
        <v>1205</v>
      </c>
      <c r="Y142" s="249" t="s">
        <v>1692</v>
      </c>
      <c r="Z142" s="245" t="s">
        <v>1109</v>
      </c>
      <c r="AA142" s="245" t="s">
        <v>1697</v>
      </c>
      <c r="AB142" s="249">
        <v>16</v>
      </c>
      <c r="AC142" s="249"/>
      <c r="AD142" s="249"/>
      <c r="AE142" s="249"/>
      <c r="AF142" s="249"/>
      <c r="AG142" s="245"/>
      <c r="AH142" s="249"/>
      <c r="AI142" s="249"/>
      <c r="AJ142" s="249"/>
      <c r="AK142" s="245" t="s">
        <v>1139</v>
      </c>
      <c r="AL142" s="245">
        <v>40</v>
      </c>
      <c r="AM142" s="245" t="s">
        <v>1235</v>
      </c>
      <c r="AN142" s="251">
        <v>20</v>
      </c>
      <c r="AO142" s="251"/>
      <c r="AP142" s="249"/>
      <c r="AQ142" s="251"/>
      <c r="AR142" s="249"/>
    </row>
    <row r="143" spans="1:44" ht="43.5">
      <c r="A143" s="78"/>
      <c r="B143" s="501"/>
      <c r="C143" s="502"/>
      <c r="D143" s="494" t="s">
        <v>510</v>
      </c>
      <c r="E143" s="486" t="s">
        <v>511</v>
      </c>
      <c r="F143" s="37" t="s">
        <v>512</v>
      </c>
      <c r="G143" s="38" t="s">
        <v>513</v>
      </c>
      <c r="H143" s="39" t="s">
        <v>104</v>
      </c>
      <c r="I143" s="39" t="s">
        <v>114</v>
      </c>
      <c r="J143" s="40" t="str">
        <f t="shared" si="5"/>
        <v>Adaptar i millorar l'oferta pedagògica de l'ENP generant situacions d'aprenentatge i treballs per projecte</v>
      </c>
      <c r="K143" s="51"/>
      <c r="L143" s="42" t="s">
        <v>1088</v>
      </c>
      <c r="M143" s="242" t="s">
        <v>1089</v>
      </c>
      <c r="N143" s="243" t="s">
        <v>1698</v>
      </c>
      <c r="O143" s="409" t="s">
        <v>504</v>
      </c>
      <c r="P143" s="38" t="s">
        <v>514</v>
      </c>
      <c r="Q143" s="245" t="s">
        <v>1699</v>
      </c>
      <c r="R143" s="246">
        <v>228</v>
      </c>
      <c r="S143" s="246">
        <v>228</v>
      </c>
      <c r="T143" s="245"/>
      <c r="U143" s="247"/>
      <c r="V143" s="247"/>
      <c r="W143" s="248">
        <f t="shared" si="4"/>
        <v>600</v>
      </c>
      <c r="X143" s="245" t="s">
        <v>1205</v>
      </c>
      <c r="Y143" s="249" t="s">
        <v>1700</v>
      </c>
      <c r="Z143" s="245"/>
      <c r="AA143" s="245" t="s">
        <v>1580</v>
      </c>
      <c r="AB143" s="249">
        <v>200</v>
      </c>
      <c r="AC143" s="249"/>
      <c r="AD143" s="249"/>
      <c r="AE143" s="249"/>
      <c r="AF143" s="249"/>
      <c r="AG143" s="245"/>
      <c r="AH143" s="249"/>
      <c r="AI143" s="249"/>
      <c r="AJ143" s="249"/>
      <c r="AK143" s="245" t="s">
        <v>1701</v>
      </c>
      <c r="AL143" s="245">
        <v>400</v>
      </c>
      <c r="AM143" s="245"/>
      <c r="AN143" s="251"/>
      <c r="AO143" s="251"/>
      <c r="AP143" s="249"/>
      <c r="AQ143" s="251"/>
      <c r="AR143" s="249"/>
    </row>
    <row r="144" spans="1:44" ht="72.5" hidden="1">
      <c r="A144" s="78"/>
      <c r="B144" s="501"/>
      <c r="C144" s="502"/>
      <c r="D144" s="494"/>
      <c r="E144" s="486"/>
      <c r="F144" s="37" t="s">
        <v>515</v>
      </c>
      <c r="G144" s="38" t="s">
        <v>516</v>
      </c>
      <c r="H144" s="39" t="s">
        <v>104</v>
      </c>
      <c r="I144" s="39" t="s">
        <v>165</v>
      </c>
      <c r="J144" s="40" t="s">
        <v>1130</v>
      </c>
      <c r="K144" s="51" t="s">
        <v>1702</v>
      </c>
      <c r="L144" s="42"/>
      <c r="M144" s="308"/>
      <c r="N144" s="287"/>
      <c r="O144" s="409" t="s">
        <v>504</v>
      </c>
      <c r="P144" s="45"/>
      <c r="Q144" s="262"/>
      <c r="R144" s="260"/>
      <c r="S144" s="260"/>
      <c r="T144" s="245"/>
      <c r="U144" s="247"/>
      <c r="V144" s="247"/>
      <c r="W144" s="248">
        <f t="shared" si="4"/>
        <v>0</v>
      </c>
      <c r="X144" s="245" t="s">
        <v>1205</v>
      </c>
      <c r="Y144" s="249"/>
      <c r="Z144" s="245"/>
      <c r="AA144" s="245"/>
      <c r="AB144" s="249"/>
      <c r="AC144" s="249"/>
      <c r="AD144" s="249"/>
      <c r="AE144" s="249"/>
      <c r="AF144" s="249"/>
      <c r="AG144" s="245"/>
      <c r="AH144" s="249"/>
      <c r="AI144" s="249"/>
      <c r="AJ144" s="249"/>
      <c r="AK144" s="245"/>
      <c r="AL144" s="245"/>
      <c r="AM144" s="245"/>
      <c r="AN144" s="251"/>
      <c r="AO144" s="251"/>
      <c r="AP144" s="249"/>
      <c r="AQ144" s="251"/>
      <c r="AR144" s="249"/>
    </row>
    <row r="145" spans="1:44" ht="140.15" customHeight="1">
      <c r="A145" s="78"/>
      <c r="B145" s="501"/>
      <c r="C145" s="502"/>
      <c r="D145" s="494"/>
      <c r="E145" s="486"/>
      <c r="F145" s="37" t="s">
        <v>517</v>
      </c>
      <c r="G145" s="38" t="s">
        <v>518</v>
      </c>
      <c r="H145" s="39" t="s">
        <v>104</v>
      </c>
      <c r="I145" s="39" t="s">
        <v>165</v>
      </c>
      <c r="J145" s="40" t="s">
        <v>518</v>
      </c>
      <c r="K145" s="51"/>
      <c r="L145" s="42" t="s">
        <v>1088</v>
      </c>
      <c r="M145" s="242" t="s">
        <v>1102</v>
      </c>
      <c r="N145" s="243" t="s">
        <v>1703</v>
      </c>
      <c r="O145" s="409" t="s">
        <v>504</v>
      </c>
      <c r="P145" s="407"/>
      <c r="Q145" s="272" t="s">
        <v>1704</v>
      </c>
      <c r="R145" s="264">
        <v>34</v>
      </c>
      <c r="S145" s="264">
        <v>42</v>
      </c>
      <c r="T145" s="412" t="s">
        <v>1705</v>
      </c>
      <c r="U145" s="247" t="s">
        <v>1706</v>
      </c>
      <c r="V145" s="247" t="s">
        <v>1707</v>
      </c>
      <c r="W145" s="248">
        <f t="shared" si="4"/>
        <v>960</v>
      </c>
      <c r="X145" s="245" t="s">
        <v>1205</v>
      </c>
      <c r="Y145" s="249" t="s">
        <v>1692</v>
      </c>
      <c r="Z145" s="245"/>
      <c r="AA145" s="245"/>
      <c r="AB145" s="249">
        <v>400</v>
      </c>
      <c r="AC145" s="249"/>
      <c r="AD145" s="249"/>
      <c r="AE145" s="249"/>
      <c r="AF145" s="249"/>
      <c r="AG145" s="245"/>
      <c r="AH145" s="249"/>
      <c r="AI145" s="249"/>
      <c r="AJ145" s="249"/>
      <c r="AK145" s="245" t="s">
        <v>1708</v>
      </c>
      <c r="AL145" s="245">
        <v>560</v>
      </c>
      <c r="AM145" s="245"/>
      <c r="AN145" s="251"/>
      <c r="AO145" s="251"/>
      <c r="AP145" s="249"/>
      <c r="AQ145" s="251"/>
      <c r="AR145" s="249"/>
    </row>
    <row r="146" spans="1:44" ht="58">
      <c r="A146" s="78"/>
      <c r="B146" s="501"/>
      <c r="C146" s="502"/>
      <c r="D146" s="494"/>
      <c r="E146" s="486"/>
      <c r="F146" s="37" t="s">
        <v>519</v>
      </c>
      <c r="G146" s="38" t="s">
        <v>520</v>
      </c>
      <c r="H146" s="39" t="s">
        <v>104</v>
      </c>
      <c r="I146" s="39" t="s">
        <v>165</v>
      </c>
      <c r="J146" s="40" t="s">
        <v>1709</v>
      </c>
      <c r="K146" s="51"/>
      <c r="L146" s="42" t="s">
        <v>1088</v>
      </c>
      <c r="M146" s="242" t="s">
        <v>1102</v>
      </c>
      <c r="N146" s="243" t="s">
        <v>1710</v>
      </c>
      <c r="O146" s="409" t="s">
        <v>504</v>
      </c>
      <c r="P146" s="45"/>
      <c r="Q146" s="1" t="s">
        <v>1711</v>
      </c>
      <c r="R146" s="413">
        <v>0</v>
      </c>
      <c r="S146" s="413">
        <v>4</v>
      </c>
      <c r="T146" s="262"/>
      <c r="U146" s="266"/>
      <c r="V146" s="266"/>
      <c r="W146" s="248">
        <f t="shared" si="4"/>
        <v>220</v>
      </c>
      <c r="X146" s="245" t="s">
        <v>1205</v>
      </c>
      <c r="Y146" s="249" t="s">
        <v>1712</v>
      </c>
      <c r="Z146" s="245" t="s">
        <v>1713</v>
      </c>
      <c r="AA146" s="245"/>
      <c r="AB146" s="249"/>
      <c r="AC146" s="249">
        <v>80</v>
      </c>
      <c r="AD146" s="249">
        <v>80</v>
      </c>
      <c r="AE146" s="249"/>
      <c r="AF146" s="249"/>
      <c r="AG146" s="245"/>
      <c r="AH146" s="249"/>
      <c r="AI146" s="249">
        <v>100</v>
      </c>
      <c r="AJ146" s="249">
        <v>100</v>
      </c>
      <c r="AK146" s="245"/>
      <c r="AL146" s="245"/>
      <c r="AM146" s="245" t="s">
        <v>1139</v>
      </c>
      <c r="AN146" s="251">
        <v>40</v>
      </c>
      <c r="AO146" s="251"/>
      <c r="AP146" s="249"/>
      <c r="AQ146" s="251"/>
      <c r="AR146" s="249"/>
    </row>
    <row r="147" spans="1:44" ht="65.25" customHeight="1">
      <c r="A147" s="78"/>
      <c r="B147" s="501"/>
      <c r="C147" s="502"/>
      <c r="D147" s="414"/>
      <c r="E147" s="415"/>
      <c r="F147" s="322" t="s">
        <v>1714</v>
      </c>
      <c r="G147" s="90" t="s">
        <v>1715</v>
      </c>
      <c r="H147" s="39" t="s">
        <v>104</v>
      </c>
      <c r="I147" s="39" t="s">
        <v>114</v>
      </c>
      <c r="J147" s="40" t="str">
        <f>G147</f>
        <v>Desplegar el Pla estratègic 2021-2030 d'educació ambiental i voluntariat ambiental de Parc Natural de la Serra de Montsant (PEEVA): Educació ambiental</v>
      </c>
      <c r="K147" s="51"/>
      <c r="L147" s="42" t="s">
        <v>1088</v>
      </c>
      <c r="M147" s="242" t="s">
        <v>1102</v>
      </c>
      <c r="N147" s="243" t="s">
        <v>1716</v>
      </c>
      <c r="O147" s="409" t="s">
        <v>504</v>
      </c>
      <c r="P147" s="407"/>
      <c r="Q147" s="272" t="s">
        <v>1717</v>
      </c>
      <c r="R147" s="416">
        <v>0.25</v>
      </c>
      <c r="S147" s="416">
        <v>0.5</v>
      </c>
      <c r="T147" s="272"/>
      <c r="U147" s="273"/>
      <c r="V147" s="273"/>
      <c r="W147" s="248">
        <f t="shared" si="4"/>
        <v>400</v>
      </c>
      <c r="X147" s="245" t="s">
        <v>1205</v>
      </c>
      <c r="Y147" s="249" t="s">
        <v>1718</v>
      </c>
      <c r="Z147" s="245"/>
      <c r="AA147" s="245">
        <v>200</v>
      </c>
      <c r="AB147" s="249">
        <v>200</v>
      </c>
      <c r="AC147" s="249"/>
      <c r="AD147" s="249"/>
      <c r="AE147" s="249"/>
      <c r="AF147" s="249"/>
      <c r="AG147" s="245"/>
      <c r="AH147" s="249"/>
      <c r="AI147" s="249"/>
      <c r="AJ147" s="249"/>
      <c r="AK147" s="245">
        <v>200</v>
      </c>
      <c r="AL147" s="245">
        <v>200</v>
      </c>
      <c r="AM147" s="245"/>
      <c r="AN147" s="251"/>
      <c r="AO147" s="251"/>
      <c r="AP147" s="249"/>
      <c r="AQ147" s="251"/>
      <c r="AR147" s="249"/>
    </row>
    <row r="148" spans="1:44" ht="43.5" hidden="1">
      <c r="A148" s="78"/>
      <c r="B148" s="501"/>
      <c r="C148" s="502"/>
      <c r="D148" s="494" t="s">
        <v>521</v>
      </c>
      <c r="E148" s="486" t="s">
        <v>522</v>
      </c>
      <c r="F148" s="37" t="s">
        <v>523</v>
      </c>
      <c r="G148" s="90" t="s">
        <v>524</v>
      </c>
      <c r="H148" s="39" t="s">
        <v>104</v>
      </c>
      <c r="I148" s="411" t="s">
        <v>114</v>
      </c>
      <c r="J148" s="40" t="s">
        <v>1130</v>
      </c>
      <c r="K148" s="51" t="s">
        <v>1719</v>
      </c>
      <c r="L148" s="42"/>
      <c r="M148" s="284" t="s">
        <v>1089</v>
      </c>
      <c r="N148" s="243"/>
      <c r="O148" s="409" t="s">
        <v>504</v>
      </c>
      <c r="P148" s="407"/>
      <c r="Q148" s="417"/>
      <c r="R148" s="418"/>
      <c r="S148" s="419"/>
      <c r="T148" s="420"/>
      <c r="U148" s="421"/>
      <c r="V148" s="421"/>
      <c r="W148" s="248">
        <f t="shared" si="4"/>
        <v>0</v>
      </c>
      <c r="X148" s="245" t="s">
        <v>1205</v>
      </c>
      <c r="Y148" s="249"/>
      <c r="Z148" s="245"/>
      <c r="AA148" s="245"/>
      <c r="AB148" s="249"/>
      <c r="AC148" s="249"/>
      <c r="AD148" s="249"/>
      <c r="AE148" s="249"/>
      <c r="AF148" s="249"/>
      <c r="AG148" s="245"/>
      <c r="AH148" s="249"/>
      <c r="AI148" s="249"/>
      <c r="AJ148" s="249"/>
      <c r="AK148" s="245"/>
      <c r="AL148" s="245"/>
      <c r="AM148" s="245"/>
      <c r="AN148" s="251"/>
      <c r="AO148" s="251"/>
      <c r="AP148" s="249"/>
      <c r="AQ148" s="251"/>
      <c r="AR148" s="249"/>
    </row>
    <row r="149" spans="1:44" ht="154.5" customHeight="1">
      <c r="A149" s="78"/>
      <c r="B149" s="501"/>
      <c r="C149" s="502"/>
      <c r="D149" s="494"/>
      <c r="E149" s="486"/>
      <c r="F149" s="37" t="s">
        <v>525</v>
      </c>
      <c r="G149" s="38" t="s">
        <v>526</v>
      </c>
      <c r="H149" s="39" t="s">
        <v>104</v>
      </c>
      <c r="I149" s="39" t="s">
        <v>114</v>
      </c>
      <c r="J149" s="40" t="str">
        <f>G149</f>
        <v>Cercar i establir col·laboracions i projectes conjunts amb agents clau del territori</v>
      </c>
      <c r="K149" s="51"/>
      <c r="L149" s="42" t="s">
        <v>1088</v>
      </c>
      <c r="M149" s="242" t="s">
        <v>1089</v>
      </c>
      <c r="N149" s="243" t="s">
        <v>1720</v>
      </c>
      <c r="O149" s="409" t="s">
        <v>504</v>
      </c>
      <c r="P149" s="407"/>
      <c r="Q149" s="422" t="s">
        <v>1721</v>
      </c>
      <c r="R149" s="423">
        <v>20</v>
      </c>
      <c r="S149" s="413">
        <v>40</v>
      </c>
      <c r="T149" s="276" t="s">
        <v>1722</v>
      </c>
      <c r="U149" s="277" t="s">
        <v>1723</v>
      </c>
      <c r="V149" s="277" t="s">
        <v>1724</v>
      </c>
      <c r="W149" s="248">
        <f t="shared" si="4"/>
        <v>325</v>
      </c>
      <c r="X149" s="245" t="s">
        <v>1205</v>
      </c>
      <c r="Y149" s="249" t="s">
        <v>1725</v>
      </c>
      <c r="Z149" s="245" t="s">
        <v>1726</v>
      </c>
      <c r="AA149" s="245">
        <v>40</v>
      </c>
      <c r="AB149" s="249">
        <v>40</v>
      </c>
      <c r="AC149" s="249"/>
      <c r="AD149" s="249"/>
      <c r="AE149" s="249"/>
      <c r="AF149" s="249"/>
      <c r="AG149" s="245"/>
      <c r="AH149" s="249"/>
      <c r="AI149" s="249"/>
      <c r="AJ149" s="249"/>
      <c r="AK149" s="245" t="s">
        <v>1727</v>
      </c>
      <c r="AL149" s="1">
        <v>240</v>
      </c>
      <c r="AM149" s="245" t="s">
        <v>1728</v>
      </c>
      <c r="AN149" s="251">
        <v>30</v>
      </c>
      <c r="AO149" s="251"/>
      <c r="AP149" s="249"/>
      <c r="AQ149" s="251" t="s">
        <v>1729</v>
      </c>
      <c r="AR149" s="249">
        <v>15</v>
      </c>
    </row>
    <row r="150" spans="1:44" ht="117" customHeight="1">
      <c r="A150" s="78"/>
      <c r="B150" s="501"/>
      <c r="C150" s="502"/>
      <c r="D150" s="494"/>
      <c r="E150" s="486"/>
      <c r="F150" s="37" t="s">
        <v>527</v>
      </c>
      <c r="G150" s="38" t="s">
        <v>528</v>
      </c>
      <c r="H150" s="39" t="s">
        <v>104</v>
      </c>
      <c r="I150" s="39" t="s">
        <v>114</v>
      </c>
      <c r="J150" s="40" t="str">
        <f t="shared" si="5"/>
        <v>Elaborar formacions dirigides als informadors, educadors i altres prescriptors del territori</v>
      </c>
      <c r="K150" s="51"/>
      <c r="L150" s="42" t="s">
        <v>1088</v>
      </c>
      <c r="M150" s="242" t="s">
        <v>1089</v>
      </c>
      <c r="N150" s="243" t="s">
        <v>1730</v>
      </c>
      <c r="O150" s="409" t="s">
        <v>504</v>
      </c>
      <c r="P150" s="424" t="s">
        <v>529</v>
      </c>
      <c r="Q150" s="425" t="s">
        <v>1731</v>
      </c>
      <c r="R150" s="426">
        <v>4</v>
      </c>
      <c r="S150" s="264">
        <v>7</v>
      </c>
      <c r="T150" s="427" t="s">
        <v>1732</v>
      </c>
      <c r="U150" s="245" t="s">
        <v>1733</v>
      </c>
      <c r="V150" s="245" t="s">
        <v>1734</v>
      </c>
      <c r="W150" s="248">
        <f t="shared" si="4"/>
        <v>1070</v>
      </c>
      <c r="X150" s="245" t="s">
        <v>1205</v>
      </c>
      <c r="Y150" s="249" t="s">
        <v>1243</v>
      </c>
      <c r="Z150" s="245" t="s">
        <v>1735</v>
      </c>
      <c r="AA150" s="245" t="s">
        <v>1736</v>
      </c>
      <c r="AB150" s="249">
        <v>160</v>
      </c>
      <c r="AC150" s="245" t="s">
        <v>1737</v>
      </c>
      <c r="AD150" s="245">
        <v>90</v>
      </c>
      <c r="AE150" s="249"/>
      <c r="AF150" s="249"/>
      <c r="AG150" s="245"/>
      <c r="AH150" s="249"/>
      <c r="AI150" s="245"/>
      <c r="AJ150" s="249"/>
      <c r="AK150" s="245" t="s">
        <v>1738</v>
      </c>
      <c r="AL150" s="245">
        <v>130</v>
      </c>
      <c r="AM150" s="245" t="s">
        <v>1739</v>
      </c>
      <c r="AN150" s="251">
        <v>110</v>
      </c>
      <c r="AO150" s="251"/>
      <c r="AP150" s="249"/>
      <c r="AQ150" s="148" t="s">
        <v>1740</v>
      </c>
      <c r="AR150" s="249">
        <v>580</v>
      </c>
    </row>
    <row r="151" spans="1:44" ht="50.5" customHeight="1">
      <c r="A151" s="78"/>
      <c r="B151" s="501"/>
      <c r="C151" s="502"/>
      <c r="D151" s="494" t="s">
        <v>530</v>
      </c>
      <c r="E151" s="495" t="s">
        <v>531</v>
      </c>
      <c r="F151" s="37" t="s">
        <v>532</v>
      </c>
      <c r="G151" s="38" t="s">
        <v>533</v>
      </c>
      <c r="H151" s="39" t="s">
        <v>104</v>
      </c>
      <c r="I151" s="39" t="s">
        <v>114</v>
      </c>
      <c r="J151" s="40" t="str">
        <f>G151</f>
        <v>Desplegar en el territori les campanyes de sensibilització i bones pràctiques que s'impulsin des de la DG</v>
      </c>
      <c r="K151" s="51"/>
      <c r="L151" s="42" t="s">
        <v>1088</v>
      </c>
      <c r="M151" s="242" t="s">
        <v>1089</v>
      </c>
      <c r="N151" s="243" t="s">
        <v>1741</v>
      </c>
      <c r="O151" s="409" t="s">
        <v>504</v>
      </c>
      <c r="P151" s="38" t="s">
        <v>534</v>
      </c>
      <c r="Q151" s="276" t="s">
        <v>1742</v>
      </c>
      <c r="R151" s="270">
        <v>4</v>
      </c>
      <c r="S151" s="270">
        <v>8</v>
      </c>
      <c r="T151" s="262"/>
      <c r="U151" s="247"/>
      <c r="V151" s="247"/>
      <c r="W151" s="248">
        <f t="shared" si="4"/>
        <v>60</v>
      </c>
      <c r="X151" s="245" t="s">
        <v>1205</v>
      </c>
      <c r="Y151" s="249" t="s">
        <v>1130</v>
      </c>
      <c r="Z151" s="245" t="s">
        <v>1254</v>
      </c>
      <c r="AA151" s="245"/>
      <c r="AB151" s="249">
        <v>60</v>
      </c>
      <c r="AC151" s="249"/>
      <c r="AD151" s="249"/>
      <c r="AE151" s="249"/>
      <c r="AF151" s="249"/>
      <c r="AG151" s="245"/>
      <c r="AH151" s="249"/>
      <c r="AI151" s="249"/>
      <c r="AJ151" s="249"/>
      <c r="AK151" s="245"/>
      <c r="AL151" s="245"/>
      <c r="AM151" s="245"/>
      <c r="AN151" s="251"/>
      <c r="AO151" s="251"/>
      <c r="AP151" s="249"/>
      <c r="AQ151" s="251"/>
      <c r="AR151" s="249"/>
    </row>
    <row r="152" spans="1:44" ht="72.5">
      <c r="A152" s="78"/>
      <c r="B152" s="501"/>
      <c r="C152" s="502"/>
      <c r="D152" s="494"/>
      <c r="E152" s="495"/>
      <c r="F152" s="37" t="s">
        <v>535</v>
      </c>
      <c r="G152" s="38" t="s">
        <v>536</v>
      </c>
      <c r="H152" s="39" t="s">
        <v>104</v>
      </c>
      <c r="I152" s="39" t="s">
        <v>165</v>
      </c>
      <c r="J152" s="40" t="str">
        <f>G152</f>
        <v xml:space="preserve">Adaptar el programa de divulgació i sensibilització de l'ENP perquè incorpori una oferta d’activitats adequada per a famílies </v>
      </c>
      <c r="K152" s="329"/>
      <c r="L152" s="42" t="s">
        <v>1088</v>
      </c>
      <c r="M152" s="242" t="s">
        <v>1102</v>
      </c>
      <c r="N152" s="243" t="s">
        <v>1743</v>
      </c>
      <c r="O152" s="409" t="s">
        <v>504</v>
      </c>
      <c r="P152" s="81"/>
      <c r="Q152" s="245" t="s">
        <v>1744</v>
      </c>
      <c r="R152" s="246">
        <v>80</v>
      </c>
      <c r="S152" s="428">
        <v>125</v>
      </c>
      <c r="T152" s="272"/>
      <c r="U152" s="429"/>
      <c r="V152" s="430"/>
      <c r="W152" s="248">
        <f t="shared" si="4"/>
        <v>280</v>
      </c>
      <c r="X152" s="245" t="s">
        <v>1205</v>
      </c>
      <c r="Y152" s="249" t="s">
        <v>1745</v>
      </c>
      <c r="Z152" s="245" t="s">
        <v>1746</v>
      </c>
      <c r="AA152" s="245"/>
      <c r="AB152" s="249">
        <v>40</v>
      </c>
      <c r="AC152" s="249"/>
      <c r="AD152" s="249"/>
      <c r="AE152" s="249"/>
      <c r="AF152" s="249"/>
      <c r="AG152" s="245"/>
      <c r="AH152" s="249"/>
      <c r="AI152" s="249"/>
      <c r="AJ152" s="249"/>
      <c r="AK152" s="74">
        <v>120</v>
      </c>
      <c r="AL152" s="74">
        <v>120</v>
      </c>
      <c r="AM152" s="245"/>
      <c r="AN152" s="251"/>
      <c r="AO152" s="251"/>
      <c r="AP152" s="249"/>
      <c r="AQ152" s="251">
        <v>120</v>
      </c>
      <c r="AR152" s="249">
        <v>120</v>
      </c>
    </row>
    <row r="153" spans="1:44" ht="58">
      <c r="A153" s="78"/>
      <c r="B153" s="501"/>
      <c r="C153" s="502"/>
      <c r="D153" s="494"/>
      <c r="E153" s="495"/>
      <c r="F153" s="37" t="s">
        <v>537</v>
      </c>
      <c r="G153" s="58" t="s">
        <v>538</v>
      </c>
      <c r="H153" s="39" t="s">
        <v>104</v>
      </c>
      <c r="I153" s="39" t="s">
        <v>165</v>
      </c>
      <c r="J153" s="40" t="str">
        <f t="shared" si="5"/>
        <v xml:space="preserve">Adaptar el programa de divulgació i sensibilització de l'ENP perquè incorpori una oferta d’activitats adequada per a altres perfils </v>
      </c>
      <c r="K153" s="51"/>
      <c r="L153" s="42" t="s">
        <v>1088</v>
      </c>
      <c r="M153" s="242" t="s">
        <v>1136</v>
      </c>
      <c r="N153" s="243" t="s">
        <v>1747</v>
      </c>
      <c r="O153" s="409" t="s">
        <v>504</v>
      </c>
      <c r="P153" s="81"/>
      <c r="Q153" s="278" t="s">
        <v>1748</v>
      </c>
      <c r="R153" s="246">
        <v>1</v>
      </c>
      <c r="S153" s="246">
        <v>1</v>
      </c>
      <c r="U153" s="247"/>
      <c r="V153" s="247"/>
      <c r="W153" s="248">
        <f t="shared" si="4"/>
        <v>40</v>
      </c>
      <c r="X153" s="245" t="s">
        <v>1205</v>
      </c>
      <c r="Y153" s="249" t="s">
        <v>1254</v>
      </c>
      <c r="Z153" s="245" t="s">
        <v>1109</v>
      </c>
      <c r="AA153" s="245"/>
      <c r="AB153" s="249"/>
      <c r="AC153" s="249"/>
      <c r="AD153" s="249"/>
      <c r="AE153" s="249"/>
      <c r="AF153" s="249"/>
      <c r="AG153" s="245"/>
      <c r="AH153" s="249"/>
      <c r="AI153" s="249"/>
      <c r="AJ153" s="249"/>
      <c r="AK153" s="245"/>
      <c r="AL153" s="245"/>
      <c r="AM153" s="245" t="s">
        <v>1176</v>
      </c>
      <c r="AN153" s="251">
        <v>10</v>
      </c>
      <c r="AO153" s="251"/>
      <c r="AP153" s="249"/>
      <c r="AQ153" s="251">
        <v>30</v>
      </c>
      <c r="AR153" s="249">
        <v>30</v>
      </c>
    </row>
    <row r="154" spans="1:44" ht="43.5" hidden="1">
      <c r="A154" s="78"/>
      <c r="B154" s="501"/>
      <c r="C154" s="502"/>
      <c r="D154" s="494"/>
      <c r="E154" s="495"/>
      <c r="F154" s="37" t="s">
        <v>539</v>
      </c>
      <c r="G154" s="38" t="s">
        <v>540</v>
      </c>
      <c r="H154" s="39" t="s">
        <v>104</v>
      </c>
      <c r="I154" s="39" t="s">
        <v>165</v>
      </c>
      <c r="J154" s="40" t="s">
        <v>1130</v>
      </c>
      <c r="K154" s="51" t="s">
        <v>1749</v>
      </c>
      <c r="L154" s="42"/>
      <c r="M154" s="308"/>
      <c r="N154" s="431" t="s">
        <v>1750</v>
      </c>
      <c r="O154" s="409" t="s">
        <v>504</v>
      </c>
      <c r="P154" s="81"/>
      <c r="Q154" s="245"/>
      <c r="R154" s="246"/>
      <c r="S154" s="246"/>
      <c r="T154" s="245"/>
      <c r="U154" s="247"/>
      <c r="V154" s="247"/>
      <c r="W154" s="248">
        <f t="shared" si="4"/>
        <v>0</v>
      </c>
      <c r="X154" s="245"/>
      <c r="Y154" s="249"/>
      <c r="Z154" s="245"/>
      <c r="AA154" s="245"/>
      <c r="AB154" s="249"/>
      <c r="AC154" s="249"/>
      <c r="AD154" s="249"/>
      <c r="AE154" s="249"/>
      <c r="AF154" s="249"/>
      <c r="AG154" s="245"/>
      <c r="AH154" s="249"/>
      <c r="AI154" s="249"/>
      <c r="AJ154" s="249"/>
      <c r="AK154" s="245"/>
      <c r="AL154" s="245"/>
      <c r="AM154" s="245"/>
      <c r="AN154" s="251"/>
      <c r="AO154" s="251"/>
      <c r="AP154" s="249"/>
      <c r="AQ154" s="251"/>
      <c r="AR154" s="249"/>
    </row>
    <row r="155" spans="1:44" ht="37" customHeight="1">
      <c r="A155" s="78"/>
      <c r="B155" s="501"/>
      <c r="C155" s="502"/>
      <c r="D155" s="494" t="s">
        <v>541</v>
      </c>
      <c r="E155" s="486" t="s">
        <v>542</v>
      </c>
      <c r="F155" s="37" t="s">
        <v>543</v>
      </c>
      <c r="G155" s="58" t="s">
        <v>544</v>
      </c>
      <c r="H155" s="39" t="s">
        <v>104</v>
      </c>
      <c r="I155" s="39" t="s">
        <v>114</v>
      </c>
      <c r="J155" s="40" t="s">
        <v>1751</v>
      </c>
      <c r="K155" s="403"/>
      <c r="L155" s="42" t="s">
        <v>1088</v>
      </c>
      <c r="M155" s="242" t="s">
        <v>1089</v>
      </c>
      <c r="N155" s="243" t="s">
        <v>1752</v>
      </c>
      <c r="O155" s="409" t="s">
        <v>504</v>
      </c>
      <c r="P155" s="45"/>
      <c r="Q155" s="245" t="s">
        <v>1753</v>
      </c>
      <c r="R155" s="246">
        <v>8</v>
      </c>
      <c r="S155" s="246">
        <v>16</v>
      </c>
      <c r="T155" s="245"/>
      <c r="U155" s="247"/>
      <c r="V155" s="247"/>
      <c r="W155" s="248">
        <f t="shared" si="4"/>
        <v>45</v>
      </c>
      <c r="X155" s="245" t="s">
        <v>1205</v>
      </c>
      <c r="Y155" s="249" t="s">
        <v>1254</v>
      </c>
      <c r="Z155" s="245" t="s">
        <v>1109</v>
      </c>
      <c r="AA155" s="245"/>
      <c r="AB155" s="249"/>
      <c r="AC155" s="249"/>
      <c r="AD155" s="249"/>
      <c r="AE155" s="249"/>
      <c r="AF155" s="249"/>
      <c r="AG155" s="245"/>
      <c r="AH155" s="249"/>
      <c r="AI155" s="249"/>
      <c r="AJ155" s="249"/>
      <c r="AK155" s="245"/>
      <c r="AL155" s="245"/>
      <c r="AM155" s="245" t="s">
        <v>1235</v>
      </c>
      <c r="AN155" s="251">
        <v>20</v>
      </c>
      <c r="AO155" s="251"/>
      <c r="AP155" s="249"/>
      <c r="AQ155" s="251" t="s">
        <v>1270</v>
      </c>
      <c r="AR155" s="249">
        <v>25</v>
      </c>
    </row>
    <row r="156" spans="1:44" ht="58">
      <c r="A156" s="78"/>
      <c r="B156" s="501"/>
      <c r="C156" s="502"/>
      <c r="D156" s="494"/>
      <c r="E156" s="486"/>
      <c r="F156" s="37" t="s">
        <v>545</v>
      </c>
      <c r="G156" s="38" t="s">
        <v>546</v>
      </c>
      <c r="H156" s="39" t="s">
        <v>104</v>
      </c>
      <c r="I156" s="39" t="s">
        <v>165</v>
      </c>
      <c r="J156" s="40" t="str">
        <f t="shared" si="5"/>
        <v>Executar els projectes de sensibilització i formació dirigits al sector turístic, esportiu i de lleure</v>
      </c>
      <c r="K156" s="51"/>
      <c r="L156" s="42" t="s">
        <v>1088</v>
      </c>
      <c r="M156" s="242" t="s">
        <v>1102</v>
      </c>
      <c r="N156" s="243" t="s">
        <v>1754</v>
      </c>
      <c r="O156" s="409" t="s">
        <v>504</v>
      </c>
      <c r="P156" s="81"/>
      <c r="Q156" s="245" t="s">
        <v>1451</v>
      </c>
      <c r="R156" s="246">
        <v>4</v>
      </c>
      <c r="S156" s="246">
        <v>8</v>
      </c>
      <c r="T156" s="245"/>
      <c r="U156" s="247"/>
      <c r="V156" s="247"/>
      <c r="W156" s="248">
        <f t="shared" si="4"/>
        <v>75</v>
      </c>
      <c r="X156" s="245" t="s">
        <v>1205</v>
      </c>
      <c r="Y156" s="249" t="s">
        <v>1130</v>
      </c>
      <c r="Z156" s="245" t="s">
        <v>1254</v>
      </c>
      <c r="AA156" s="245" t="s">
        <v>1294</v>
      </c>
      <c r="AB156" s="249">
        <v>50</v>
      </c>
      <c r="AC156" s="249"/>
      <c r="AD156" s="249"/>
      <c r="AE156" s="249"/>
      <c r="AF156" s="249"/>
      <c r="AG156" s="245"/>
      <c r="AH156" s="249"/>
      <c r="AI156" s="249"/>
      <c r="AJ156" s="249"/>
      <c r="AK156" s="245"/>
      <c r="AL156" s="245"/>
      <c r="AM156" s="245"/>
      <c r="AN156" s="251"/>
      <c r="AO156" s="251"/>
      <c r="AP156" s="249"/>
      <c r="AQ156" s="251" t="s">
        <v>1270</v>
      </c>
      <c r="AR156" s="249">
        <v>25</v>
      </c>
    </row>
    <row r="157" spans="1:44" ht="72.5" hidden="1">
      <c r="A157" s="78"/>
      <c r="B157" s="501"/>
      <c r="C157" s="502"/>
      <c r="D157" s="494"/>
      <c r="E157" s="486"/>
      <c r="F157" s="37" t="s">
        <v>547</v>
      </c>
      <c r="G157" s="38" t="s">
        <v>548</v>
      </c>
      <c r="H157" s="39" t="s">
        <v>104</v>
      </c>
      <c r="I157" s="39" t="s">
        <v>165</v>
      </c>
      <c r="J157" s="40" t="s">
        <v>1130</v>
      </c>
      <c r="K157" s="432" t="s">
        <v>1702</v>
      </c>
      <c r="L157" s="42"/>
      <c r="M157" s="308"/>
      <c r="N157" s="287"/>
      <c r="O157" s="409" t="s">
        <v>504</v>
      </c>
      <c r="P157" s="81"/>
      <c r="Q157" s="245"/>
      <c r="R157" s="246"/>
      <c r="S157" s="246"/>
      <c r="T157" s="245"/>
      <c r="U157" s="247"/>
      <c r="V157" s="247"/>
      <c r="W157" s="248">
        <f t="shared" si="4"/>
        <v>0</v>
      </c>
      <c r="X157" s="245"/>
      <c r="Y157" s="249"/>
      <c r="Z157" s="245"/>
      <c r="AA157" s="245"/>
      <c r="AB157" s="249"/>
      <c r="AC157" s="249"/>
      <c r="AD157" s="249"/>
      <c r="AE157" s="249"/>
      <c r="AF157" s="249"/>
      <c r="AG157" s="245"/>
      <c r="AH157" s="249"/>
      <c r="AI157" s="249"/>
      <c r="AJ157" s="249"/>
      <c r="AK157" s="245"/>
      <c r="AL157" s="245"/>
      <c r="AM157" s="245"/>
      <c r="AN157" s="251"/>
      <c r="AO157" s="251"/>
      <c r="AP157" s="249"/>
      <c r="AQ157" s="251"/>
      <c r="AR157" s="249"/>
    </row>
    <row r="158" spans="1:44" ht="72.5" hidden="1">
      <c r="A158" s="78"/>
      <c r="B158" s="501"/>
      <c r="C158" s="502"/>
      <c r="D158" s="494"/>
      <c r="E158" s="486"/>
      <c r="F158" s="37" t="s">
        <v>549</v>
      </c>
      <c r="G158" s="38" t="s">
        <v>550</v>
      </c>
      <c r="H158" s="39" t="s">
        <v>104</v>
      </c>
      <c r="I158" s="39" t="s">
        <v>165</v>
      </c>
      <c r="J158" s="40" t="s">
        <v>1130</v>
      </c>
      <c r="K158" s="433" t="s">
        <v>1702</v>
      </c>
      <c r="L158" s="46"/>
      <c r="M158" s="308"/>
      <c r="N158" s="287"/>
      <c r="O158" s="409" t="s">
        <v>504</v>
      </c>
      <c r="P158" s="81"/>
      <c r="Q158" s="245"/>
      <c r="R158" s="246"/>
      <c r="S158" s="246"/>
      <c r="T158" s="245"/>
      <c r="U158" s="247"/>
      <c r="V158" s="247"/>
      <c r="W158" s="248">
        <f t="shared" si="4"/>
        <v>0</v>
      </c>
      <c r="X158" s="245"/>
      <c r="Y158" s="249"/>
      <c r="Z158" s="245"/>
      <c r="AA158" s="245"/>
      <c r="AB158" s="249"/>
      <c r="AC158" s="249"/>
      <c r="AD158" s="249"/>
      <c r="AE158" s="249"/>
      <c r="AF158" s="249"/>
      <c r="AG158" s="245"/>
      <c r="AH158" s="249"/>
      <c r="AI158" s="249"/>
      <c r="AJ158" s="249"/>
      <c r="AK158" s="245"/>
      <c r="AL158" s="245"/>
      <c r="AM158" s="245"/>
      <c r="AN158" s="251"/>
      <c r="AO158" s="251"/>
      <c r="AP158" s="249"/>
      <c r="AQ158" s="251"/>
      <c r="AR158" s="249"/>
    </row>
    <row r="159" spans="1:44" ht="72.5">
      <c r="A159" s="78"/>
      <c r="B159" s="501"/>
      <c r="C159" s="502"/>
      <c r="D159" s="494"/>
      <c r="E159" s="486"/>
      <c r="F159" s="37" t="s">
        <v>551</v>
      </c>
      <c r="G159" s="58" t="s">
        <v>552</v>
      </c>
      <c r="H159" s="39" t="s">
        <v>104</v>
      </c>
      <c r="I159" s="39" t="s">
        <v>114</v>
      </c>
      <c r="J159" s="40" t="str">
        <f t="shared" si="5"/>
        <v>Elaborar i renovar periòdicament un programa d’educació ambiental adreçat a la població local que contribueixi a fomentar el sentiment de pertinença i la implicació en la conservació de l'ENP.</v>
      </c>
      <c r="K159" s="51" t="s">
        <v>1755</v>
      </c>
      <c r="L159" s="42" t="s">
        <v>1088</v>
      </c>
      <c r="M159" s="242" t="s">
        <v>1089</v>
      </c>
      <c r="N159" s="335"/>
      <c r="O159" s="409" t="s">
        <v>504</v>
      </c>
      <c r="P159" s="45"/>
      <c r="Q159" s="245"/>
      <c r="R159" s="246"/>
      <c r="S159" s="246"/>
      <c r="T159" s="245"/>
      <c r="U159" s="247"/>
      <c r="V159" s="247"/>
      <c r="W159" s="248">
        <f t="shared" si="4"/>
        <v>0</v>
      </c>
      <c r="X159" s="245" t="s">
        <v>1205</v>
      </c>
      <c r="Y159" s="249"/>
      <c r="Z159" s="245"/>
      <c r="AA159" s="245"/>
      <c r="AB159" s="249"/>
      <c r="AC159" s="249"/>
      <c r="AD159" s="249"/>
      <c r="AE159" s="249"/>
      <c r="AF159" s="249"/>
      <c r="AG159" s="245"/>
      <c r="AH159" s="249"/>
      <c r="AI159" s="249"/>
      <c r="AJ159" s="249"/>
      <c r="AK159" s="245"/>
      <c r="AL159" s="245"/>
      <c r="AM159" s="245"/>
      <c r="AN159" s="251"/>
      <c r="AO159" s="251"/>
      <c r="AP159" s="249"/>
      <c r="AQ159" s="251"/>
      <c r="AR159" s="249"/>
    </row>
    <row r="160" spans="1:44" ht="66" customHeight="1">
      <c r="A160" s="78"/>
      <c r="B160" s="501"/>
      <c r="C160" s="502"/>
      <c r="D160" s="494" t="s">
        <v>553</v>
      </c>
      <c r="E160" s="496" t="s">
        <v>554</v>
      </c>
      <c r="F160" s="37" t="s">
        <v>555</v>
      </c>
      <c r="G160" s="38" t="s">
        <v>556</v>
      </c>
      <c r="H160" s="39" t="s">
        <v>104</v>
      </c>
      <c r="I160" s="39" t="s">
        <v>114</v>
      </c>
      <c r="J160" s="40" t="str">
        <f t="shared" si="5"/>
        <v>Identificar els programes, projectes i accions en marxa o previstos a l’ENP que poden rebre el suport del voluntariat</v>
      </c>
      <c r="K160" s="51"/>
      <c r="L160" s="42" t="s">
        <v>1088</v>
      </c>
      <c r="M160" s="242" t="s">
        <v>1089</v>
      </c>
      <c r="N160" s="243" t="s">
        <v>1756</v>
      </c>
      <c r="O160" s="409" t="s">
        <v>504</v>
      </c>
      <c r="P160" s="45"/>
      <c r="Q160" s="245"/>
      <c r="R160" s="246"/>
      <c r="S160" s="246"/>
      <c r="T160" s="245" t="s">
        <v>1757</v>
      </c>
      <c r="U160" s="247" t="s">
        <v>1758</v>
      </c>
      <c r="V160" s="247" t="s">
        <v>1759</v>
      </c>
      <c r="W160" s="248">
        <f t="shared" si="4"/>
        <v>260</v>
      </c>
      <c r="X160" s="245" t="s">
        <v>1205</v>
      </c>
      <c r="Y160" s="249" t="s">
        <v>1692</v>
      </c>
      <c r="Z160" s="245"/>
      <c r="AA160" s="245"/>
      <c r="AB160" s="249">
        <v>80</v>
      </c>
      <c r="AC160" s="249"/>
      <c r="AD160" s="249"/>
      <c r="AE160" s="249"/>
      <c r="AF160" s="249"/>
      <c r="AG160" s="245"/>
      <c r="AH160" s="249"/>
      <c r="AI160" s="249"/>
      <c r="AJ160" s="249"/>
      <c r="AK160" s="245" t="s">
        <v>1760</v>
      </c>
      <c r="AL160" s="245">
        <v>180</v>
      </c>
      <c r="AM160" s="245"/>
      <c r="AN160" s="251"/>
      <c r="AO160" s="251"/>
      <c r="AP160" s="249"/>
      <c r="AQ160" s="251"/>
      <c r="AR160" s="249"/>
    </row>
    <row r="161" spans="1:44" ht="66" customHeight="1">
      <c r="A161" s="78"/>
      <c r="B161" s="501"/>
      <c r="C161" s="502"/>
      <c r="D161" s="494"/>
      <c r="E161" s="496"/>
      <c r="F161" s="37" t="s">
        <v>557</v>
      </c>
      <c r="G161" s="38" t="s">
        <v>558</v>
      </c>
      <c r="H161" s="39" t="s">
        <v>104</v>
      </c>
      <c r="I161" s="39" t="s">
        <v>114</v>
      </c>
      <c r="J161" s="40" t="str">
        <f t="shared" si="5"/>
        <v>Establir un model de coordinació territorial amb agents clau del voluntariat ambiental</v>
      </c>
      <c r="K161" s="51"/>
      <c r="L161" s="42" t="s">
        <v>1088</v>
      </c>
      <c r="M161" s="379" t="s">
        <v>1102</v>
      </c>
      <c r="N161" s="243" t="s">
        <v>1761</v>
      </c>
      <c r="O161" s="259" t="s">
        <v>559</v>
      </c>
      <c r="P161" s="45" t="s">
        <v>560</v>
      </c>
      <c r="Q161" s="262"/>
      <c r="R161" s="260"/>
      <c r="S161" s="260"/>
      <c r="T161" s="245" t="s">
        <v>1762</v>
      </c>
      <c r="U161" s="247" t="s">
        <v>1763</v>
      </c>
      <c r="V161" s="247" t="s">
        <v>1764</v>
      </c>
      <c r="W161" s="248">
        <f t="shared" si="4"/>
        <v>120</v>
      </c>
      <c r="X161" s="245" t="s">
        <v>1205</v>
      </c>
      <c r="Y161" s="249" t="s">
        <v>1692</v>
      </c>
      <c r="Z161" s="245" t="s">
        <v>1406</v>
      </c>
      <c r="AA161" s="245"/>
      <c r="AB161" s="249">
        <v>40</v>
      </c>
      <c r="AC161" s="249"/>
      <c r="AD161" s="249"/>
      <c r="AE161" s="249"/>
      <c r="AF161" s="249"/>
      <c r="AG161" s="245"/>
      <c r="AH161" s="249"/>
      <c r="AI161" s="249"/>
      <c r="AJ161" s="249"/>
      <c r="AK161" s="245" t="s">
        <v>1329</v>
      </c>
      <c r="AL161" s="245">
        <v>60</v>
      </c>
      <c r="AM161" s="245" t="s">
        <v>1644</v>
      </c>
      <c r="AN161" s="251">
        <v>20</v>
      </c>
      <c r="AO161" s="251"/>
      <c r="AP161" s="249"/>
      <c r="AQ161" s="251"/>
      <c r="AR161" s="249"/>
    </row>
    <row r="162" spans="1:44" ht="58">
      <c r="A162" s="78"/>
      <c r="B162" s="501"/>
      <c r="C162" s="502"/>
      <c r="D162" s="414"/>
      <c r="E162" s="434"/>
      <c r="F162" s="37" t="s">
        <v>1765</v>
      </c>
      <c r="G162" s="38" t="s">
        <v>1766</v>
      </c>
      <c r="H162" s="39" t="s">
        <v>104</v>
      </c>
      <c r="I162" s="39" t="s">
        <v>114</v>
      </c>
      <c r="J162" s="40" t="str">
        <f>G162</f>
        <v>Desplegar el Pla Estratègic 2021-2030 d'educació ambiental i voluntariat ambiental del Parc Natural de la Serra de Montsant (PPEVA): Voluntariat</v>
      </c>
      <c r="K162" s="51"/>
      <c r="L162" s="435" t="s">
        <v>1088</v>
      </c>
      <c r="M162" s="436" t="s">
        <v>1102</v>
      </c>
      <c r="N162" s="243" t="s">
        <v>1767</v>
      </c>
      <c r="O162" s="259" t="s">
        <v>504</v>
      </c>
      <c r="P162" s="407"/>
      <c r="Q162" s="272" t="s">
        <v>1717</v>
      </c>
      <c r="R162" s="416">
        <v>0.1</v>
      </c>
      <c r="S162" s="416">
        <v>0.2</v>
      </c>
      <c r="T162" s="412"/>
      <c r="U162" s="247"/>
      <c r="V162" s="247"/>
      <c r="W162" s="248">
        <f t="shared" si="4"/>
        <v>160</v>
      </c>
      <c r="X162" s="245" t="s">
        <v>1205</v>
      </c>
      <c r="Y162" s="249" t="s">
        <v>1692</v>
      </c>
      <c r="Z162" s="245"/>
      <c r="AA162" s="245">
        <v>80</v>
      </c>
      <c r="AB162" s="249">
        <v>80</v>
      </c>
      <c r="AC162" s="249"/>
      <c r="AD162" s="249"/>
      <c r="AE162" s="249"/>
      <c r="AF162" s="249"/>
      <c r="AG162" s="245"/>
      <c r="AH162" s="249"/>
      <c r="AI162" s="249"/>
      <c r="AJ162" s="249"/>
      <c r="AK162" s="245">
        <v>80</v>
      </c>
      <c r="AL162" s="245">
        <v>80</v>
      </c>
      <c r="AM162" s="245"/>
      <c r="AN162" s="251"/>
      <c r="AO162" s="251"/>
      <c r="AP162" s="249"/>
      <c r="AQ162" s="251"/>
      <c r="AR162" s="249"/>
    </row>
    <row r="163" spans="1:44" ht="50.15" customHeight="1">
      <c r="A163" s="78"/>
      <c r="B163" s="501"/>
      <c r="C163" s="502"/>
      <c r="D163" s="505" t="s">
        <v>561</v>
      </c>
      <c r="E163" s="496" t="s">
        <v>562</v>
      </c>
      <c r="F163" s="83" t="s">
        <v>563</v>
      </c>
      <c r="G163" s="38" t="s">
        <v>564</v>
      </c>
      <c r="H163" s="39" t="s">
        <v>104</v>
      </c>
      <c r="I163" s="39" t="s">
        <v>114</v>
      </c>
      <c r="J163" s="40" t="str">
        <f t="shared" si="5"/>
        <v>Dissenyar i adaptar activitats inclusives per a persones amb necessitats específiques</v>
      </c>
      <c r="K163" s="51"/>
      <c r="L163" s="435" t="s">
        <v>1088</v>
      </c>
      <c r="M163" s="390" t="s">
        <v>1136</v>
      </c>
      <c r="N163" s="243" t="s">
        <v>1768</v>
      </c>
      <c r="O163" s="409" t="s">
        <v>504</v>
      </c>
      <c r="P163" s="437"/>
      <c r="Q163" s="272" t="s">
        <v>1769</v>
      </c>
      <c r="R163" s="264">
        <v>20</v>
      </c>
      <c r="S163" s="264">
        <v>40</v>
      </c>
      <c r="T163" s="412"/>
      <c r="U163" s="245"/>
      <c r="V163" s="245"/>
      <c r="W163" s="248">
        <f t="shared" si="4"/>
        <v>100</v>
      </c>
      <c r="X163" s="245" t="s">
        <v>1205</v>
      </c>
      <c r="Y163" s="249" t="s">
        <v>1254</v>
      </c>
      <c r="Z163" s="245" t="s">
        <v>1109</v>
      </c>
      <c r="AA163" s="245"/>
      <c r="AB163" s="249"/>
      <c r="AC163" s="249"/>
      <c r="AD163" s="249"/>
      <c r="AE163" s="249"/>
      <c r="AF163" s="249"/>
      <c r="AG163" s="245"/>
      <c r="AH163" s="249"/>
      <c r="AI163" s="249"/>
      <c r="AJ163" s="249"/>
      <c r="AK163" s="245"/>
      <c r="AL163" s="245"/>
      <c r="AM163" s="245" t="s">
        <v>1612</v>
      </c>
      <c r="AN163" s="251">
        <v>20</v>
      </c>
      <c r="AO163" s="251"/>
      <c r="AP163" s="249"/>
      <c r="AQ163" s="251" t="s">
        <v>1770</v>
      </c>
      <c r="AR163" s="249">
        <v>80</v>
      </c>
    </row>
    <row r="164" spans="1:44" ht="72.5" hidden="1">
      <c r="A164" s="78"/>
      <c r="B164" s="501"/>
      <c r="C164" s="502"/>
      <c r="D164" s="505"/>
      <c r="E164" s="496"/>
      <c r="F164" s="83" t="s">
        <v>565</v>
      </c>
      <c r="G164" s="38" t="s">
        <v>566</v>
      </c>
      <c r="H164" s="39" t="s">
        <v>104</v>
      </c>
      <c r="I164" s="39" t="s">
        <v>165</v>
      </c>
      <c r="J164" s="40" t="s">
        <v>1130</v>
      </c>
      <c r="K164" s="432" t="s">
        <v>1702</v>
      </c>
      <c r="L164" s="42"/>
      <c r="M164" s="438"/>
      <c r="N164" s="287"/>
      <c r="O164" s="409" t="s">
        <v>504</v>
      </c>
      <c r="P164" s="45"/>
      <c r="Q164" s="276"/>
      <c r="R164" s="270"/>
      <c r="S164" s="270"/>
      <c r="T164" s="245"/>
      <c r="U164" s="247"/>
      <c r="V164" s="247"/>
      <c r="W164" s="248">
        <f t="shared" si="4"/>
        <v>0</v>
      </c>
      <c r="X164" s="245"/>
      <c r="Y164" s="249"/>
      <c r="Z164" s="245"/>
      <c r="AA164" s="245"/>
      <c r="AB164" s="249"/>
      <c r="AC164" s="249"/>
      <c r="AD164" s="249"/>
      <c r="AE164" s="249"/>
      <c r="AF164" s="249"/>
      <c r="AG164" s="245"/>
      <c r="AH164" s="249"/>
      <c r="AI164" s="249"/>
      <c r="AJ164" s="249"/>
      <c r="AK164" s="245"/>
      <c r="AL164" s="245"/>
      <c r="AM164" s="245"/>
      <c r="AN164" s="251"/>
      <c r="AO164" s="251"/>
      <c r="AP164" s="249"/>
      <c r="AQ164" s="251"/>
      <c r="AR164" s="249"/>
    </row>
    <row r="165" spans="1:44" ht="37" customHeight="1">
      <c r="A165" s="78"/>
      <c r="B165" s="501"/>
      <c r="C165" s="502"/>
      <c r="D165" s="505"/>
      <c r="E165" s="496"/>
      <c r="F165" s="83" t="s">
        <v>567</v>
      </c>
      <c r="G165" s="38" t="s">
        <v>568</v>
      </c>
      <c r="H165" s="39" t="s">
        <v>104</v>
      </c>
      <c r="I165" s="39" t="s">
        <v>114</v>
      </c>
      <c r="J165" s="40" t="str">
        <f t="shared" si="5"/>
        <v>Incorporar la perspectiva de gènere als continguts i activitats de l'ENP</v>
      </c>
      <c r="K165" s="51"/>
      <c r="L165" s="42" t="s">
        <v>1088</v>
      </c>
      <c r="M165" s="242" t="s">
        <v>1102</v>
      </c>
      <c r="N165" s="243" t="s">
        <v>1771</v>
      </c>
      <c r="O165" s="409" t="s">
        <v>504</v>
      </c>
      <c r="P165" s="45"/>
      <c r="Q165" s="439" t="s">
        <v>1772</v>
      </c>
      <c r="R165" s="440">
        <v>2</v>
      </c>
      <c r="S165" s="261">
        <v>6</v>
      </c>
      <c r="T165" s="245"/>
      <c r="U165" s="245"/>
      <c r="V165" s="245"/>
      <c r="W165" s="248">
        <f t="shared" si="4"/>
        <v>25</v>
      </c>
      <c r="X165" s="245" t="s">
        <v>1205</v>
      </c>
      <c r="Y165" s="249" t="s">
        <v>1254</v>
      </c>
      <c r="Z165" s="245"/>
      <c r="AA165" s="245"/>
      <c r="AB165" s="249"/>
      <c r="AC165" s="249"/>
      <c r="AD165" s="249"/>
      <c r="AE165" s="249"/>
      <c r="AF165" s="249"/>
      <c r="AG165" s="245"/>
      <c r="AH165" s="249"/>
      <c r="AI165" s="249"/>
      <c r="AJ165" s="249"/>
      <c r="AK165" s="245"/>
      <c r="AL165" s="245"/>
      <c r="AM165" s="245"/>
      <c r="AN165" s="251"/>
      <c r="AO165" s="251"/>
      <c r="AP165" s="249"/>
      <c r="AQ165" s="251" t="s">
        <v>1270</v>
      </c>
      <c r="AR165" s="249">
        <v>25</v>
      </c>
    </row>
    <row r="166" spans="1:44" ht="58" hidden="1">
      <c r="A166" s="78"/>
      <c r="B166" s="501"/>
      <c r="C166" s="502"/>
      <c r="D166" s="505" t="s">
        <v>569</v>
      </c>
      <c r="E166" s="506" t="s">
        <v>570</v>
      </c>
      <c r="F166" s="83" t="s">
        <v>571</v>
      </c>
      <c r="G166" s="90" t="s">
        <v>572</v>
      </c>
      <c r="H166" s="39" t="s">
        <v>104</v>
      </c>
      <c r="I166" s="39" t="s">
        <v>165</v>
      </c>
      <c r="J166" s="324" t="s">
        <v>1130</v>
      </c>
      <c r="K166" s="432" t="s">
        <v>1773</v>
      </c>
      <c r="L166" s="42"/>
      <c r="M166" s="308"/>
      <c r="N166" s="335"/>
      <c r="O166" s="409" t="s">
        <v>504</v>
      </c>
      <c r="P166" s="45"/>
      <c r="Q166" s="245"/>
      <c r="R166" s="246"/>
      <c r="S166" s="246"/>
      <c r="T166" s="245"/>
      <c r="U166" s="247"/>
      <c r="V166" s="247"/>
      <c r="W166" s="248">
        <f t="shared" si="4"/>
        <v>0</v>
      </c>
      <c r="X166" s="245" t="s">
        <v>1205</v>
      </c>
      <c r="Y166" s="249"/>
      <c r="Z166" s="245"/>
      <c r="AA166" s="245"/>
      <c r="AB166" s="249"/>
      <c r="AC166" s="249"/>
      <c r="AD166" s="249"/>
      <c r="AE166" s="249"/>
      <c r="AF166" s="249"/>
      <c r="AG166" s="245"/>
      <c r="AH166" s="249"/>
      <c r="AI166" s="249"/>
      <c r="AJ166" s="249"/>
      <c r="AK166" s="245"/>
      <c r="AL166" s="245"/>
      <c r="AM166" s="245"/>
      <c r="AN166" s="251"/>
      <c r="AO166" s="251"/>
      <c r="AP166" s="249"/>
      <c r="AQ166" s="251"/>
      <c r="AR166" s="249"/>
    </row>
    <row r="167" spans="1:44" ht="72.5" hidden="1">
      <c r="A167" s="78"/>
      <c r="B167" s="501"/>
      <c r="C167" s="502"/>
      <c r="D167" s="505"/>
      <c r="E167" s="506"/>
      <c r="F167" s="83" t="s">
        <v>573</v>
      </c>
      <c r="G167" s="58" t="s">
        <v>574</v>
      </c>
      <c r="H167" s="39" t="s">
        <v>104</v>
      </c>
      <c r="I167" s="39" t="s">
        <v>165</v>
      </c>
      <c r="J167" s="40" t="s">
        <v>1130</v>
      </c>
      <c r="K167" s="441" t="s">
        <v>1702</v>
      </c>
      <c r="L167" s="80"/>
      <c r="M167" s="308"/>
      <c r="N167" s="442"/>
      <c r="O167" s="409" t="s">
        <v>504</v>
      </c>
      <c r="P167" s="45"/>
      <c r="Q167" s="245"/>
      <c r="R167" s="246"/>
      <c r="S167" s="246"/>
      <c r="T167" s="245"/>
      <c r="U167" s="247"/>
      <c r="V167" s="247"/>
      <c r="W167" s="248">
        <f t="shared" si="4"/>
        <v>0</v>
      </c>
      <c r="X167" s="245" t="s">
        <v>1774</v>
      </c>
      <c r="Y167" s="249"/>
      <c r="Z167" s="245"/>
      <c r="AA167" s="245"/>
      <c r="AB167" s="249"/>
      <c r="AC167" s="249"/>
      <c r="AD167" s="249"/>
      <c r="AE167" s="249"/>
      <c r="AF167" s="249"/>
      <c r="AG167" s="245"/>
      <c r="AH167" s="249"/>
      <c r="AI167" s="249"/>
      <c r="AJ167" s="249"/>
      <c r="AK167" s="245"/>
      <c r="AL167" s="245"/>
      <c r="AM167" s="245"/>
      <c r="AN167" s="251"/>
      <c r="AO167" s="251"/>
      <c r="AP167" s="249"/>
      <c r="AQ167" s="251"/>
      <c r="AR167" s="249"/>
    </row>
    <row r="168" spans="1:44" ht="117" customHeight="1">
      <c r="A168" s="78"/>
      <c r="B168" s="501"/>
      <c r="C168" s="502"/>
      <c r="D168" s="505"/>
      <c r="E168" s="506"/>
      <c r="F168" s="83" t="s">
        <v>575</v>
      </c>
      <c r="G168" s="38" t="s">
        <v>576</v>
      </c>
      <c r="H168" s="39" t="s">
        <v>104</v>
      </c>
      <c r="I168" s="39" t="s">
        <v>165</v>
      </c>
      <c r="J168" s="40" t="str">
        <f t="shared" si="5"/>
        <v xml:space="preserve">Incloure el concepte de salut i natura en els missatges educatius i comunicatius de l'ENP </v>
      </c>
      <c r="K168" s="403"/>
      <c r="L168" s="42" t="s">
        <v>1088</v>
      </c>
      <c r="M168" s="242" t="s">
        <v>1136</v>
      </c>
      <c r="N168" s="301" t="s">
        <v>1775</v>
      </c>
      <c r="O168" s="409" t="s">
        <v>504</v>
      </c>
      <c r="P168" s="45"/>
      <c r="Q168" s="245"/>
      <c r="R168" s="246"/>
      <c r="S168" s="246"/>
      <c r="T168" s="245" t="s">
        <v>1776</v>
      </c>
      <c r="U168" s="247" t="s">
        <v>1777</v>
      </c>
      <c r="V168" s="247" t="s">
        <v>1778</v>
      </c>
      <c r="W168" s="248">
        <f t="shared" si="4"/>
        <v>165</v>
      </c>
      <c r="X168" s="245" t="s">
        <v>1205</v>
      </c>
      <c r="Y168" s="249" t="s">
        <v>1254</v>
      </c>
      <c r="Z168" s="245" t="s">
        <v>1692</v>
      </c>
      <c r="AA168" s="245"/>
      <c r="AB168" s="249">
        <v>60</v>
      </c>
      <c r="AC168" s="249"/>
      <c r="AD168" s="249"/>
      <c r="AE168" s="249" t="s">
        <v>1779</v>
      </c>
      <c r="AF168" s="249">
        <v>30</v>
      </c>
      <c r="AG168" s="245"/>
      <c r="AH168" s="249"/>
      <c r="AI168" s="249"/>
      <c r="AJ168" s="249"/>
      <c r="AK168" s="245" t="s">
        <v>1780</v>
      </c>
      <c r="AL168" s="245">
        <v>40</v>
      </c>
      <c r="AM168" s="245"/>
      <c r="AN168" s="251"/>
      <c r="AO168" s="251"/>
      <c r="AP168" s="249"/>
      <c r="AQ168" s="148" t="s">
        <v>1781</v>
      </c>
      <c r="AR168" s="249">
        <v>35</v>
      </c>
    </row>
    <row r="169" spans="1:44" ht="29" hidden="1">
      <c r="A169" s="78"/>
      <c r="B169" s="501"/>
      <c r="C169" s="502"/>
      <c r="D169" s="505"/>
      <c r="E169" s="506"/>
      <c r="F169" s="83" t="s">
        <v>577</v>
      </c>
      <c r="G169" s="58" t="s">
        <v>1782</v>
      </c>
      <c r="H169" s="39" t="s">
        <v>104</v>
      </c>
      <c r="I169" s="39" t="s">
        <v>165</v>
      </c>
      <c r="J169" s="40" t="s">
        <v>1130</v>
      </c>
      <c r="K169" s="51" t="s">
        <v>1783</v>
      </c>
      <c r="L169" s="42"/>
      <c r="M169" s="242"/>
      <c r="N169" s="287"/>
      <c r="O169" s="409" t="s">
        <v>504</v>
      </c>
      <c r="P169" s="45"/>
      <c r="Q169" s="245"/>
      <c r="R169" s="246"/>
      <c r="S169" s="246"/>
      <c r="T169" s="245"/>
      <c r="U169" s="247"/>
      <c r="V169" s="247"/>
      <c r="W169" s="248">
        <f t="shared" si="4"/>
        <v>0</v>
      </c>
      <c r="X169" s="245" t="s">
        <v>1205</v>
      </c>
      <c r="Y169" s="249" t="s">
        <v>1254</v>
      </c>
      <c r="Z169" s="245"/>
      <c r="AA169" s="245"/>
      <c r="AB169" s="249"/>
      <c r="AC169" s="249"/>
      <c r="AD169" s="249"/>
      <c r="AE169" s="249"/>
      <c r="AF169" s="249"/>
      <c r="AG169" s="245"/>
      <c r="AH169" s="249"/>
      <c r="AI169" s="249"/>
      <c r="AJ169" s="249"/>
      <c r="AK169" s="245"/>
      <c r="AL169" s="245"/>
      <c r="AM169" s="245"/>
      <c r="AN169" s="251"/>
      <c r="AO169" s="251"/>
      <c r="AP169" s="249"/>
      <c r="AQ169" s="251"/>
      <c r="AR169" s="249"/>
    </row>
    <row r="170" spans="1:44" ht="100.5" customHeight="1">
      <c r="A170" s="443"/>
      <c r="B170" s="483">
        <v>14</v>
      </c>
      <c r="C170" s="484" t="s">
        <v>579</v>
      </c>
      <c r="D170" s="485" t="s">
        <v>580</v>
      </c>
      <c r="E170" s="486" t="s">
        <v>581</v>
      </c>
      <c r="F170" s="37" t="s">
        <v>582</v>
      </c>
      <c r="G170" s="38" t="s">
        <v>583</v>
      </c>
      <c r="H170" s="39" t="s">
        <v>104</v>
      </c>
      <c r="I170" s="39" t="s">
        <v>114</v>
      </c>
      <c r="J170" s="40" t="str">
        <f t="shared" si="5"/>
        <v>Informar periòdicament sobre les tasques, projectes i actuacions que duu a terme l'ENP a la població</v>
      </c>
      <c r="K170" s="51"/>
      <c r="L170" s="59" t="s">
        <v>1088</v>
      </c>
      <c r="M170" s="242" t="s">
        <v>1136</v>
      </c>
      <c r="N170" s="336" t="s">
        <v>1784</v>
      </c>
      <c r="O170" s="244" t="s">
        <v>584</v>
      </c>
      <c r="P170" s="45" t="s">
        <v>585</v>
      </c>
      <c r="Q170" s="366" t="s">
        <v>1785</v>
      </c>
      <c r="R170" s="246">
        <v>4</v>
      </c>
      <c r="S170" s="246">
        <v>15</v>
      </c>
      <c r="T170" s="245" t="s">
        <v>1786</v>
      </c>
      <c r="U170" s="247" t="s">
        <v>1787</v>
      </c>
      <c r="V170" s="247" t="s">
        <v>1788</v>
      </c>
      <c r="W170" s="248">
        <f t="shared" si="4"/>
        <v>755</v>
      </c>
      <c r="X170" s="245" t="s">
        <v>1205</v>
      </c>
      <c r="Y170" s="249" t="s">
        <v>1254</v>
      </c>
      <c r="Z170" s="245" t="s">
        <v>1789</v>
      </c>
      <c r="AA170" s="245"/>
      <c r="AB170" s="249">
        <v>80</v>
      </c>
      <c r="AC170" s="245" t="s">
        <v>1790</v>
      </c>
      <c r="AD170" s="249">
        <v>60</v>
      </c>
      <c r="AE170" s="249" t="s">
        <v>1791</v>
      </c>
      <c r="AF170" s="249">
        <v>20</v>
      </c>
      <c r="AG170" s="245"/>
      <c r="AH170" s="249"/>
      <c r="AI170" s="249">
        <v>20</v>
      </c>
      <c r="AJ170" s="249">
        <v>20</v>
      </c>
      <c r="AK170" s="245">
        <v>60</v>
      </c>
      <c r="AL170" s="245">
        <v>60</v>
      </c>
      <c r="AM170" s="245" t="s">
        <v>1792</v>
      </c>
      <c r="AN170" s="251">
        <v>140</v>
      </c>
      <c r="AO170" s="251"/>
      <c r="AP170" s="249"/>
      <c r="AQ170" s="148" t="s">
        <v>1793</v>
      </c>
      <c r="AR170" s="249">
        <v>375</v>
      </c>
    </row>
    <row r="171" spans="1:44" ht="69" customHeight="1">
      <c r="A171" s="443"/>
      <c r="B171" s="483"/>
      <c r="C171" s="484"/>
      <c r="D171" s="485"/>
      <c r="E171" s="486"/>
      <c r="F171" s="37" t="s">
        <v>586</v>
      </c>
      <c r="G171" s="38" t="s">
        <v>587</v>
      </c>
      <c r="H171" s="39" t="s">
        <v>104</v>
      </c>
      <c r="I171" s="39" t="s">
        <v>114</v>
      </c>
      <c r="J171" s="40" t="str">
        <f t="shared" si="5"/>
        <v>Garantir l'accessibilitat i gestió del coneixement disponible sobre l'ENP</v>
      </c>
      <c r="K171" s="51"/>
      <c r="L171" s="59" t="s">
        <v>1088</v>
      </c>
      <c r="M171" s="242" t="s">
        <v>1136</v>
      </c>
      <c r="N171" s="336" t="s">
        <v>1794</v>
      </c>
      <c r="O171" s="244"/>
      <c r="P171" s="45"/>
      <c r="Q171" s="245"/>
      <c r="R171" s="440"/>
      <c r="S171" s="261"/>
      <c r="T171" s="245" t="s">
        <v>1795</v>
      </c>
      <c r="U171" s="245" t="s">
        <v>1796</v>
      </c>
      <c r="V171" s="444" t="s">
        <v>1797</v>
      </c>
      <c r="W171" s="248">
        <f t="shared" si="4"/>
        <v>100</v>
      </c>
      <c r="X171" s="245" t="s">
        <v>1205</v>
      </c>
      <c r="Y171" s="249" t="s">
        <v>1254</v>
      </c>
      <c r="Z171" s="245"/>
      <c r="AA171" s="245"/>
      <c r="AB171" s="249"/>
      <c r="AC171" s="249"/>
      <c r="AD171" s="249"/>
      <c r="AE171" s="249" t="s">
        <v>1798</v>
      </c>
      <c r="AF171" s="249">
        <v>60</v>
      </c>
      <c r="AG171" s="245"/>
      <c r="AH171" s="249"/>
      <c r="AI171" s="249"/>
      <c r="AJ171" s="249"/>
      <c r="AK171" s="245"/>
      <c r="AL171" s="245"/>
      <c r="AM171" s="245"/>
      <c r="AN171" s="251"/>
      <c r="AO171" s="251"/>
      <c r="AP171" s="249"/>
      <c r="AQ171" s="251"/>
      <c r="AR171" s="249">
        <v>40</v>
      </c>
    </row>
    <row r="172" spans="1:44" ht="138.75" customHeight="1">
      <c r="A172" s="443"/>
      <c r="B172" s="483"/>
      <c r="C172" s="484"/>
      <c r="D172" s="84" t="s">
        <v>588</v>
      </c>
      <c r="E172" s="85" t="s">
        <v>589</v>
      </c>
      <c r="F172" s="37" t="s">
        <v>590</v>
      </c>
      <c r="G172" s="38" t="s">
        <v>591</v>
      </c>
      <c r="H172" s="39" t="s">
        <v>104</v>
      </c>
      <c r="I172" s="39" t="s">
        <v>114</v>
      </c>
      <c r="J172" s="40" t="str">
        <f t="shared" si="5"/>
        <v>Sensibilitzar als diferents agents sobre els valors de l'ENP</v>
      </c>
      <c r="K172" s="51"/>
      <c r="L172" s="59" t="s">
        <v>1088</v>
      </c>
      <c r="M172" s="242" t="s">
        <v>1136</v>
      </c>
      <c r="N172" s="336" t="s">
        <v>1799</v>
      </c>
      <c r="O172" s="244"/>
      <c r="P172" s="45" t="s">
        <v>592</v>
      </c>
      <c r="Q172" s="366" t="s">
        <v>1800</v>
      </c>
      <c r="R172" s="246">
        <v>27</v>
      </c>
      <c r="S172" s="246">
        <v>61</v>
      </c>
      <c r="T172" s="245" t="s">
        <v>1801</v>
      </c>
      <c r="U172" s="294" t="s">
        <v>1802</v>
      </c>
      <c r="V172" s="294" t="s">
        <v>1803</v>
      </c>
      <c r="W172" s="248">
        <f t="shared" si="4"/>
        <v>980</v>
      </c>
      <c r="X172" s="245" t="s">
        <v>1205</v>
      </c>
      <c r="Y172" s="249" t="s">
        <v>1254</v>
      </c>
      <c r="Z172" s="245" t="s">
        <v>1109</v>
      </c>
      <c r="AA172" s="245"/>
      <c r="AB172" s="249"/>
      <c r="AC172" s="249"/>
      <c r="AD172" s="249"/>
      <c r="AE172" s="249" t="s">
        <v>1804</v>
      </c>
      <c r="AF172" s="249">
        <v>90</v>
      </c>
      <c r="AG172" s="245"/>
      <c r="AH172" s="249"/>
      <c r="AI172" s="249"/>
      <c r="AJ172" s="249"/>
      <c r="AK172" s="245"/>
      <c r="AL172" s="245"/>
      <c r="AM172" s="245" t="s">
        <v>1805</v>
      </c>
      <c r="AN172" s="251">
        <v>110</v>
      </c>
      <c r="AO172" s="251"/>
      <c r="AP172" s="249"/>
      <c r="AQ172" s="445" t="s">
        <v>1806</v>
      </c>
      <c r="AR172" s="249">
        <v>780</v>
      </c>
    </row>
    <row r="173" spans="1:44" ht="216.75" customHeight="1">
      <c r="A173" s="443"/>
      <c r="B173" s="483"/>
      <c r="C173" s="484"/>
      <c r="D173" s="485" t="s">
        <v>593</v>
      </c>
      <c r="E173" s="487" t="s">
        <v>594</v>
      </c>
      <c r="F173" s="37" t="s">
        <v>595</v>
      </c>
      <c r="G173" s="38" t="s">
        <v>596</v>
      </c>
      <c r="H173" s="39" t="s">
        <v>104</v>
      </c>
      <c r="I173" s="39" t="s">
        <v>114</v>
      </c>
      <c r="J173" s="40" t="str">
        <f t="shared" si="5"/>
        <v>Optimitzar els canals de comunicació</v>
      </c>
      <c r="K173" s="51"/>
      <c r="L173" s="59" t="s">
        <v>1088</v>
      </c>
      <c r="M173" s="242" t="s">
        <v>1136</v>
      </c>
      <c r="N173" s="336" t="s">
        <v>1807</v>
      </c>
      <c r="O173" s="244" t="s">
        <v>584</v>
      </c>
      <c r="P173" s="45"/>
      <c r="Q173" s="245"/>
      <c r="R173" s="246"/>
      <c r="S173" s="246"/>
      <c r="T173" s="74" t="s">
        <v>1808</v>
      </c>
      <c r="U173" s="247" t="s">
        <v>1809</v>
      </c>
      <c r="V173" s="247" t="s">
        <v>1810</v>
      </c>
      <c r="W173" s="248">
        <f t="shared" si="4"/>
        <v>3650</v>
      </c>
      <c r="X173" s="245" t="s">
        <v>1205</v>
      </c>
      <c r="Y173" s="249" t="s">
        <v>1427</v>
      </c>
      <c r="Z173" s="245" t="s">
        <v>1811</v>
      </c>
      <c r="AA173" s="245" t="s">
        <v>1812</v>
      </c>
      <c r="AB173" s="249"/>
      <c r="AC173" s="446" t="s">
        <v>1813</v>
      </c>
      <c r="AD173" s="249">
        <v>420</v>
      </c>
      <c r="AE173" s="245" t="s">
        <v>1814</v>
      </c>
      <c r="AF173" s="249">
        <v>480</v>
      </c>
      <c r="AG173" s="245" t="s">
        <v>1815</v>
      </c>
      <c r="AH173" s="249">
        <v>200</v>
      </c>
      <c r="AI173" s="245">
        <v>100</v>
      </c>
      <c r="AJ173" s="249">
        <v>100</v>
      </c>
      <c r="AK173" s="366" t="s">
        <v>1816</v>
      </c>
      <c r="AL173" s="245">
        <v>520</v>
      </c>
      <c r="AM173" s="245" t="s">
        <v>1817</v>
      </c>
      <c r="AN173" s="251">
        <v>300</v>
      </c>
      <c r="AO173" s="251"/>
      <c r="AP173" s="249"/>
      <c r="AQ173" s="446" t="s">
        <v>1818</v>
      </c>
      <c r="AR173" s="250">
        <v>1630</v>
      </c>
    </row>
    <row r="174" spans="1:44" ht="251.15" customHeight="1">
      <c r="A174" s="443"/>
      <c r="B174" s="483"/>
      <c r="C174" s="484"/>
      <c r="D174" s="485"/>
      <c r="E174" s="487"/>
      <c r="F174" s="37" t="s">
        <v>597</v>
      </c>
      <c r="G174" s="38" t="s">
        <v>598</v>
      </c>
      <c r="H174" s="39" t="s">
        <v>104</v>
      </c>
      <c r="I174" s="39" t="s">
        <v>114</v>
      </c>
      <c r="J174" s="40" t="str">
        <f t="shared" si="5"/>
        <v>Garantir l'harmonització de la comunicació com a Parc, Xarxa i Generalitat.</v>
      </c>
      <c r="K174" s="51"/>
      <c r="L174" s="59" t="s">
        <v>1088</v>
      </c>
      <c r="M174" s="242" t="s">
        <v>1136</v>
      </c>
      <c r="N174" s="336" t="s">
        <v>1819</v>
      </c>
      <c r="O174" s="244" t="s">
        <v>584</v>
      </c>
      <c r="P174" s="45"/>
      <c r="Q174" s="447" t="s">
        <v>1820</v>
      </c>
      <c r="R174" s="293">
        <v>0.5</v>
      </c>
      <c r="S174" s="293">
        <v>1</v>
      </c>
      <c r="T174" s="245" t="s">
        <v>1821</v>
      </c>
      <c r="U174" s="247" t="s">
        <v>1822</v>
      </c>
      <c r="V174" s="247" t="s">
        <v>1823</v>
      </c>
      <c r="W174" s="248">
        <f t="shared" si="4"/>
        <v>470</v>
      </c>
      <c r="X174" s="245" t="s">
        <v>1205</v>
      </c>
      <c r="Y174" s="249" t="s">
        <v>1254</v>
      </c>
      <c r="Z174" s="245" t="s">
        <v>1109</v>
      </c>
      <c r="AA174" s="245"/>
      <c r="AB174" s="249"/>
      <c r="AC174" s="249"/>
      <c r="AD174" s="249"/>
      <c r="AE174" s="249"/>
      <c r="AF174" s="249"/>
      <c r="AG174" s="245"/>
      <c r="AH174" s="249"/>
      <c r="AI174" s="249"/>
      <c r="AJ174" s="249"/>
      <c r="AK174" s="245"/>
      <c r="AL174" s="245"/>
      <c r="AM174" s="245" t="s">
        <v>1824</v>
      </c>
      <c r="AN174" s="251">
        <v>70</v>
      </c>
      <c r="AO174" s="251"/>
      <c r="AP174" s="249"/>
      <c r="AQ174" s="251"/>
      <c r="AR174" s="249">
        <v>400</v>
      </c>
    </row>
    <row r="175" spans="1:44" ht="116" hidden="1">
      <c r="A175" s="86" t="s">
        <v>599</v>
      </c>
      <c r="B175" s="492">
        <v>15</v>
      </c>
      <c r="C175" s="493" t="s">
        <v>600</v>
      </c>
      <c r="D175" s="488" t="s">
        <v>601</v>
      </c>
      <c r="E175" s="489" t="s">
        <v>602</v>
      </c>
      <c r="F175" s="37" t="s">
        <v>603</v>
      </c>
      <c r="G175" s="38" t="s">
        <v>604</v>
      </c>
      <c r="H175" s="39" t="s">
        <v>104</v>
      </c>
      <c r="I175" s="39" t="s">
        <v>165</v>
      </c>
      <c r="J175" s="40" t="s">
        <v>1130</v>
      </c>
      <c r="K175" s="51" t="s">
        <v>1825</v>
      </c>
      <c r="L175" s="59"/>
      <c r="M175" s="308"/>
      <c r="N175" s="448"/>
      <c r="O175" s="244"/>
      <c r="P175" s="47"/>
      <c r="Q175" s="245"/>
      <c r="R175" s="246"/>
      <c r="S175" s="246"/>
      <c r="T175" s="245"/>
      <c r="U175" s="278"/>
      <c r="V175" s="247"/>
      <c r="W175" s="248">
        <f t="shared" si="4"/>
        <v>0</v>
      </c>
      <c r="X175" s="245"/>
      <c r="Y175" s="249"/>
      <c r="Z175" s="245"/>
      <c r="AA175" s="245"/>
      <c r="AB175" s="249"/>
      <c r="AC175" s="249"/>
      <c r="AD175" s="249"/>
      <c r="AE175" s="249"/>
      <c r="AF175" s="249"/>
      <c r="AG175" s="245"/>
      <c r="AH175" s="249"/>
      <c r="AI175" s="249"/>
      <c r="AJ175" s="249"/>
      <c r="AK175" s="245"/>
      <c r="AL175" s="245"/>
      <c r="AM175" s="245"/>
      <c r="AN175" s="251"/>
      <c r="AO175" s="251"/>
      <c r="AP175" s="249"/>
      <c r="AQ175" s="251"/>
      <c r="AR175" s="249"/>
    </row>
    <row r="176" spans="1:44" ht="72.5" hidden="1">
      <c r="A176" s="86"/>
      <c r="B176" s="492"/>
      <c r="C176" s="493"/>
      <c r="D176" s="488"/>
      <c r="E176" s="489"/>
      <c r="F176" s="37" t="s">
        <v>605</v>
      </c>
      <c r="G176" s="38" t="s">
        <v>606</v>
      </c>
      <c r="H176" s="39" t="s">
        <v>104</v>
      </c>
      <c r="I176" s="39" t="s">
        <v>165</v>
      </c>
      <c r="J176" s="40" t="s">
        <v>1130</v>
      </c>
      <c r="K176" s="51" t="s">
        <v>1826</v>
      </c>
      <c r="L176" s="59"/>
      <c r="M176" s="308"/>
      <c r="N176" s="448"/>
      <c r="O176" s="244"/>
      <c r="P176" s="47"/>
      <c r="Q176" s="245"/>
      <c r="R176" s="246"/>
      <c r="S176" s="246"/>
      <c r="T176" s="245"/>
      <c r="U176" s="247"/>
      <c r="V176" s="247"/>
      <c r="W176" s="248">
        <f t="shared" si="4"/>
        <v>0</v>
      </c>
      <c r="X176" s="245"/>
      <c r="Y176" s="249"/>
      <c r="Z176" s="245"/>
      <c r="AA176" s="245"/>
      <c r="AB176" s="249"/>
      <c r="AC176" s="249"/>
      <c r="AD176" s="249"/>
      <c r="AE176" s="249"/>
      <c r="AF176" s="249"/>
      <c r="AG176" s="245"/>
      <c r="AH176" s="249"/>
      <c r="AI176" s="249"/>
      <c r="AJ176" s="249"/>
      <c r="AK176" s="245"/>
      <c r="AL176" s="245"/>
      <c r="AM176" s="245"/>
      <c r="AN176" s="251"/>
      <c r="AO176" s="251"/>
      <c r="AP176" s="249"/>
      <c r="AQ176" s="251"/>
      <c r="AR176" s="249"/>
    </row>
    <row r="177" spans="1:44" ht="72.5" hidden="1">
      <c r="A177" s="86"/>
      <c r="B177" s="492"/>
      <c r="C177" s="493"/>
      <c r="D177" s="488"/>
      <c r="E177" s="489"/>
      <c r="F177" s="37" t="s">
        <v>607</v>
      </c>
      <c r="G177" s="38" t="s">
        <v>608</v>
      </c>
      <c r="H177" s="39" t="s">
        <v>104</v>
      </c>
      <c r="I177" s="39" t="s">
        <v>165</v>
      </c>
      <c r="J177" s="40" t="s">
        <v>1130</v>
      </c>
      <c r="K177" s="51" t="s">
        <v>1826</v>
      </c>
      <c r="L177" s="59"/>
      <c r="M177" s="308"/>
      <c r="N177" s="448"/>
      <c r="O177" s="244"/>
      <c r="P177" s="47"/>
      <c r="Q177" s="245"/>
      <c r="R177" s="246"/>
      <c r="S177" s="246"/>
      <c r="T177" s="245"/>
      <c r="U177" s="247"/>
      <c r="V177" s="247"/>
      <c r="W177" s="248">
        <f t="shared" si="4"/>
        <v>0</v>
      </c>
      <c r="X177" s="245"/>
      <c r="Y177" s="249"/>
      <c r="Z177" s="245"/>
      <c r="AA177" s="245"/>
      <c r="AB177" s="249"/>
      <c r="AC177" s="249"/>
      <c r="AD177" s="249"/>
      <c r="AE177" s="249"/>
      <c r="AF177" s="249"/>
      <c r="AG177" s="245"/>
      <c r="AH177" s="249"/>
      <c r="AI177" s="249"/>
      <c r="AJ177" s="249"/>
      <c r="AK177" s="245"/>
      <c r="AL177" s="245"/>
      <c r="AM177" s="245"/>
      <c r="AN177" s="251"/>
      <c r="AO177" s="251"/>
      <c r="AP177" s="249"/>
      <c r="AQ177" s="251"/>
      <c r="AR177" s="249"/>
    </row>
    <row r="178" spans="1:44" ht="101.5" hidden="1">
      <c r="A178" s="86"/>
      <c r="B178" s="492"/>
      <c r="C178" s="493"/>
      <c r="D178" s="488"/>
      <c r="E178" s="489"/>
      <c r="F178" s="37" t="s">
        <v>609</v>
      </c>
      <c r="G178" s="38" t="s">
        <v>610</v>
      </c>
      <c r="H178" s="39" t="s">
        <v>104</v>
      </c>
      <c r="I178" s="39" t="s">
        <v>114</v>
      </c>
      <c r="J178" s="359" t="str">
        <f>G178</f>
        <v>Adaptar i desplegar el model de governança dels espais naturals protegits</v>
      </c>
      <c r="K178" s="51" t="s">
        <v>1827</v>
      </c>
      <c r="L178" s="59" t="s">
        <v>674</v>
      </c>
      <c r="M178" s="308"/>
      <c r="N178" s="336"/>
      <c r="O178" s="244"/>
      <c r="P178" s="38" t="s">
        <v>611</v>
      </c>
      <c r="Q178" s="245"/>
      <c r="R178" s="246"/>
      <c r="S178" s="246"/>
      <c r="T178" s="245"/>
      <c r="U178" s="247"/>
      <c r="V178" s="247"/>
      <c r="W178" s="248">
        <f t="shared" si="4"/>
        <v>0</v>
      </c>
      <c r="X178" s="245" t="s">
        <v>1828</v>
      </c>
      <c r="Y178" s="249"/>
      <c r="Z178" s="245"/>
      <c r="AA178" s="245"/>
      <c r="AB178" s="249"/>
      <c r="AC178" s="249"/>
      <c r="AD178" s="249"/>
      <c r="AE178" s="249"/>
      <c r="AF178" s="249"/>
      <c r="AG178" s="245"/>
      <c r="AH178" s="249"/>
      <c r="AI178" s="249"/>
      <c r="AJ178" s="249"/>
      <c r="AK178" s="245"/>
      <c r="AL178" s="245"/>
      <c r="AM178" s="245"/>
      <c r="AN178" s="251"/>
      <c r="AO178" s="251"/>
      <c r="AP178" s="249"/>
      <c r="AQ178" s="251"/>
      <c r="AR178" s="249"/>
    </row>
    <row r="179" spans="1:44" ht="93.75" hidden="1" customHeight="1">
      <c r="A179" s="86"/>
      <c r="B179" s="87">
        <v>16</v>
      </c>
      <c r="C179" s="88" t="s">
        <v>612</v>
      </c>
      <c r="D179" s="89" t="s">
        <v>613</v>
      </c>
      <c r="E179" s="449" t="s">
        <v>614</v>
      </c>
      <c r="F179" s="37" t="s">
        <v>615</v>
      </c>
      <c r="G179" s="38" t="s">
        <v>1829</v>
      </c>
      <c r="H179" s="39" t="s">
        <v>104</v>
      </c>
      <c r="I179" s="39" t="s">
        <v>114</v>
      </c>
      <c r="J179" s="317" t="s">
        <v>1830</v>
      </c>
      <c r="K179" s="318" t="s">
        <v>1264</v>
      </c>
      <c r="L179" s="59" t="s">
        <v>1088</v>
      </c>
      <c r="M179" s="242" t="s">
        <v>1136</v>
      </c>
      <c r="N179" s="336" t="s">
        <v>1831</v>
      </c>
      <c r="O179" s="244"/>
      <c r="P179" s="47" t="s">
        <v>617</v>
      </c>
      <c r="Q179" s="245" t="s">
        <v>1832</v>
      </c>
      <c r="R179" s="293">
        <v>1</v>
      </c>
      <c r="S179" s="293">
        <v>1</v>
      </c>
      <c r="T179" s="245" t="s">
        <v>1833</v>
      </c>
      <c r="U179" s="247" t="s">
        <v>1207</v>
      </c>
      <c r="V179" s="247" t="s">
        <v>1207</v>
      </c>
      <c r="W179" s="248">
        <f t="shared" si="4"/>
        <v>0</v>
      </c>
      <c r="X179" s="245" t="s">
        <v>1834</v>
      </c>
      <c r="Y179" s="249" t="s">
        <v>1835</v>
      </c>
      <c r="Z179" s="245"/>
      <c r="AA179" s="245"/>
      <c r="AB179" s="249"/>
      <c r="AC179" s="249"/>
      <c r="AD179" s="249"/>
      <c r="AE179" s="249"/>
      <c r="AF179" s="249"/>
      <c r="AG179" s="245"/>
      <c r="AH179" s="249"/>
      <c r="AI179" s="249"/>
      <c r="AJ179" s="249"/>
      <c r="AK179" s="245"/>
      <c r="AL179" s="245"/>
      <c r="AM179" s="245"/>
      <c r="AN179" s="251"/>
      <c r="AO179" s="352" t="s">
        <v>1836</v>
      </c>
      <c r="AP179" s="249"/>
      <c r="AQ179" s="251"/>
      <c r="AR179" s="249"/>
    </row>
    <row r="180" spans="1:44" ht="87">
      <c r="A180" s="450" t="s">
        <v>599</v>
      </c>
      <c r="B180" s="451">
        <v>16</v>
      </c>
      <c r="C180" s="452" t="s">
        <v>1837</v>
      </c>
      <c r="D180" s="490" t="s">
        <v>618</v>
      </c>
      <c r="E180" s="491" t="s">
        <v>619</v>
      </c>
      <c r="F180" s="37" t="s">
        <v>620</v>
      </c>
      <c r="G180" s="38" t="s">
        <v>1838</v>
      </c>
      <c r="H180" s="39" t="s">
        <v>104</v>
      </c>
      <c r="I180" s="39" t="s">
        <v>114</v>
      </c>
      <c r="J180" s="40" t="str">
        <f t="shared" si="5"/>
        <v>Planificar, detectar les necessitats de contractació de l'ENP per a l'optimització dels contractes a nivell de Xarxa i gestionar els contractes</v>
      </c>
      <c r="K180" s="51"/>
      <c r="L180" s="59" t="s">
        <v>1088</v>
      </c>
      <c r="M180" s="242" t="s">
        <v>1102</v>
      </c>
      <c r="N180" s="336" t="s">
        <v>1839</v>
      </c>
      <c r="O180" s="244"/>
      <c r="P180" s="45" t="s">
        <v>622</v>
      </c>
      <c r="Q180" s="245" t="s">
        <v>1840</v>
      </c>
      <c r="R180" s="246">
        <v>4</v>
      </c>
      <c r="S180" s="246">
        <v>16</v>
      </c>
      <c r="T180" s="245"/>
      <c r="U180" s="247"/>
      <c r="V180" s="247"/>
      <c r="W180" s="248">
        <f t="shared" si="4"/>
        <v>40</v>
      </c>
      <c r="X180" s="245" t="s">
        <v>1834</v>
      </c>
      <c r="Y180" s="249" t="s">
        <v>1835</v>
      </c>
      <c r="Z180" s="245" t="s">
        <v>1841</v>
      </c>
      <c r="AA180" s="245"/>
      <c r="AB180" s="249"/>
      <c r="AC180" s="249"/>
      <c r="AD180" s="249"/>
      <c r="AE180" s="249"/>
      <c r="AF180" s="249"/>
      <c r="AG180" s="245"/>
      <c r="AH180" s="249"/>
      <c r="AI180" s="249"/>
      <c r="AJ180" s="249"/>
      <c r="AK180" s="245"/>
      <c r="AL180" s="245"/>
      <c r="AM180" s="245" t="s">
        <v>1842</v>
      </c>
      <c r="AN180" s="251">
        <v>40</v>
      </c>
      <c r="AO180" s="251"/>
      <c r="AP180" s="249"/>
      <c r="AQ180" s="251"/>
      <c r="AR180" s="249"/>
    </row>
    <row r="181" spans="1:44" ht="122.5" customHeight="1">
      <c r="A181" s="450"/>
      <c r="B181" s="451"/>
      <c r="C181" s="452"/>
      <c r="D181" s="490"/>
      <c r="E181" s="491"/>
      <c r="F181" s="37" t="s">
        <v>623</v>
      </c>
      <c r="G181" s="90" t="s">
        <v>1843</v>
      </c>
      <c r="H181" s="39" t="s">
        <v>104</v>
      </c>
      <c r="I181" s="39" t="s">
        <v>114</v>
      </c>
      <c r="J181" s="40" t="str">
        <f>G181</f>
        <v>Planificar i gestionar els ajuts</v>
      </c>
      <c r="K181" s="51"/>
      <c r="L181" s="40" t="s">
        <v>1088</v>
      </c>
      <c r="M181" s="242" t="s">
        <v>1102</v>
      </c>
      <c r="N181" s="336" t="s">
        <v>1844</v>
      </c>
      <c r="O181" s="244"/>
      <c r="P181" s="45"/>
      <c r="Q181" s="245" t="s">
        <v>1845</v>
      </c>
      <c r="R181" s="293">
        <v>1</v>
      </c>
      <c r="S181" s="293">
        <v>1</v>
      </c>
      <c r="T181" s="245" t="s">
        <v>1846</v>
      </c>
      <c r="U181" s="247" t="s">
        <v>1847</v>
      </c>
      <c r="V181" s="247" t="s">
        <v>1848</v>
      </c>
      <c r="W181" s="248">
        <f t="shared" si="4"/>
        <v>1790</v>
      </c>
      <c r="X181" s="245" t="s">
        <v>1834</v>
      </c>
      <c r="Y181" s="249" t="s">
        <v>1405</v>
      </c>
      <c r="Z181" s="245" t="s">
        <v>1849</v>
      </c>
      <c r="AA181" s="245"/>
      <c r="AB181" s="249"/>
      <c r="AC181" s="247" t="s">
        <v>1850</v>
      </c>
      <c r="AD181" s="249">
        <v>920</v>
      </c>
      <c r="AE181" s="249"/>
      <c r="AF181" s="249"/>
      <c r="AG181" s="245"/>
      <c r="AH181" s="249"/>
      <c r="AI181" s="245" t="s">
        <v>1851</v>
      </c>
      <c r="AJ181" s="249">
        <v>720</v>
      </c>
      <c r="AK181" s="245"/>
      <c r="AL181" s="245"/>
      <c r="AM181" s="245" t="s">
        <v>1852</v>
      </c>
      <c r="AN181" s="251">
        <v>150</v>
      </c>
      <c r="AO181" s="251"/>
      <c r="AP181" s="249"/>
      <c r="AQ181" s="251"/>
      <c r="AR181" s="249"/>
    </row>
    <row r="182" spans="1:44" ht="58" hidden="1">
      <c r="A182" s="450"/>
      <c r="B182" s="451"/>
      <c r="C182" s="452"/>
      <c r="D182" s="490"/>
      <c r="E182" s="491"/>
      <c r="F182" s="37" t="s">
        <v>625</v>
      </c>
      <c r="G182" s="90" t="s">
        <v>626</v>
      </c>
      <c r="H182" s="39" t="s">
        <v>104</v>
      </c>
      <c r="I182" s="39" t="s">
        <v>114</v>
      </c>
      <c r="J182" s="40" t="s">
        <v>1130</v>
      </c>
      <c r="K182" s="51" t="s">
        <v>1853</v>
      </c>
      <c r="L182" s="40"/>
      <c r="M182" s="308"/>
      <c r="N182" s="453"/>
      <c r="O182" s="244"/>
      <c r="P182" s="47" t="s">
        <v>627</v>
      </c>
      <c r="Q182" s="245"/>
      <c r="R182" s="246"/>
      <c r="S182" s="246"/>
      <c r="T182" s="245"/>
      <c r="U182" s="247"/>
      <c r="V182" s="247"/>
      <c r="W182" s="248">
        <f t="shared" si="4"/>
        <v>0</v>
      </c>
      <c r="X182" s="245" t="s">
        <v>1834</v>
      </c>
      <c r="Y182" s="249"/>
      <c r="Z182" s="245"/>
      <c r="AA182" s="245"/>
      <c r="AB182" s="249"/>
      <c r="AC182" s="249"/>
      <c r="AD182" s="249"/>
      <c r="AE182" s="249"/>
      <c r="AF182" s="249"/>
      <c r="AG182" s="245"/>
      <c r="AH182" s="249"/>
      <c r="AI182" s="249"/>
      <c r="AJ182" s="249"/>
      <c r="AK182" s="245"/>
      <c r="AL182" s="245"/>
      <c r="AM182" s="245"/>
      <c r="AN182" s="251"/>
      <c r="AO182" s="251"/>
      <c r="AP182" s="249"/>
      <c r="AQ182" s="251"/>
      <c r="AR182" s="249"/>
    </row>
    <row r="183" spans="1:44" ht="72.75" customHeight="1">
      <c r="A183" s="450"/>
      <c r="B183" s="451"/>
      <c r="C183" s="452"/>
      <c r="D183" s="91" t="s">
        <v>628</v>
      </c>
      <c r="E183" s="92" t="s">
        <v>629</v>
      </c>
      <c r="F183" s="37" t="s">
        <v>630</v>
      </c>
      <c r="G183" s="90" t="s">
        <v>631</v>
      </c>
      <c r="H183" s="39" t="s">
        <v>104</v>
      </c>
      <c r="I183" s="39" t="s">
        <v>114</v>
      </c>
      <c r="J183" s="40" t="str">
        <f t="shared" si="5"/>
        <v>Optimitzar l'elaboració d'informes</v>
      </c>
      <c r="K183" s="51"/>
      <c r="L183" s="40" t="s">
        <v>1088</v>
      </c>
      <c r="M183" s="242" t="s">
        <v>1136</v>
      </c>
      <c r="N183" s="336" t="s">
        <v>1854</v>
      </c>
      <c r="O183" s="244"/>
      <c r="P183" s="45"/>
      <c r="Q183" s="245"/>
      <c r="R183" s="246"/>
      <c r="S183" s="246"/>
      <c r="T183" s="245" t="s">
        <v>1855</v>
      </c>
      <c r="U183" s="247" t="s">
        <v>1856</v>
      </c>
      <c r="V183" s="294" t="s">
        <v>1857</v>
      </c>
      <c r="W183" s="248">
        <f t="shared" si="4"/>
        <v>310</v>
      </c>
      <c r="X183" s="245" t="s">
        <v>1159</v>
      </c>
      <c r="Y183" s="249" t="s">
        <v>1858</v>
      </c>
      <c r="Z183" s="245" t="s">
        <v>1109</v>
      </c>
      <c r="AA183" s="245"/>
      <c r="AB183" s="249">
        <v>40</v>
      </c>
      <c r="AC183" s="294" t="s">
        <v>1859</v>
      </c>
      <c r="AD183" s="249">
        <v>120</v>
      </c>
      <c r="AE183" s="249"/>
      <c r="AF183" s="249"/>
      <c r="AG183" s="245"/>
      <c r="AH183" s="249"/>
      <c r="AI183" s="245" t="s">
        <v>1860</v>
      </c>
      <c r="AJ183" s="249">
        <v>100</v>
      </c>
      <c r="AK183" s="245"/>
      <c r="AL183" s="245"/>
      <c r="AM183" s="245" t="s">
        <v>1236</v>
      </c>
      <c r="AN183" s="251">
        <v>50</v>
      </c>
      <c r="AO183" s="251"/>
      <c r="AP183" s="249"/>
      <c r="AQ183" s="251"/>
      <c r="AR183" s="249"/>
    </row>
    <row r="184" spans="1:44" ht="58">
      <c r="A184" s="450"/>
      <c r="B184" s="451"/>
      <c r="C184" s="452"/>
      <c r="D184" s="454"/>
      <c r="E184" s="455"/>
      <c r="F184" s="37" t="s">
        <v>632</v>
      </c>
      <c r="G184" s="38" t="s">
        <v>633</v>
      </c>
      <c r="H184" s="39" t="s">
        <v>104</v>
      </c>
      <c r="I184" s="39" t="s">
        <v>114</v>
      </c>
      <c r="J184" s="257" t="str">
        <f t="shared" si="5"/>
        <v>Adequar i actualitzar els procediments i tramitacions realitzats des de l'ENP als nous processos i eines conjuntes proposades des de Serveis Centrals</v>
      </c>
      <c r="K184" s="51"/>
      <c r="L184" s="59" t="s">
        <v>1088</v>
      </c>
      <c r="M184" s="242" t="s">
        <v>1136</v>
      </c>
      <c r="N184" s="368" t="s">
        <v>1861</v>
      </c>
      <c r="O184" s="244"/>
      <c r="P184" s="47" t="s">
        <v>634</v>
      </c>
      <c r="Q184" s="245"/>
      <c r="R184" s="246"/>
      <c r="S184" s="246"/>
      <c r="T184" s="245" t="s">
        <v>1862</v>
      </c>
      <c r="U184" s="247" t="s">
        <v>1856</v>
      </c>
      <c r="V184" s="294" t="s">
        <v>1857</v>
      </c>
      <c r="W184" s="248">
        <f t="shared" si="4"/>
        <v>152</v>
      </c>
      <c r="X184" s="245" t="s">
        <v>1834</v>
      </c>
      <c r="Y184" s="249" t="s">
        <v>1863</v>
      </c>
      <c r="Z184" s="245"/>
      <c r="AA184" s="245"/>
      <c r="AB184" s="249"/>
      <c r="AC184" s="249"/>
      <c r="AD184" s="249"/>
      <c r="AE184" s="249">
        <v>152</v>
      </c>
      <c r="AF184" s="249">
        <v>152</v>
      </c>
      <c r="AG184" s="245"/>
      <c r="AH184" s="249"/>
      <c r="AI184" s="249"/>
      <c r="AJ184" s="249"/>
      <c r="AK184" s="245"/>
      <c r="AL184" s="245"/>
      <c r="AM184" s="245"/>
      <c r="AN184" s="251"/>
      <c r="AO184" s="251"/>
      <c r="AP184" s="249"/>
      <c r="AQ184" s="251"/>
      <c r="AR184" s="249"/>
    </row>
    <row r="185" spans="1:44" ht="58">
      <c r="A185" s="450"/>
      <c r="B185" s="451"/>
      <c r="C185" s="452"/>
      <c r="D185" s="454"/>
      <c r="E185" s="455"/>
      <c r="F185" s="37" t="s">
        <v>635</v>
      </c>
      <c r="G185" s="90" t="s">
        <v>636</v>
      </c>
      <c r="H185" s="39" t="s">
        <v>104</v>
      </c>
      <c r="I185" s="39" t="s">
        <v>114</v>
      </c>
      <c r="J185" s="40" t="str">
        <f>G185</f>
        <v>Augmentar el coneixement de l'equip de treball en matèria de procediment administratiu</v>
      </c>
      <c r="K185" s="51" t="s">
        <v>1864</v>
      </c>
      <c r="L185" s="59" t="s">
        <v>1088</v>
      </c>
      <c r="M185" s="242" t="s">
        <v>1102</v>
      </c>
      <c r="N185" s="336" t="s">
        <v>1865</v>
      </c>
      <c r="O185" s="244"/>
      <c r="P185" s="45"/>
      <c r="Q185" s="245" t="s">
        <v>1866</v>
      </c>
      <c r="R185" s="293">
        <v>1</v>
      </c>
      <c r="S185" s="293">
        <v>1</v>
      </c>
      <c r="T185" s="456"/>
      <c r="U185" s="247"/>
      <c r="V185" s="247"/>
      <c r="W185" s="248">
        <f t="shared" si="4"/>
        <v>160</v>
      </c>
      <c r="X185" s="245" t="s">
        <v>1834</v>
      </c>
      <c r="Y185" s="249" t="s">
        <v>1867</v>
      </c>
      <c r="Z185" s="245"/>
      <c r="AA185" s="245"/>
      <c r="AB185" s="249"/>
      <c r="AC185" s="249"/>
      <c r="AD185" s="249"/>
      <c r="AE185" s="249">
        <v>160</v>
      </c>
      <c r="AF185" s="249">
        <v>160</v>
      </c>
      <c r="AG185" s="245"/>
      <c r="AH185" s="249"/>
      <c r="AI185" s="249"/>
      <c r="AJ185" s="249"/>
      <c r="AK185" s="245"/>
      <c r="AL185" s="245"/>
      <c r="AM185" s="245"/>
      <c r="AN185" s="251"/>
      <c r="AO185" s="251"/>
      <c r="AP185" s="249"/>
      <c r="AQ185" s="251"/>
      <c r="AR185" s="249"/>
    </row>
    <row r="186" spans="1:44" ht="130.5">
      <c r="A186" s="450"/>
      <c r="B186" s="451"/>
      <c r="C186" s="452"/>
      <c r="D186" s="454"/>
      <c r="E186" s="455"/>
      <c r="F186" s="37" t="s">
        <v>637</v>
      </c>
      <c r="G186" s="38" t="s">
        <v>638</v>
      </c>
      <c r="H186" s="39" t="s">
        <v>126</v>
      </c>
      <c r="I186" s="39" t="s">
        <v>114</v>
      </c>
      <c r="J186" s="40" t="str">
        <f t="shared" si="5"/>
        <v>Garantir la transparència administrativa</v>
      </c>
      <c r="K186" s="51"/>
      <c r="L186" s="59" t="s">
        <v>1088</v>
      </c>
      <c r="M186" s="242" t="s">
        <v>1102</v>
      </c>
      <c r="N186" s="336" t="s">
        <v>1868</v>
      </c>
      <c r="O186" s="244"/>
      <c r="P186" s="45"/>
      <c r="Q186" s="245" t="s">
        <v>1869</v>
      </c>
      <c r="R186" s="293">
        <v>1</v>
      </c>
      <c r="S186" s="293">
        <v>1</v>
      </c>
      <c r="T186" s="272"/>
      <c r="U186" s="310"/>
      <c r="V186" s="247"/>
      <c r="W186" s="248">
        <f t="shared" si="4"/>
        <v>420</v>
      </c>
      <c r="X186" s="245" t="s">
        <v>1834</v>
      </c>
      <c r="Y186" s="249" t="s">
        <v>1867</v>
      </c>
      <c r="Z186" s="245" t="s">
        <v>1109</v>
      </c>
      <c r="AA186" s="245"/>
      <c r="AB186" s="249"/>
      <c r="AC186" s="249"/>
      <c r="AD186" s="249"/>
      <c r="AE186" s="245" t="s">
        <v>1870</v>
      </c>
      <c r="AF186" s="249">
        <v>320</v>
      </c>
      <c r="AG186" s="245"/>
      <c r="AH186" s="249"/>
      <c r="AI186" s="249"/>
      <c r="AJ186" s="249"/>
      <c r="AK186" s="245"/>
      <c r="AL186" s="245"/>
      <c r="AM186" s="245" t="s">
        <v>1871</v>
      </c>
      <c r="AN186" s="251">
        <v>100</v>
      </c>
      <c r="AO186" s="251"/>
      <c r="AP186" s="249"/>
      <c r="AQ186" s="251"/>
      <c r="AR186" s="249"/>
    </row>
    <row r="187" spans="1:44" ht="110.25" customHeight="1">
      <c r="A187" s="450"/>
      <c r="B187" s="451"/>
      <c r="C187" s="452"/>
      <c r="D187" s="457"/>
      <c r="E187" s="458"/>
      <c r="F187" s="37" t="s">
        <v>639</v>
      </c>
      <c r="G187" s="38" t="s">
        <v>1872</v>
      </c>
      <c r="H187" s="39" t="s">
        <v>104</v>
      </c>
      <c r="I187" s="39" t="s">
        <v>165</v>
      </c>
      <c r="J187" s="40" t="str">
        <f t="shared" si="5"/>
        <v>Millorar i mantenir el material,  infraestructures i equipaments de gestió de l'espai</v>
      </c>
      <c r="K187" s="51"/>
      <c r="L187" s="59" t="s">
        <v>1088</v>
      </c>
      <c r="M187" s="242" t="s">
        <v>1136</v>
      </c>
      <c r="N187" s="336" t="s">
        <v>1873</v>
      </c>
      <c r="O187" s="244"/>
      <c r="P187" s="38"/>
      <c r="Q187" s="245" t="s">
        <v>1874</v>
      </c>
      <c r="R187" s="293">
        <v>1</v>
      </c>
      <c r="S187" s="293">
        <v>1</v>
      </c>
      <c r="T187" s="276" t="s">
        <v>1875</v>
      </c>
      <c r="U187" s="247" t="s">
        <v>1876</v>
      </c>
      <c r="V187" s="247" t="s">
        <v>1877</v>
      </c>
      <c r="W187" s="248">
        <f t="shared" si="4"/>
        <v>2014</v>
      </c>
      <c r="X187" s="245" t="s">
        <v>1834</v>
      </c>
      <c r="Y187" s="249" t="s">
        <v>1867</v>
      </c>
      <c r="Z187" s="245" t="s">
        <v>1303</v>
      </c>
      <c r="AA187" s="245"/>
      <c r="AB187" s="249"/>
      <c r="AC187" s="249"/>
      <c r="AD187" s="249"/>
      <c r="AE187" s="245" t="s">
        <v>1878</v>
      </c>
      <c r="AF187" s="249">
        <v>94</v>
      </c>
      <c r="AG187" s="245" t="s">
        <v>1879</v>
      </c>
      <c r="AH187" s="249">
        <v>1920</v>
      </c>
      <c r="AI187" s="249"/>
      <c r="AJ187" s="249"/>
      <c r="AK187" s="245"/>
      <c r="AL187" s="245"/>
      <c r="AM187" s="245"/>
      <c r="AN187" s="251"/>
      <c r="AO187" s="251"/>
      <c r="AP187" s="249"/>
      <c r="AQ187" s="251"/>
      <c r="AR187" s="249"/>
    </row>
    <row r="188" spans="1:44" s="1" customFormat="1" ht="93.75" customHeight="1">
      <c r="A188" s="450"/>
      <c r="B188" s="451"/>
      <c r="C188" s="452"/>
      <c r="D188" s="488" t="s">
        <v>641</v>
      </c>
      <c r="E188" s="489" t="s">
        <v>642</v>
      </c>
      <c r="F188" s="37" t="s">
        <v>643</v>
      </c>
      <c r="G188" s="38" t="s">
        <v>644</v>
      </c>
      <c r="H188" s="39" t="s">
        <v>104</v>
      </c>
      <c r="I188" s="39" t="s">
        <v>114</v>
      </c>
      <c r="J188" s="40" t="str">
        <f t="shared" si="5"/>
        <v>Revisar l’estat dels béns patrimonials i la situació administrativa-legal dels equipaments del parc</v>
      </c>
      <c r="K188" s="51"/>
      <c r="L188" s="59" t="s">
        <v>1088</v>
      </c>
      <c r="M188" s="242" t="s">
        <v>1089</v>
      </c>
      <c r="N188" s="336" t="s">
        <v>1880</v>
      </c>
      <c r="O188" s="244"/>
      <c r="P188" s="47" t="s">
        <v>645</v>
      </c>
      <c r="Q188" s="245" t="s">
        <v>1881</v>
      </c>
      <c r="R188" s="246"/>
      <c r="S188" s="246"/>
      <c r="T188" s="245" t="s">
        <v>1882</v>
      </c>
      <c r="U188" s="247" t="s">
        <v>1883</v>
      </c>
      <c r="V188" s="247" t="s">
        <v>1884</v>
      </c>
      <c r="W188" s="248">
        <f t="shared" si="4"/>
        <v>350</v>
      </c>
      <c r="X188" s="245" t="s">
        <v>1834</v>
      </c>
      <c r="Y188" s="245" t="s">
        <v>1863</v>
      </c>
      <c r="Z188" s="245" t="s">
        <v>1109</v>
      </c>
      <c r="AA188" s="245"/>
      <c r="AB188" s="245"/>
      <c r="AC188" s="245"/>
      <c r="AD188" s="245"/>
      <c r="AE188" s="245" t="s">
        <v>1885</v>
      </c>
      <c r="AF188" s="245">
        <v>300</v>
      </c>
      <c r="AG188" s="245"/>
      <c r="AH188" s="245"/>
      <c r="AI188" s="245"/>
      <c r="AJ188" s="245"/>
      <c r="AK188" s="245"/>
      <c r="AL188" s="245"/>
      <c r="AM188" s="245" t="s">
        <v>1469</v>
      </c>
      <c r="AN188" s="245">
        <v>50</v>
      </c>
      <c r="AO188" s="245"/>
      <c r="AP188" s="245"/>
      <c r="AQ188" s="245"/>
      <c r="AR188" s="245"/>
    </row>
    <row r="189" spans="1:44" ht="94" customHeight="1">
      <c r="A189" s="450"/>
      <c r="B189" s="451"/>
      <c r="C189" s="452"/>
      <c r="D189" s="488"/>
      <c r="E189" s="489"/>
      <c r="F189" s="37" t="s">
        <v>646</v>
      </c>
      <c r="G189" s="38" t="s">
        <v>1886</v>
      </c>
      <c r="H189" s="39" t="s">
        <v>104</v>
      </c>
      <c r="I189" s="39" t="s">
        <v>114</v>
      </c>
      <c r="J189" s="40" t="str">
        <f t="shared" si="5"/>
        <v>Tenir cobertes les pèrdues o danys materials del patrimoni de la Direcció General que hi ha a l'àmbit territorial del Parc, com a conseqüència de la materialització de qualsevol dels riscs emparats en el plec de prescripcions tècniques de la pòlissa</v>
      </c>
      <c r="K189" s="51"/>
      <c r="L189" s="59" t="s">
        <v>1088</v>
      </c>
      <c r="M189" s="242" t="s">
        <v>1089</v>
      </c>
      <c r="N189" s="336" t="s">
        <v>1887</v>
      </c>
      <c r="O189" s="244"/>
      <c r="P189" s="47" t="s">
        <v>648</v>
      </c>
      <c r="Q189" s="245" t="s">
        <v>1888</v>
      </c>
      <c r="R189" s="293">
        <v>1</v>
      </c>
      <c r="S189" s="293">
        <v>1</v>
      </c>
      <c r="T189" s="245" t="s">
        <v>1889</v>
      </c>
      <c r="U189" s="247" t="s">
        <v>1890</v>
      </c>
      <c r="V189" s="247" t="s">
        <v>1891</v>
      </c>
      <c r="W189" s="248">
        <f t="shared" si="4"/>
        <v>174</v>
      </c>
      <c r="X189" s="245" t="s">
        <v>1834</v>
      </c>
      <c r="Y189" s="249" t="s">
        <v>1892</v>
      </c>
      <c r="Z189" s="245"/>
      <c r="AA189" s="245"/>
      <c r="AB189" s="249"/>
      <c r="AC189" s="249"/>
      <c r="AD189" s="249"/>
      <c r="AE189" s="249">
        <v>144</v>
      </c>
      <c r="AF189" s="249">
        <v>144</v>
      </c>
      <c r="AI189" s="249"/>
      <c r="AJ189" s="249"/>
      <c r="AK189" s="245"/>
      <c r="AL189" s="245"/>
      <c r="AM189" s="245" t="s">
        <v>1893</v>
      </c>
      <c r="AN189" s="251">
        <v>30</v>
      </c>
      <c r="AO189" s="352" t="s">
        <v>1894</v>
      </c>
      <c r="AP189" s="249"/>
      <c r="AQ189" s="251"/>
      <c r="AR189" s="249"/>
    </row>
    <row r="190" spans="1:44" ht="159" customHeight="1">
      <c r="A190" s="450"/>
      <c r="B190" s="451"/>
      <c r="C190" s="452"/>
      <c r="D190" s="93" t="s">
        <v>649</v>
      </c>
      <c r="E190" s="94" t="s">
        <v>650</v>
      </c>
      <c r="F190" s="37" t="s">
        <v>651</v>
      </c>
      <c r="G190" s="38" t="s">
        <v>1895</v>
      </c>
      <c r="H190" s="39" t="s">
        <v>104</v>
      </c>
      <c r="I190" s="39" t="s">
        <v>114</v>
      </c>
      <c r="J190" s="40" t="s">
        <v>1895</v>
      </c>
      <c r="K190" s="51"/>
      <c r="L190" s="42" t="s">
        <v>1088</v>
      </c>
      <c r="M190" s="242" t="s">
        <v>1102</v>
      </c>
      <c r="N190" s="287" t="s">
        <v>1896</v>
      </c>
      <c r="O190" s="244"/>
      <c r="P190" s="45" t="s">
        <v>653</v>
      </c>
      <c r="Q190" s="245" t="s">
        <v>1897</v>
      </c>
      <c r="R190" s="293">
        <v>0.8</v>
      </c>
      <c r="S190" s="293">
        <v>1</v>
      </c>
      <c r="T190" s="245" t="s">
        <v>1898</v>
      </c>
      <c r="U190" s="247" t="s">
        <v>1899</v>
      </c>
      <c r="V190" s="247" t="s">
        <v>1900</v>
      </c>
      <c r="W190" s="248">
        <f t="shared" si="4"/>
        <v>330</v>
      </c>
      <c r="X190" s="245" t="s">
        <v>1419</v>
      </c>
      <c r="Y190" s="249" t="s">
        <v>1901</v>
      </c>
      <c r="Z190" s="245" t="s">
        <v>1108</v>
      </c>
      <c r="AA190" s="245"/>
      <c r="AB190" s="249"/>
      <c r="AC190" s="249" t="s">
        <v>1902</v>
      </c>
      <c r="AD190" s="249">
        <v>50</v>
      </c>
      <c r="AE190" s="245" t="s">
        <v>1903</v>
      </c>
      <c r="AF190" s="249">
        <v>100</v>
      </c>
      <c r="AG190" s="245"/>
      <c r="AH190" s="249"/>
      <c r="AI190" s="249" t="s">
        <v>1904</v>
      </c>
      <c r="AJ190" s="249">
        <v>100</v>
      </c>
      <c r="AK190" s="245"/>
      <c r="AL190" s="245"/>
      <c r="AM190" s="245"/>
      <c r="AN190" s="251"/>
      <c r="AO190" s="251"/>
      <c r="AP190" s="249"/>
      <c r="AQ190" s="251" t="s">
        <v>1905</v>
      </c>
      <c r="AR190" s="249">
        <v>80</v>
      </c>
    </row>
    <row r="191" spans="1:44" ht="43.5">
      <c r="A191" s="450"/>
      <c r="B191" s="451"/>
      <c r="C191" s="452"/>
      <c r="D191" s="490" t="s">
        <v>654</v>
      </c>
      <c r="E191" s="491" t="s">
        <v>655</v>
      </c>
      <c r="F191" s="37" t="s">
        <v>656</v>
      </c>
      <c r="G191" s="38" t="s">
        <v>1906</v>
      </c>
      <c r="H191" s="39" t="s">
        <v>126</v>
      </c>
      <c r="I191" s="39" t="s">
        <v>114</v>
      </c>
      <c r="J191" s="40" t="str">
        <f>G191</f>
        <v>Gestionar la brigada de manteniment</v>
      </c>
      <c r="K191" s="51"/>
      <c r="L191" s="42" t="s">
        <v>1088</v>
      </c>
      <c r="M191" s="242" t="s">
        <v>1377</v>
      </c>
      <c r="N191" s="243" t="s">
        <v>1907</v>
      </c>
      <c r="O191" s="244"/>
      <c r="P191" s="45"/>
      <c r="Q191" s="245" t="s">
        <v>1908</v>
      </c>
      <c r="R191" s="293">
        <v>1</v>
      </c>
      <c r="S191" s="293">
        <v>1</v>
      </c>
      <c r="T191" s="245"/>
      <c r="U191" s="247"/>
      <c r="V191" s="247"/>
      <c r="W191" s="248">
        <f t="shared" si="4"/>
        <v>412</v>
      </c>
      <c r="X191" s="245" t="s">
        <v>1339</v>
      </c>
      <c r="Y191" s="249" t="s">
        <v>1909</v>
      </c>
      <c r="Z191" s="245" t="s">
        <v>1109</v>
      </c>
      <c r="AA191" s="245"/>
      <c r="AB191" s="249"/>
      <c r="AC191" s="249"/>
      <c r="AD191" s="249"/>
      <c r="AE191" s="249">
        <v>272</v>
      </c>
      <c r="AF191" s="249">
        <v>272</v>
      </c>
      <c r="AG191" s="245" t="s">
        <v>1553</v>
      </c>
      <c r="AH191" s="249">
        <v>120</v>
      </c>
      <c r="AI191" s="249"/>
      <c r="AJ191" s="249"/>
      <c r="AK191" s="245"/>
      <c r="AL191" s="245"/>
      <c r="AM191" s="245" t="s">
        <v>1235</v>
      </c>
      <c r="AN191" s="251">
        <v>20</v>
      </c>
      <c r="AO191" s="251"/>
      <c r="AP191" s="249"/>
      <c r="AQ191" s="251"/>
      <c r="AR191" s="249"/>
    </row>
    <row r="192" spans="1:44" ht="96" customHeight="1">
      <c r="A192" s="450"/>
      <c r="B192" s="451"/>
      <c r="C192" s="452"/>
      <c r="D192" s="490"/>
      <c r="E192" s="491"/>
      <c r="F192" s="459" t="s">
        <v>658</v>
      </c>
      <c r="G192" s="375" t="s">
        <v>1910</v>
      </c>
      <c r="H192" s="374" t="s">
        <v>126</v>
      </c>
      <c r="I192" s="374" t="s">
        <v>114</v>
      </c>
      <c r="J192" s="376" t="str">
        <f>G192</f>
        <v>Gestionar, enfortir i consolidar l'equip de gestió del parc</v>
      </c>
      <c r="K192" s="377"/>
      <c r="L192" s="378" t="s">
        <v>1088</v>
      </c>
      <c r="M192" s="379" t="s">
        <v>1089</v>
      </c>
      <c r="N192" s="243" t="s">
        <v>1911</v>
      </c>
      <c r="O192" s="380"/>
      <c r="P192" s="460"/>
      <c r="Q192" s="262"/>
      <c r="R192" s="260"/>
      <c r="S192" s="260"/>
      <c r="T192" s="262" t="s">
        <v>1912</v>
      </c>
      <c r="U192" s="266" t="s">
        <v>1913</v>
      </c>
      <c r="V192" s="266" t="s">
        <v>1914</v>
      </c>
      <c r="W192" s="248">
        <f t="shared" si="4"/>
        <v>30</v>
      </c>
      <c r="X192" s="262" t="s">
        <v>1834</v>
      </c>
      <c r="Y192" s="381" t="s">
        <v>1109</v>
      </c>
      <c r="Z192" s="262"/>
      <c r="AA192" s="262"/>
      <c r="AB192" s="381"/>
      <c r="AC192" s="381"/>
      <c r="AD192" s="381"/>
      <c r="AE192" s="381"/>
      <c r="AF192" s="381"/>
      <c r="AG192" s="262"/>
      <c r="AH192" s="381"/>
      <c r="AI192" s="381"/>
      <c r="AJ192" s="381"/>
      <c r="AK192" s="262"/>
      <c r="AL192" s="262"/>
      <c r="AM192" s="262" t="s">
        <v>1915</v>
      </c>
      <c r="AN192" s="383">
        <v>30</v>
      </c>
      <c r="AO192" s="383"/>
      <c r="AP192" s="381"/>
      <c r="AQ192" s="383"/>
      <c r="AR192" s="381"/>
    </row>
    <row r="193" spans="1:44" ht="239.5" customHeight="1">
      <c r="A193" s="461"/>
      <c r="B193" s="462"/>
      <c r="C193" s="463"/>
      <c r="D193" s="464"/>
      <c r="E193" s="465"/>
      <c r="F193" s="466" t="s">
        <v>1916</v>
      </c>
      <c r="G193" s="388" t="s">
        <v>1917</v>
      </c>
      <c r="H193" s="387" t="s">
        <v>126</v>
      </c>
      <c r="I193" s="387" t="s">
        <v>114</v>
      </c>
      <c r="J193" s="372" t="str">
        <f>G193</f>
        <v>Gestió ordinària i d'imprevistos no contemplats en cap dels objectius operatius anteriors</v>
      </c>
      <c r="K193" s="467"/>
      <c r="L193" s="287" t="s">
        <v>1088</v>
      </c>
      <c r="M193" s="390" t="s">
        <v>1089</v>
      </c>
      <c r="N193" s="243" t="s">
        <v>1918</v>
      </c>
      <c r="O193" s="392"/>
      <c r="P193" s="468"/>
      <c r="Q193" s="272"/>
      <c r="R193" s="264"/>
      <c r="S193" s="264"/>
      <c r="T193" s="272" t="s">
        <v>1919</v>
      </c>
      <c r="U193" s="469" t="s">
        <v>1920</v>
      </c>
      <c r="V193" s="469" t="s">
        <v>1921</v>
      </c>
      <c r="W193" s="248">
        <f t="shared" si="4"/>
        <v>11669</v>
      </c>
      <c r="X193" s="272" t="s">
        <v>1834</v>
      </c>
      <c r="Y193" s="332" t="s">
        <v>1922</v>
      </c>
      <c r="Z193" s="470" t="s">
        <v>1667</v>
      </c>
      <c r="AA193" s="272"/>
      <c r="AB193" s="332">
        <v>600</v>
      </c>
      <c r="AC193" s="332" t="s">
        <v>1923</v>
      </c>
      <c r="AD193" s="332">
        <v>1400</v>
      </c>
      <c r="AE193" s="272" t="s">
        <v>1924</v>
      </c>
      <c r="AF193" s="332">
        <v>2899</v>
      </c>
      <c r="AG193" s="272" t="s">
        <v>1925</v>
      </c>
      <c r="AH193" s="332">
        <v>1800</v>
      </c>
      <c r="AI193" s="332"/>
      <c r="AJ193" s="332"/>
      <c r="AK193" s="272" t="s">
        <v>1926</v>
      </c>
      <c r="AL193" s="272">
        <v>1720</v>
      </c>
      <c r="AM193" s="272" t="s">
        <v>1927</v>
      </c>
      <c r="AN193" s="332">
        <v>1950</v>
      </c>
      <c r="AO193" s="393"/>
      <c r="AP193" s="332"/>
      <c r="AQ193" s="393"/>
      <c r="AR193" s="332">
        <v>1300</v>
      </c>
    </row>
    <row r="194" spans="1:44" ht="57.65" hidden="1" customHeight="1">
      <c r="M194" s="471"/>
      <c r="Z194" s="272" t="s">
        <v>1928</v>
      </c>
      <c r="AA194" s="272"/>
      <c r="AB194" s="332">
        <f>SUM(AB5:AB193)</f>
        <v>3387</v>
      </c>
      <c r="AC194" s="332"/>
      <c r="AD194" s="332">
        <f>SUM(AD5:AD193)</f>
        <v>8395</v>
      </c>
      <c r="AE194" s="332"/>
      <c r="AF194" s="332">
        <f>SUM(AF5:AF193)</f>
        <v>5276</v>
      </c>
      <c r="AG194" s="272"/>
      <c r="AH194" s="332">
        <f>SUM(AH5:AH193)</f>
        <v>52090</v>
      </c>
      <c r="AI194" s="332"/>
      <c r="AJ194" s="472">
        <f>SUM(AJ5:AJ193)</f>
        <v>3485</v>
      </c>
      <c r="AK194" s="272"/>
      <c r="AL194" s="272">
        <f>SUM(AL5:AL193)</f>
        <v>6345</v>
      </c>
      <c r="AM194" s="272"/>
      <c r="AN194" s="393">
        <f>SUM(AN5:AN193)</f>
        <v>7070</v>
      </c>
      <c r="AO194" s="393"/>
      <c r="AP194" s="332">
        <f>SUM(AP5:AP193)</f>
        <v>0</v>
      </c>
      <c r="AQ194" s="332"/>
      <c r="AR194" s="332">
        <f>SUM(AR5:AR193)</f>
        <v>8925</v>
      </c>
    </row>
  </sheetData>
  <autoFilter xmlns:x14="http://schemas.microsoft.com/office/spreadsheetml/2009/9/main" ref="A4:AR194">
    <filterColumn colId="9">
      <filters>
        <mc:AlternateContent xmlns:mc="http://schemas.openxmlformats.org/markup-compatibility/2006">
          <mc:Choice Requires="x14">
            <x14:filter val="Acollir estudiants de final de grau i pràctiques en empreses, de diferents centres universitaris i de recerca per a promoure el coneixement i donar suport al món acadèmic"/>
            <x14:filter val="Adaptar el programa de divulgació i sensibilització de l'ENP perquè incorpori una oferta d’activitats adequada per a altres perfils"/>
            <x14:filter val="Adaptar el programa de divulgació i sensibilització de l'ENP perquè incorpori una oferta d’activitats adequada per a famílies"/>
            <x14:filter val="Adaptar i executar plans de gestió específics per a elements geològics de conservació prioritària dins l'ENP"/>
            <x14:filter val="Adaptar i millorar l'oferta pedagògica de l'ENP generant situacions d'aprenentatge i treballs per projecte"/>
            <x14:filter val="Adequar els principals accessos, aparcaments i centres d'interès amb un ús elevat"/>
            <x14:filter val="Adequar i actualitzar els procediments i tramitacions realitzats des de l'ENP als nous processos i eines conjuntes proposades des de Serveis Centrals"/>
            <x14:filter val="Adequar i executar el sistema de seguiment periòdic dels grups clau de l'ENP al sistema estàndard de seguiment"/>
            <x14:filter val="Afavorir la connectivitat ecològica del territori"/>
            <x14:filter val="Aplicar limitacions temporals d'accés o circulació"/>
            <x14:filter val="Articular treballs conjunts entre l'ENP i representants, gestors o custodis del patrimoni cultural per a la seva protecció i millora"/>
            <x14:filter val="Augmentar el coneixement de l'equip de treball en matèria de procediment administratiu"/>
            <x14:filter val="Avaluar i controlar les actuacions que produeixin drenatges, captacions o que puguin impedir l’arribada d’aigua tant superficial com freàtica"/>
            <x14:filter val="Cercar i establir col·laboracions i projectes conjunts amb agents clau del territori"/>
            <x14:filter val="Col·laborar en la regulació i ordenació de la caça i la pesca en zones sensibles o amb risc d'afectació d'elements clau objecte de conservació."/>
            <x14:filter val="Coneixer com millorar la connectivitat de forma coordinada amb altres ENP"/>
            <x14:filter val="Conèixer els usos i factors de canvi rellevants en l'evolució dels elements de conservació, i avaluar els efectes que generen en l’espai (pressions i amenaces)"/>
            <x14:filter val="Conèixer i estudiar els elements i processos naturals propis de l’espai, la seva tendència, funcionalitat, i ecologia, per al desenvolupament d'accions de gestió i conservació"/>
            <x14:filter val="Conèixer la tendència d'espècies exòtiques invasores amb afectacions sobre ecosistemes o activitats econòmiques dins l'ENP"/>
            <x14:filter val="Consolidar la Xarxa de Centres Educatius de Montsant (Priorat)"/>
            <x14:filter val="Contribuir a la protecció dels assentaments humans respecte dels riscos naturals"/>
            <x14:filter val="Crear i implantar el programa de senyalització i manteniment"/>
            <x14:filter val="Crear sinèrgies i col·laborar amb museus i equipaments de referència per definir línies d'actuació conjuntes del patrimoni natural"/>
            <x14:filter val="Definir espais fràgils i zones d'especial atenció"/>
            <x14:filter val="Desenvolupar el pla d'accions ZEPQUA vinculades a la qualitat del cel nocturn"/>
            <x14:filter val="Desenvolupar el pla d'accions ZEPQUA vinculades al al qualitat acústica."/>
            <x14:filter val="Desplegar el model de Xarxa d'Escoles de l'Espai Natural (XEEN) a l'ENP d'acord amb el model general"/>
            <x14:filter val="Desplegar el Pla estratègic 2021-2030 d'educació ambiental i voluntariat ambiental de Parc Natural de la Serra de Montsant (PEEVA): Educació ambiental"/>
            <x14:filter val="Desplegar el Pla Estratègic 2021-2030 d'educació ambiental i voluntariat ambiental del Parc Natural de la Serra de Montsant (PPEVA): Voluntariat"/>
            <x14:filter val="Desplegar en el territori les campanyes de sensibilització i bones pràctiques que s'impulsin des de la DG"/>
            <x14:filter val="Disposar de dades de freqüentació i perfil d'usuari en l'ENP i en especial en equipaments i en zones d'alta freqüentació segons el model de DG"/>
            <x14:filter val="Disposar i mantenir els serveis, equipaments i infraestructures necessàries i accessibles per acollir, informar, facilitar la visita i fomentar la seguretat dels visitants i la protecció de l'entorn"/>
            <x14:filter val="Dissenyar i adaptar activitats inclusives per a persones amb necessitats específiques"/>
            <x14:filter val="Divulgar i dinamitzar les propostes sobre valors espirituals de l'iniciativa DELOS"/>
            <x14:filter val="Donar resposta a les peticions d'informe, tant de processos d'Avaluacio Ambiental com que puguin afectar als valors de l'espai"/>
            <x14:filter val="Donar suport en la gestió de poblacions que generen danys a les activitats econòmiques de l'ENP"/>
            <x14:filter val="Donar suport tècnic als equips de recerca vinculats als jaciments arqueològics en actiu dins ENP"/>
            <x14:filter val="Elaborar formacions dirigides als informadors, educadors i altres prescriptors del territori"/>
            <x14:filter val="Elaborar i renovar periòdicament un programa d’educació ambiental adreçat a la població local que contribueixi a fomentar el sentiment de pertinença i la implicació en la conservació de l'ENP."/>
            <x14:filter val="Elaborar l'inventari i cartografia de patrimoni cultural de l'ENP, que també inclogui el patrimoni etnològic i immaterial"/>
            <x14:filter val="Elaborar recursos educatius sobre l’espai (que tinguin en compte les problemàtiques singulars del seu espai) i posar-los a disposició dels centres educatius"/>
            <x14:filter val="Elaborar una diagnòsi del teixit productiu local i un pla d’acció amb línies de treball i actuacions concretes per donar-li suport"/>
            <x14:filter val="Establir col·laboracions amb entitats del territori (excursionistes)"/>
            <x14:filter val="Establir col·laboracions amb les institucions de recerca i naturalistes per al desenvolupament d'estudis i inventaris dins l'ENP en el marc de les seves línies de recerca"/>
            <x14:filter val="Establir un model de coordinació territorial amb agents clau del voluntariat ambiental"/>
            <x14:filter val="Executar els projectes de sensibilització i formació dirigits al sector turístic, esportiu i de lleure"/>
            <x14:filter val="Executar les mesures de gestió previstes en els plans de control i erradicació d'espècies exòtiques de forma coordinada amb el Servei de Flora i Fauna en l'àmbit de l'ENP"/>
            <x14:filter val="Executar les mesures previstes en els plans de conservació o recuperació d'espècies amenaçades de forma coordinada amb el Servei de Flora i Fauna en l'àmbit de l'ENP"/>
            <x14:filter val="Exercir un seguiment efectiu de les obres o actuacions autoritzades directament pel Parc o informades pel Parc i autoritzades per altri (seguiment conjunt amb la OTAA o altres organismes), als efectes d'assegurar la correcta translació de la tutela administrativa."/>
            <x14:filter val="Fomentar el coneixement del patrimoni cultural entre el personal del Parc"/>
            <x14:filter val="Fomentar el paisatge en mosaïc"/>
            <x14:filter val="Formar el personal dels punts d’informació en els valors culturals de l'ENP"/>
            <x14:filter val="Formar i capacitar al professorat de la XEEN"/>
            <x14:filter val="Garantir la transparència administrativa"/>
            <x14:filter val="Garantir l'accessibilitat i gestió del coneixement disponible sobre l'ENP"/>
            <x14:filter val="Garantir l'harmonització de la comunicació com a Parc, Xarxa i Generalitat."/>
            <x14:filter val="Generar aliances entre el sector primari, el turisme, la restauració i altres per fomentar la gastronomia local"/>
            <x14:filter val="Gestió ordinària i d'imprevistos no contemplats en cap dels objectius operatius anteriors"/>
            <x14:filter val="Gestionar i administrativament els pressupostos anuals d'entrades i despeses"/>
            <x14:filter val="Gestionar i intervenir en la dinàmica de poblacions de fauna que no tenen depredador natural"/>
            <x14:filter val="Gestionar i planificar els recursos hídrics de l'ENP"/>
            <x14:filter val="Gestionar la brigada de manteniment"/>
            <x14:filter val="Gestionar l'abandonament d'infraestructures i instal·lacions amb impactes sobre els valors de l'espai"/>
            <x14:filter val="Gestionar, enfortir i consolidar l'equip de gestió del parc"/>
            <x14:filter val="Identificar els ens de referència en patrimoni cultural (entitats, associacions, museus i ecomuseus, etc.) en l'àmbit de l'ENP"/>
            <x14:filter val="Identificar els programes, projectes i accions en marxa o previstos a l’ENP que poden rebre el suport del voluntariat"/>
            <x14:filter val="Identificar espais prioritaris per a la gestió directa"/>
            <x14:filter val="Identificar i classificar la xarxa viària bàsica, secundària, senders i itineraris senyalitzats"/>
            <x14:filter val="Identificar i conservar la diversitat domesticada de varietats agrícoles locals: BIODIVERSITAT CULTIVADA"/>
            <x14:filter val="Identificar i prioritzar els elements clau i d'interès per la gestió de la biodiversitat i geodiversitat de Catalunya que es troben dins l'ENP (especies amenaçades, espècies exòtiques invasores,.. )"/>
            <x14:filter val="Implantar un distintiu de qualitat i compatibilitat amb la conservació dels productes de la Xarxa d'ENP o criteris de qualitat propis de l'ENP"/>
            <x14:filter val="Implementar el Pla de Prevenció d'Incendis"/>
            <x14:filter val="Implementar i executar plans de gestió específics per a hàbitats i espècies de conservació prioritària dins l'ENP"/>
            <x14:filter val="Implementar la metodologia de gestió adaptativa (Estàndards Oberts de Gestió Adaptativa a Catalunya) en tots els processos de l'ENP"/>
            <x14:filter val="Implementar les mesures extraordinàries de regulació de l'ús públic"/>
            <x14:filter val="Implementar l'ordenació de l'ús públic en col·laboració amb els agents del territori"/>
            <x14:filter val="Impulsar i/o participar dels treballs de restauració arquitectònica i del patrimoni cultural"/>
            <x14:filter val="Impulsar la coordinació amb els ens locals en la gestió finques públiques situades dins d’ENP"/>
            <x14:filter val="Incloure el concepte de salut i natura en els missatges educatius i comunicatius de l'ENP"/>
            <x14:filter val="Incorporar el patrimoni cultural en els plans d’ús públic i educació ambiental per fomentar-ne la seva conservació i divulgació."/>
            <x14:filter val="Incorporar la perspectiva de gènere als continguts i activitats de l'ENP"/>
            <x14:filter val="Informar periòdicament sobre les tasques, projectes i actuacions que duu a terme l'ENP a la població"/>
            <x14:filter val="Integrar el patrimoni cultural als itineraris i cartelleria de l'ENP."/>
            <x14:filter val="Integrar els productes i activitats locals de qualitat en l'oferta d'activitats d'informació i turístiques de l'ENP"/>
            <x14:filter val="Mantenir una base de dades de seguiment de patrimoni natural de l'ENP actualitzada i ordenada"/>
            <x14:filter val="Millorar i mantenir el material,  infraestructures i equipaments de gestió de l'espai"/>
            <x14:filter val="Millorar la coordinació amb els cossos de seguretat per efectuar accions de control i vigilància"/>
            <x14:filter val="Millorar l'accessibilitat i la gestió documental i digital de l'ENP"/>
            <x14:filter val="Minimitzar la brutícia, deixalles, vandalisme i males praxis dins l'ENP"/>
            <x14:filter val="Optimitzar els canals de comunicació"/>
            <x14:filter val="Optimitzar l'elaboració d'informes"/>
            <x14:filter val="Ordenar els enregistraments i l'observació de fauna i natura en base al model de Pla de protecció"/>
            <x14:filter val="Ordenar la circulació rodada no motoritzada en base al model de Pla de protecció"/>
            <x14:filter val="Ordenar la presència d'animals de companyia"/>
            <x14:filter val="Ordenar la xarxa viària principal, secundària i restringida"/>
            <x14:filter val="Ordenar l'acampada i pernoctació  en base al model de Pla de protecció"/>
            <x14:filter val="Ordenar l'accés i la circulació"/>
            <x14:filter val="Ordenar l'enlairament i aterratge sense motor"/>
            <x14:filter val="Ordenar les activitats científiques en base al model de Pla de protecció"/>
            <x14:filter val="Ordenar les curses i altres activitats esportives organitzades en base al model de Pla de protecció"/>
            <x14:filter val="Ordenar l'escalada i alpinisme, barranquisme, i espeleologia  en base al model de Pla de protecció"/>
            <x14:filter val="Ordenar l'ús de drons, l'enlairament i l'aterratge"/>
            <x14:filter val="Participar en la definició del sistema estàndard de seguiment de flora, fauna i hàbitats de la DG"/>
            <x14:filter val="Participar en la definició del sistema estándard de seguiment de l'ús públic amb el SENP"/>
            <x14:filter val="Participar en la definició, organització i bolcatge del SINATCAT"/>
            <x14:filter val="Participar en la redacció i execució dels instruments d'ordenació forestal sostenible i per la conservació en finques públiques"/>
            <x14:filter val="Participar en l'elaboració de la cartografia que elabora la UIC"/>
            <x14:filter val="Planificar i gestionar els ajuts"/>
            <x14:filter val="Planificar, detectar les necessitats de contractació de l'ENP per a l'optimització dels contractes a nivell de Xarxa i gestionar els contractes"/>
            <x14:filter val="Posar a disposició de la recerca, equipaments i serveis de l'ENP"/>
            <x14:filter val="Potenciació de la fase 2 de la CETS"/>
            <x14:filter val="Promoció i acompanyament en l'ordenació de l'ús públic de l'ENP des de l'àmbit municipal"/>
            <x14:filter val="Promoure els agents del territori que potencien i difonen els productes alimentaris locals i de qualitat (allotjaments, restaurants, cellers, establiments, elaboradors i productors) que afavoreixin la conservació"/>
            <x14:filter val="Promoure la recuperació i conservació de marges i punts d'aigua associats a la ramaderia i l'agricultura i d'interès per la biodiversitat"/>
            <x14:filter val="Realitzar l'inventari de senyalètica de l'ENP"/>
            <x14:filter val="Recuperar i conservar el patrimoni cultural rural vinculat específicament a construccions de pedra en sec"/>
            <x14:filter val="Renovació de la CETS 2026 i canvi d'àmbit d'influència"/>
            <x14:filter val="Restaurar la dinàmica natural dels rius"/>
            <x14:filter val="Revisar l’estat dels béns patrimonials i la situació administrativa-legal dels equipaments del parc"/>
            <x14:filter val="Sensibilitzar als diferents agents sobre els valors de l'ENP"/>
            <x14:filter val="Tenir cobertes les pèrdues o danys materials del patrimoni de la Direcció General que hi ha a l'àmbit territorial del Parc, com a conseqüència de la materialització de qualsevol dels riscs emparats en el plec de prescripcions tècniques de la pòlissa"/>
            <x14:filter val="Treballar amb l'autoritat competent per garantir objectius de conservació d’espècies i hàbitats en la revisió dels Plans de Gestió Cinegètica"/>
            <x14:filter val="Treballar conjuntament amb els principals canals d’informació de rutes  per prioritzar itineraris oficials dins l’ENP"/>
            <x14:filter val="Treballar per a la prevenció d'incendis juntament amb els propietaris, ajuntaments, protecció civil, ADF i bombers."/>
            <x14:filter val="Vetllar pel manteniment del cabal ecològic dels rius definit al Pla sectorial corresponent"/>
          </mc:Choice>
          <mc:Fallback>
            <filter val="Acollir estudiants de final de grau i pràctiques en empreses, de diferents centres universitaris i de recerca per a promoure el coneixement i donar suport al món acadèmic"/>
            <filter val="Adaptar el programa de divulgació i sensibilització de l'ENP perquè incorpori una oferta d’activitats adequada per a altres perfils"/>
            <filter val="Adaptar el programa de divulgació i sensibilització de l'ENP perquè incorpori una oferta d’activitats adequada per a famílies"/>
            <filter val="Adaptar i executar plans de gestió específics per a elements geològics de conservació prioritària dins l'ENP"/>
            <filter val="Adaptar i millorar l'oferta pedagògica de l'ENP generant situacions d'aprenentatge i treballs per projecte"/>
            <filter val="Adequar els principals accessos, aparcaments i centres d'interès amb un ús elevat"/>
            <filter val="Adequar i actualitzar els procediments i tramitacions realitzats des de l'ENP als nous processos i eines conjuntes proposades des de Serveis Centrals"/>
            <filter val="Adequar i executar el sistema de seguiment periòdic dels grups clau de l'ENP al sistema estàndard de seguiment"/>
            <filter val="Afavorir la connectivitat ecològica del territori"/>
            <filter val="Aplicar limitacions temporals d'accés o circulació"/>
            <filter val="Articular treballs conjunts entre l'ENP i representants, gestors o custodis del patrimoni cultural per a la seva protecció i millora"/>
            <filter val="Augmentar el coneixement de l'equip de treball en matèria de procediment administratiu"/>
            <filter val="Avaluar i controlar les actuacions que produeixin drenatges, captacions o que puguin impedir l’arribada d’aigua tant superficial com freàtica"/>
            <filter val="Cercar i establir col·laboracions i projectes conjunts amb agents clau del territori"/>
            <filter val="Col·laborar en la regulació i ordenació de la caça i la pesca en zones sensibles o amb risc d'afectació d'elements clau objecte de conservació."/>
            <filter val="Coneixer com millorar la connectivitat de forma coordinada amb altres ENP"/>
            <filter val="Conèixer els usos i factors de canvi rellevants en l'evolució dels elements de conservació, i avaluar els efectes que generen en l’espai (pressions i amenaces)"/>
            <filter val="Conèixer i estudiar els elements i processos naturals propis de l’espai, la seva tendència, funcionalitat, i ecologia, per al desenvolupament d'accions de gestió i conservació"/>
            <filter val="Conèixer la tendència d'espècies exòtiques invasores amb afectacions sobre ecosistemes o activitats econòmiques dins l'ENP"/>
            <filter val="Consolidar la Xarxa de Centres Educatius de Montsant (Priorat)"/>
            <filter val="Contribuir a la protecció dels assentaments humans respecte dels riscos naturals"/>
            <filter val="Crear i implantar el programa de senyalització i manteniment"/>
            <filter val="Crear sinèrgies i col·laborar amb museus i equipaments de referència per definir línies d'actuació conjuntes del patrimoni natural"/>
            <filter val="Definir espais fràgils i zones d'especial atenció"/>
            <filter val="Desenvolupar el pla d'accions ZEPQUA vinculades a la qualitat del cel nocturn"/>
            <filter val="Desenvolupar el pla d'accions ZEPQUA vinculades al al qualitat acústica."/>
            <filter val="Desplegar el model de Xarxa d'Escoles de l'Espai Natural (XEEN) a l'ENP d'acord amb el model general"/>
            <filter val="Desplegar el Pla estratègic 2021-2030 d'educació ambiental i voluntariat ambiental de Parc Natural de la Serra de Montsant (PEEVA): Educació ambiental"/>
            <filter val="Desplegar el Pla Estratègic 2021-2030 d'educació ambiental i voluntariat ambiental del Parc Natural de la Serra de Montsant (PPEVA): Voluntariat"/>
            <filter val="Desplegar en el territori les campanyes de sensibilització i bones pràctiques que s'impulsin des de la DG"/>
            <filter val="Disposar de dades de freqüentació i perfil d'usuari en l'ENP i en especial en equipaments i en zones d'alta freqüentació segons el model de DG"/>
            <filter val="Disposar i mantenir els serveis, equipaments i infraestructures necessàries i accessibles per acollir, informar, facilitar la visita i fomentar la seguretat dels visitants i la protecció de l'entorn"/>
            <filter val="Dissenyar i adaptar activitats inclusives per a persones amb necessitats específiques"/>
            <filter val="Divulgar i dinamitzar les propostes sobre valors espirituals de l'iniciativa DELOS"/>
            <filter val="Donar resposta a les peticions d'informe, tant de processos d'Avaluacio Ambiental com que puguin afectar als valors de l'espai"/>
            <filter val="Donar suport en la gestió de poblacions que generen danys a les activitats econòmiques de l'ENP"/>
            <filter val="Donar suport tècnic als equips de recerca vinculats als jaciments arqueològics en actiu dins ENP"/>
            <filter val="Elaborar formacions dirigides als informadors, educadors i altres prescriptors del territori"/>
            <filter val="Elaborar i renovar periòdicament un programa d’educació ambiental adreçat a la població local que contribueixi a fomentar el sentiment de pertinença i la implicació en la conservació de l'ENP."/>
            <filter val="Elaborar l'inventari i cartografia de patrimoni cultural de l'ENP, que també inclogui el patrimoni etnològic i immaterial"/>
            <filter val="Elaborar recursos educatius sobre l’espai (que tinguin en compte les problemàtiques singulars del seu espai) i posar-los a disposició dels centres educatius"/>
            <filter val="Elaborar una diagnòsi del teixit productiu local i un pla d’acció amb línies de treball i actuacions concretes per donar-li suport"/>
            <filter val="Establir col·laboracions amb entitats del territori (excursionistes)"/>
            <filter val="Establir col·laboracions amb les institucions de recerca i naturalistes per al desenvolupament d'estudis i inventaris dins l'ENP en el marc de les seves línies de recerca"/>
            <filter val="Establir un model de coordinació territorial amb agents clau del voluntariat ambiental"/>
            <filter val="Executar els projectes de sensibilització i formació dirigits al sector turístic, esportiu i de lleure"/>
            <filter val="Executar les mesures de gestió previstes en els plans de control i erradicació d'espècies exòtiques de forma coordinada amb el Servei de Flora i Fauna en l'àmbit de l'ENP"/>
            <filter val="Executar les mesures previstes en els plans de conservació o recuperació d'espècies amenaçades de forma coordinada amb el Servei de Flora i Fauna en l'àmbit de l'ENP"/>
            <filter val="Fomentar el coneixement del patrimoni cultural entre el personal del Parc"/>
            <filter val="Fomentar el paisatge en mosaïc"/>
            <filter val="Formar el personal dels punts d’informació en els valors culturals de l'ENP"/>
            <filter val="Formar i capacitar al professorat de la XEEN"/>
            <filter val="Garantir la transparència administrativa"/>
            <filter val="Garantir l'accessibilitat i gestió del coneixement disponible sobre l'ENP"/>
            <filter val="Garantir l'harmonització de la comunicació com a Parc, Xarxa i Generalitat."/>
            <filter val="Generar aliances entre el sector primari, el turisme, la restauració i altres per fomentar la gastronomia local"/>
            <filter val="Gestió ordinària i d'imprevistos no contemplats en cap dels objectius operatius anteriors"/>
            <filter val="Gestionar i administrativament els pressupostos anuals d'entrades i despeses"/>
            <filter val="Gestionar i intervenir en la dinàmica de poblacions de fauna que no tenen depredador natural"/>
            <filter val="Gestionar i planificar els recursos hídrics de l'ENP"/>
            <filter val="Gestionar la brigada de manteniment"/>
            <filter val="Gestionar l'abandonament d'infraestructures i instal·lacions amb impactes sobre els valors de l'espai"/>
            <filter val="Gestionar, enfortir i consolidar l'equip de gestió del parc"/>
            <filter val="Identificar els ens de referència en patrimoni cultural (entitats, associacions, museus i ecomuseus, etc.) en l'àmbit de l'ENP"/>
            <filter val="Identificar els programes, projectes i accions en marxa o previstos a l’ENP que poden rebre el suport del voluntariat"/>
            <filter val="Identificar espais prioritaris per a la gestió directa"/>
            <filter val="Identificar i classificar la xarxa viària bàsica, secundària, senders i itineraris senyalitzats"/>
            <filter val="Identificar i conservar la diversitat domesticada de varietats agrícoles locals: BIODIVERSITAT CULTIVADA"/>
            <filter val="Identificar i prioritzar els elements clau i d'interès per la gestió de la biodiversitat i geodiversitat de Catalunya que es troben dins l'ENP (especies amenaçades, espècies exòtiques invasores,.. )"/>
            <filter val="Implantar un distintiu de qualitat i compatibilitat amb la conservació dels productes de la Xarxa d'ENP o criteris de qualitat propis de l'ENP"/>
            <filter val="Implementar el Pla de Prevenció d'Incendis"/>
            <filter val="Implementar i executar plans de gestió específics per a hàbitats i espècies de conservació prioritària dins l'ENP"/>
            <filter val="Implementar la metodologia de gestió adaptativa (Estàndards Oberts de Gestió Adaptativa a Catalunya) en tots els processos de l'ENP"/>
            <filter val="Implementar les mesures extraordinàries de regulació de l'ús públic"/>
            <filter val="Implementar l'ordenació de l'ús públic en col·laboració amb els agents del territori"/>
            <filter val="Impulsar i/o participar dels treballs de restauració arquitectònica i del patrimoni cultural"/>
            <filter val="Impulsar la coordinació amb els ens locals en la gestió finques públiques situades dins d’ENP"/>
            <filter val="Incloure el concepte de salut i natura en els missatges educatius i comunicatius de l'ENP"/>
            <filter val="Incorporar el patrimoni cultural en els plans d’ús públic i educació ambiental per fomentar-ne la seva conservació i divulgació."/>
            <filter val="Incorporar la perspectiva de gènere als continguts i activitats de l'ENP"/>
            <filter val="Informar periòdicament sobre les tasques, projectes i actuacions que duu a terme l'ENP a la població"/>
            <filter val="Integrar el patrimoni cultural als itineraris i cartelleria de l'ENP."/>
            <filter val="Integrar els productes i activitats locals de qualitat en l'oferta d'activitats d'informació i turístiques de l'ENP"/>
            <filter val="Mantenir una base de dades de seguiment de patrimoni natural de l'ENP actualitzada i ordenada"/>
            <filter val="Millorar i mantenir el material,  infraestructures i equipaments de gestió de l'espai"/>
            <filter val="Millorar la coordinació amb els cossos de seguretat per efectuar accions de control i vigilància"/>
            <filter val="Millorar l'accessibilitat i la gestió documental i digital de l'ENP"/>
            <filter val="Minimitzar la brutícia, deixalles, vandalisme i males praxis dins l'ENP"/>
            <filter val="Optimitzar els canals de comunicació"/>
            <filter val="Optimitzar l'elaboració d'informes"/>
            <filter val="Ordenar els enregistraments i l'observació de fauna i natura en base al model de Pla de protecció"/>
            <filter val="Ordenar la circulació rodada no motoritzada en base al model de Pla de protecció"/>
            <filter val="Ordenar la presència d'animals de companyia"/>
            <filter val="Ordenar la xarxa viària principal, secundària i restringida"/>
            <filter val="Ordenar l'acampada i pernoctació  en base al model de Pla de protecció"/>
            <filter val="Ordenar l'accés i la circulació"/>
            <filter val="Ordenar l'enlairament i aterratge sense motor"/>
            <filter val="Ordenar les activitats científiques en base al model de Pla de protecció"/>
            <filter val="Ordenar les curses i altres activitats esportives organitzades en base al model de Pla de protecció"/>
            <filter val="Ordenar l'escalada i alpinisme, barranquisme, i espeleologia  en base al model de Pla de protecció"/>
            <filter val="Ordenar l'ús de drons, l'enlairament i l'aterratge"/>
            <filter val="Participar en la definició del sistema estàndard de seguiment de flora, fauna i hàbitats de la DG"/>
            <filter val="Participar en la definició del sistema estándard de seguiment de l'ús públic amb el SENP"/>
            <filter val="Participar en la definició, organització i bolcatge del SINATCAT"/>
            <filter val="Participar en la redacció i execució dels instruments d'ordenació forestal sostenible i per la conservació en finques públiques"/>
            <filter val="Participar en l'elaboració de la cartografia que elabora la UIC"/>
            <filter val="Planificar i gestionar els ajuts"/>
            <filter val="Planificar, detectar les necessitats de contractació de l'ENP per a l'optimització dels contractes a nivell de Xarxa i gestionar els contractes"/>
            <filter val="Posar a disposició de la recerca, equipaments i serveis de l'ENP"/>
            <filter val="Potenciació de la fase 2 de la CETS"/>
            <filter val="Promoció i acompanyament en l'ordenació de l'ús públic de l'ENP des de l'àmbit municipal"/>
            <filter val="Promoure els agents del territori que potencien i difonen els productes alimentaris locals i de qualitat (allotjaments, restaurants, cellers, establiments, elaboradors i productors) que afavoreixin la conservació"/>
            <filter val="Promoure la recuperació i conservació de marges i punts d'aigua associats a la ramaderia i l'agricultura i d'interès per la biodiversitat"/>
            <filter val="Realitzar l'inventari de senyalètica de l'ENP"/>
            <filter val="Recuperar i conservar el patrimoni cultural rural vinculat específicament a construccions de pedra en sec"/>
            <filter val="Renovació de la CETS 2026 i canvi d'àmbit d'influència"/>
            <filter val="Restaurar la dinàmica natural dels rius"/>
            <filter val="Revisar l’estat dels béns patrimonials i la situació administrativa-legal dels equipaments del parc"/>
            <filter val="Sensibilitzar als diferents agents sobre els valors de l'ENP"/>
            <filter val="Tenir cobertes les pèrdues o danys materials del patrimoni de la Direcció General que hi ha a l'àmbit territorial del Parc, com a conseqüència de la materialització de qualsevol dels riscs emparats en el plec de prescripcions tècniques de la pòlissa"/>
            <filter val="Treballar amb l'autoritat competent per garantir objectius de conservació d’espècies i hàbitats en la revisió dels Plans de Gestió Cinegètica"/>
            <filter val="Treballar conjuntament amb els principals canals d’informació de rutes  per prioritzar itineraris oficials dins l’ENP"/>
            <filter val="Treballar per a la prevenció d'incendis juntament amb els propietaris, ajuntaments, protecció civil, ADF i bombers."/>
            <filter val="Vetllar pel manteniment del cabal ecològic dels rius definit al Pla sectorial corresponent"/>
          </mc:Fallback>
        </mc:AlternateContent>
      </filters>
    </filterColumn>
    <filterColumn colId="12">
      <filters>
        <filter val="ALTA"/>
        <filter val="BAIXA"/>
        <filter val="MÀXIMA"/>
        <filter val="MITJANA"/>
      </filters>
    </filterColumn>
  </autoFilter>
  <dataConsolidate/>
  <mergeCells count="115">
    <mergeCell ref="R3:S3"/>
    <mergeCell ref="U3:V3"/>
    <mergeCell ref="W3:AP3"/>
    <mergeCell ref="D5:D6"/>
    <mergeCell ref="E5:E6"/>
    <mergeCell ref="D7:D10"/>
    <mergeCell ref="E7:E10"/>
    <mergeCell ref="B28:B38"/>
    <mergeCell ref="C28:C38"/>
    <mergeCell ref="D28:D30"/>
    <mergeCell ref="E28:E30"/>
    <mergeCell ref="D32:D35"/>
    <mergeCell ref="E32:E35"/>
    <mergeCell ref="D37:D38"/>
    <mergeCell ref="E37:E38"/>
    <mergeCell ref="D11:D16"/>
    <mergeCell ref="E11:E16"/>
    <mergeCell ref="D18:D20"/>
    <mergeCell ref="E18:E20"/>
    <mergeCell ref="B21:B27"/>
    <mergeCell ref="C21:C27"/>
    <mergeCell ref="D21:D24"/>
    <mergeCell ref="E21:E24"/>
    <mergeCell ref="D25:D27"/>
    <mergeCell ref="E25:E27"/>
    <mergeCell ref="D51:D53"/>
    <mergeCell ref="E51:E53"/>
    <mergeCell ref="B54:B59"/>
    <mergeCell ref="C54:C59"/>
    <mergeCell ref="D55:D57"/>
    <mergeCell ref="E55:E57"/>
    <mergeCell ref="D58:D59"/>
    <mergeCell ref="E58:E59"/>
    <mergeCell ref="D39:D41"/>
    <mergeCell ref="E39:E41"/>
    <mergeCell ref="D42:D45"/>
    <mergeCell ref="E42:E45"/>
    <mergeCell ref="D47:D50"/>
    <mergeCell ref="E47:E50"/>
    <mergeCell ref="D73:D78"/>
    <mergeCell ref="E73:E78"/>
    <mergeCell ref="D79:D84"/>
    <mergeCell ref="E79:E84"/>
    <mergeCell ref="B86:B98"/>
    <mergeCell ref="C86:C98"/>
    <mergeCell ref="D86:D88"/>
    <mergeCell ref="E86:E88"/>
    <mergeCell ref="D60:D61"/>
    <mergeCell ref="E60:E61"/>
    <mergeCell ref="D62:D68"/>
    <mergeCell ref="E62:E68"/>
    <mergeCell ref="D69:D72"/>
    <mergeCell ref="E69:E72"/>
    <mergeCell ref="D102:D103"/>
    <mergeCell ref="E102:E103"/>
    <mergeCell ref="C106:C108"/>
    <mergeCell ref="D106:D117"/>
    <mergeCell ref="E106:E117"/>
    <mergeCell ref="D118:D119"/>
    <mergeCell ref="E118:E119"/>
    <mergeCell ref="A89:A98"/>
    <mergeCell ref="D90:D95"/>
    <mergeCell ref="E90:E95"/>
    <mergeCell ref="D96:D98"/>
    <mergeCell ref="E96:E98"/>
    <mergeCell ref="D99:D100"/>
    <mergeCell ref="E99:E100"/>
    <mergeCell ref="D129:D130"/>
    <mergeCell ref="E129:E130"/>
    <mergeCell ref="D131:D134"/>
    <mergeCell ref="E131:E134"/>
    <mergeCell ref="D135:D137"/>
    <mergeCell ref="E135:E137"/>
    <mergeCell ref="D120:D124"/>
    <mergeCell ref="E120:E124"/>
    <mergeCell ref="D125:D126"/>
    <mergeCell ref="E125:E126"/>
    <mergeCell ref="D127:D128"/>
    <mergeCell ref="E127:E128"/>
    <mergeCell ref="D151:D154"/>
    <mergeCell ref="E151:E154"/>
    <mergeCell ref="D155:D159"/>
    <mergeCell ref="E155:E159"/>
    <mergeCell ref="D160:D161"/>
    <mergeCell ref="E160:E161"/>
    <mergeCell ref="D138:D139"/>
    <mergeCell ref="E138:E139"/>
    <mergeCell ref="B140:B169"/>
    <mergeCell ref="C140:C169"/>
    <mergeCell ref="D140:D142"/>
    <mergeCell ref="E140:E142"/>
    <mergeCell ref="D143:D146"/>
    <mergeCell ref="E143:E146"/>
    <mergeCell ref="D148:D150"/>
    <mergeCell ref="E148:E150"/>
    <mergeCell ref="D163:D165"/>
    <mergeCell ref="E163:E165"/>
    <mergeCell ref="D166:D169"/>
    <mergeCell ref="E166:E169"/>
    <mergeCell ref="B170:B174"/>
    <mergeCell ref="C170:C174"/>
    <mergeCell ref="D170:D171"/>
    <mergeCell ref="E170:E171"/>
    <mergeCell ref="D173:D174"/>
    <mergeCell ref="E173:E174"/>
    <mergeCell ref="D188:D189"/>
    <mergeCell ref="E188:E189"/>
    <mergeCell ref="D191:D192"/>
    <mergeCell ref="E191:E192"/>
    <mergeCell ref="B175:B178"/>
    <mergeCell ref="C175:C178"/>
    <mergeCell ref="D175:D178"/>
    <mergeCell ref="E175:E178"/>
    <mergeCell ref="D180:D182"/>
    <mergeCell ref="E180:E182"/>
  </mergeCells>
  <conditionalFormatting sqref="H162:I162">
    <cfRule type="duplicateValues" dxfId="2" priority="2"/>
  </conditionalFormatting>
  <conditionalFormatting sqref="K161:K162">
    <cfRule type="duplicateValues" dxfId="1" priority="1"/>
  </conditionalFormatting>
  <pageMargins left="0.7" right="0.7" top="0.75" bottom="0.75" header="0.3" footer="0.3"/>
  <pageSetup paperSize="8" scale="24" fitToHeight="0" orientation="landscape"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'X:\04476\PN_SERRA DE MONTSANT\UO4500\100 DIRECCIO\104 Planificació\PLA ESTRATEGIC 2024\Pla Estratègic Montsant\DEFINITIU\[Llistat_tasques_210224.xlsx]Full1'!#REF!</xm:f>
          </x14:formula1>
          <xm:sqref>L5:L193</xm:sqref>
        </x14:dataValidation>
        <x14:dataValidation type="list" allowBlank="1" showInputMessage="1" showErrorMessage="1">
          <x14:formula1>
            <xm:f>'X:\04476\PN_SERRA DE MONTSANT\UO4500\100 DIRECCIO\104 Planificació\PLA ESTRATEGIC 2024\Pla Estratègic Montsant\DEFINITIU\[Llistat_tasques_210224.xlsx]Full1'!#REF!</xm:f>
          </x14:formula1>
          <xm:sqref>M5:M193</xm:sqref>
        </x14:dataValidation>
        <x14:dataValidation type="list" allowBlank="1" showInputMessage="1" showErrorMessage="1">
          <x14:formula1>
            <xm:f>'X:\04476\PN_SERRA DE MONTSANT\UO4500\100 DIRECCIO\104 Planificació\PLA ESTRATEGIC 2024\Pla Estratègic Montsant\DEFINITIU\[Llistat_tasques_210224.xlsx]Full1'!#REF!</xm:f>
          </x14:formula1>
          <xm:sqref>I5:I193</xm:sqref>
        </x14:dataValidation>
        <x14:dataValidation type="list" allowBlank="1" showInputMessage="1" showErrorMessage="1">
          <x14:formula1>
            <xm:f>'X:\04476\PN_SERRA DE MONTSANT\UO4500\100 DIRECCIO\104 Planificació\PLA ESTRATEGIC 2024\Pla Estratègic Montsant\DEFINITIU\[Llistat_tasques_210224.xlsx]Full1'!#REF!</xm:f>
          </x14:formula1>
          <xm:sqref>H5:H193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86"/>
  <sheetViews>
    <sheetView showGridLines="0" zoomScaleNormal="100" workbookViewId="0">
      <pane ySplit="4" topLeftCell="A5" activePane="bottomLeft" state="frozen"/>
      <selection pane="bottomLeft" activeCell="E10" sqref="E10"/>
    </sheetView>
  </sheetViews>
  <sheetFormatPr defaultColWidth="8.7265625" defaultRowHeight="14.5"/>
  <cols>
    <col min="1" max="1" width="22.81640625" style="95" customWidth="1"/>
    <col min="2" max="2" width="4" style="16" customWidth="1"/>
    <col min="3" max="3" width="34.1796875" style="18" customWidth="1"/>
    <col min="4" max="4" width="7.26953125" style="14" customWidth="1"/>
    <col min="5" max="5" width="50" style="5" customWidth="1"/>
    <col min="6" max="6" width="7.81640625" style="7" customWidth="1"/>
    <col min="7" max="7" width="54.81640625" style="6" customWidth="1"/>
    <col min="8" max="8" width="15.453125" style="15" customWidth="1"/>
    <col min="9" max="9" width="18.1796875" style="15" customWidth="1"/>
    <col min="10" max="10" width="48.7265625" style="6" customWidth="1"/>
    <col min="11" max="11" width="30.7265625" style="15" hidden="1" customWidth="1"/>
    <col min="12" max="12" width="28.1796875" style="16" hidden="1" customWidth="1"/>
    <col min="13" max="13" width="10.54296875" style="17" customWidth="1"/>
    <col min="14" max="14" width="56" style="18" customWidth="1"/>
    <col min="15" max="15" width="24.7265625" style="17" hidden="1" customWidth="1"/>
    <col min="16" max="16" width="47.54296875" style="19" hidden="1" customWidth="1"/>
    <col min="17" max="16384" width="8.7265625" style="3"/>
  </cols>
  <sheetData>
    <row r="1" spans="1:16" ht="18.5">
      <c r="A1" s="152" t="s">
        <v>82</v>
      </c>
      <c r="B1" s="153"/>
      <c r="C1" s="154"/>
      <c r="D1" s="155"/>
      <c r="E1" s="156"/>
    </row>
    <row r="2" spans="1:16" ht="18.5">
      <c r="A2" s="20"/>
      <c r="B2" s="21" t="s">
        <v>83</v>
      </c>
      <c r="C2" s="22"/>
      <c r="J2" s="96" t="s">
        <v>84</v>
      </c>
      <c r="K2" s="97"/>
      <c r="L2" s="98"/>
      <c r="M2" s="99"/>
      <c r="N2" s="100"/>
    </row>
    <row r="3" spans="1:16" ht="18.5">
      <c r="A3" s="20"/>
      <c r="B3" s="21"/>
      <c r="C3" s="23"/>
      <c r="J3" s="101"/>
      <c r="K3" s="97"/>
      <c r="L3" s="98"/>
      <c r="M3" s="99"/>
      <c r="N3" s="100"/>
    </row>
    <row r="4" spans="1:16" s="33" customFormat="1" ht="43.5">
      <c r="A4" s="24" t="s">
        <v>85</v>
      </c>
      <c r="B4" s="25"/>
      <c r="C4" s="26" t="s">
        <v>86</v>
      </c>
      <c r="D4" s="27"/>
      <c r="E4" s="26" t="s">
        <v>87</v>
      </c>
      <c r="F4" s="28"/>
      <c r="G4" s="28" t="s">
        <v>88</v>
      </c>
      <c r="H4" s="28" t="s">
        <v>89</v>
      </c>
      <c r="I4" s="29" t="s">
        <v>90</v>
      </c>
      <c r="J4" s="13" t="s">
        <v>91</v>
      </c>
      <c r="K4" s="12" t="s">
        <v>92</v>
      </c>
      <c r="L4" s="12" t="s">
        <v>93</v>
      </c>
      <c r="M4" s="30" t="s">
        <v>94</v>
      </c>
      <c r="N4" s="12" t="s">
        <v>95</v>
      </c>
      <c r="O4" s="31" t="s">
        <v>96</v>
      </c>
      <c r="P4" s="32" t="s">
        <v>97</v>
      </c>
    </row>
    <row r="5" spans="1:16" ht="72.5">
      <c r="A5" s="34" t="s">
        <v>98</v>
      </c>
      <c r="B5" s="35">
        <v>1</v>
      </c>
      <c r="C5" s="36" t="s">
        <v>99</v>
      </c>
      <c r="D5" s="102" t="s">
        <v>100</v>
      </c>
      <c r="E5" s="50" t="s">
        <v>101</v>
      </c>
      <c r="F5" s="37" t="s">
        <v>102</v>
      </c>
      <c r="G5" s="38" t="s">
        <v>103</v>
      </c>
      <c r="H5" s="39" t="s">
        <v>104</v>
      </c>
      <c r="I5" s="39" t="s">
        <v>105</v>
      </c>
      <c r="J5" s="40"/>
      <c r="K5" s="41"/>
      <c r="L5" s="42"/>
      <c r="M5" s="43"/>
      <c r="N5" s="42"/>
      <c r="O5" s="44" t="s">
        <v>106</v>
      </c>
      <c r="P5" s="45" t="s">
        <v>107</v>
      </c>
    </row>
    <row r="6" spans="1:16" ht="58">
      <c r="A6" s="34" t="s">
        <v>98</v>
      </c>
      <c r="B6" s="35">
        <v>1</v>
      </c>
      <c r="C6" s="36" t="s">
        <v>99</v>
      </c>
      <c r="D6" s="102" t="s">
        <v>100</v>
      </c>
      <c r="E6" s="50" t="s">
        <v>101</v>
      </c>
      <c r="F6" s="37" t="s">
        <v>108</v>
      </c>
      <c r="G6" s="38" t="s">
        <v>109</v>
      </c>
      <c r="H6" s="39" t="s">
        <v>104</v>
      </c>
      <c r="I6" s="39" t="s">
        <v>105</v>
      </c>
      <c r="J6" s="40"/>
      <c r="K6" s="41"/>
      <c r="L6" s="46"/>
      <c r="M6" s="43"/>
      <c r="N6" s="42"/>
      <c r="O6" s="44"/>
      <c r="P6" s="47"/>
    </row>
    <row r="7" spans="1:16" ht="58">
      <c r="A7" s="34" t="s">
        <v>98</v>
      </c>
      <c r="B7" s="35">
        <v>1</v>
      </c>
      <c r="C7" s="36" t="s">
        <v>99</v>
      </c>
      <c r="D7" s="103" t="s">
        <v>110</v>
      </c>
      <c r="E7" s="104" t="s">
        <v>111</v>
      </c>
      <c r="F7" s="39" t="s">
        <v>112</v>
      </c>
      <c r="G7" s="38" t="s">
        <v>113</v>
      </c>
      <c r="H7" s="39" t="s">
        <v>104</v>
      </c>
      <c r="I7" s="39" t="s">
        <v>114</v>
      </c>
      <c r="J7" s="40"/>
      <c r="K7" s="41"/>
      <c r="L7" s="46"/>
      <c r="M7" s="43"/>
      <c r="N7" s="42"/>
      <c r="O7" s="44" t="s">
        <v>115</v>
      </c>
      <c r="P7" s="45" t="s">
        <v>116</v>
      </c>
    </row>
    <row r="8" spans="1:16" ht="58">
      <c r="A8" s="34" t="s">
        <v>98</v>
      </c>
      <c r="B8" s="35">
        <v>1</v>
      </c>
      <c r="C8" s="36" t="s">
        <v>99</v>
      </c>
      <c r="D8" s="103" t="s">
        <v>110</v>
      </c>
      <c r="E8" s="104" t="s">
        <v>111</v>
      </c>
      <c r="F8" s="39" t="s">
        <v>117</v>
      </c>
      <c r="G8" s="38" t="s">
        <v>118</v>
      </c>
      <c r="H8" s="39" t="s">
        <v>104</v>
      </c>
      <c r="I8" s="39" t="s">
        <v>105</v>
      </c>
      <c r="J8" s="40"/>
      <c r="K8" s="41"/>
      <c r="L8" s="42"/>
      <c r="M8" s="43"/>
      <c r="N8" s="42"/>
      <c r="O8" s="48" t="s">
        <v>119</v>
      </c>
      <c r="P8" s="45" t="s">
        <v>120</v>
      </c>
    </row>
    <row r="9" spans="1:16" ht="58">
      <c r="A9" s="34" t="s">
        <v>98</v>
      </c>
      <c r="B9" s="35">
        <v>1</v>
      </c>
      <c r="C9" s="36" t="s">
        <v>99</v>
      </c>
      <c r="D9" s="103" t="s">
        <v>110</v>
      </c>
      <c r="E9" s="104" t="s">
        <v>111</v>
      </c>
      <c r="F9" s="39" t="s">
        <v>37</v>
      </c>
      <c r="G9" s="38" t="s">
        <v>121</v>
      </c>
      <c r="H9" s="39" t="s">
        <v>104</v>
      </c>
      <c r="I9" s="39" t="s">
        <v>105</v>
      </c>
      <c r="J9" s="40"/>
      <c r="K9" s="41"/>
      <c r="L9" s="42"/>
      <c r="M9" s="43"/>
      <c r="N9" s="42"/>
      <c r="O9" s="48" t="s">
        <v>122</v>
      </c>
      <c r="P9" s="45" t="s">
        <v>123</v>
      </c>
    </row>
    <row r="10" spans="1:16" ht="58">
      <c r="A10" s="34" t="s">
        <v>98</v>
      </c>
      <c r="B10" s="35">
        <v>1</v>
      </c>
      <c r="C10" s="36" t="s">
        <v>99</v>
      </c>
      <c r="D10" s="103" t="s">
        <v>110</v>
      </c>
      <c r="E10" s="104" t="s">
        <v>111</v>
      </c>
      <c r="F10" s="39" t="s">
        <v>124</v>
      </c>
      <c r="G10" s="38" t="s">
        <v>125</v>
      </c>
      <c r="H10" s="39" t="s">
        <v>126</v>
      </c>
      <c r="I10" s="39" t="s">
        <v>127</v>
      </c>
      <c r="J10" s="40"/>
      <c r="K10" s="41"/>
      <c r="L10" s="42"/>
      <c r="M10" s="43"/>
      <c r="N10" s="42"/>
      <c r="O10" s="48"/>
      <c r="P10" s="45"/>
    </row>
    <row r="11" spans="1:16" ht="28.9" customHeight="1">
      <c r="A11" s="34" t="s">
        <v>98</v>
      </c>
      <c r="B11" s="35">
        <v>1</v>
      </c>
      <c r="C11" s="36" t="s">
        <v>99</v>
      </c>
      <c r="D11" s="102" t="s">
        <v>128</v>
      </c>
      <c r="E11" s="50" t="s">
        <v>129</v>
      </c>
      <c r="F11" s="37" t="s">
        <v>130</v>
      </c>
      <c r="G11" s="38" t="s">
        <v>131</v>
      </c>
      <c r="H11" s="39" t="s">
        <v>104</v>
      </c>
      <c r="I11" s="39" t="s">
        <v>105</v>
      </c>
      <c r="J11" s="40"/>
      <c r="K11" s="41"/>
      <c r="L11" s="42"/>
      <c r="M11" s="43"/>
      <c r="N11" s="42"/>
      <c r="O11" s="44" t="s">
        <v>115</v>
      </c>
      <c r="P11" s="45" t="s">
        <v>132</v>
      </c>
    </row>
    <row r="12" spans="1:16" ht="58">
      <c r="A12" s="34" t="s">
        <v>98</v>
      </c>
      <c r="B12" s="35">
        <v>1</v>
      </c>
      <c r="C12" s="36" t="s">
        <v>99</v>
      </c>
      <c r="D12" s="102" t="s">
        <v>128</v>
      </c>
      <c r="E12" s="50" t="s">
        <v>129</v>
      </c>
      <c r="F12" s="37" t="s">
        <v>133</v>
      </c>
      <c r="G12" s="38" t="s">
        <v>134</v>
      </c>
      <c r="H12" s="39" t="s">
        <v>126</v>
      </c>
      <c r="I12" s="39" t="s">
        <v>127</v>
      </c>
      <c r="J12" s="40"/>
      <c r="K12" s="41"/>
      <c r="L12" s="42"/>
      <c r="M12" s="43"/>
      <c r="N12" s="42"/>
      <c r="O12" s="44" t="s">
        <v>106</v>
      </c>
      <c r="P12" s="45" t="s">
        <v>132</v>
      </c>
    </row>
    <row r="13" spans="1:16" ht="58">
      <c r="A13" s="34" t="s">
        <v>98</v>
      </c>
      <c r="B13" s="35">
        <v>1</v>
      </c>
      <c r="C13" s="36" t="s">
        <v>99</v>
      </c>
      <c r="D13" s="102" t="s">
        <v>128</v>
      </c>
      <c r="E13" s="50" t="s">
        <v>129</v>
      </c>
      <c r="F13" s="37" t="s">
        <v>135</v>
      </c>
      <c r="G13" s="38" t="s">
        <v>136</v>
      </c>
      <c r="H13" s="39" t="s">
        <v>126</v>
      </c>
      <c r="I13" s="39" t="s">
        <v>127</v>
      </c>
      <c r="J13" s="40"/>
      <c r="K13" s="41"/>
      <c r="L13" s="42"/>
      <c r="M13" s="43"/>
      <c r="N13" s="42"/>
      <c r="O13" s="44" t="s">
        <v>106</v>
      </c>
      <c r="P13" s="45" t="s">
        <v>132</v>
      </c>
    </row>
    <row r="14" spans="1:16" ht="58">
      <c r="A14" s="34" t="s">
        <v>98</v>
      </c>
      <c r="B14" s="35">
        <v>1</v>
      </c>
      <c r="C14" s="36" t="s">
        <v>99</v>
      </c>
      <c r="D14" s="102" t="s">
        <v>128</v>
      </c>
      <c r="E14" s="50" t="s">
        <v>129</v>
      </c>
      <c r="F14" s="37" t="s">
        <v>137</v>
      </c>
      <c r="G14" s="38" t="s">
        <v>138</v>
      </c>
      <c r="H14" s="39" t="s">
        <v>126</v>
      </c>
      <c r="I14" s="39" t="s">
        <v>127</v>
      </c>
      <c r="J14" s="40"/>
      <c r="K14" s="41"/>
      <c r="L14" s="42"/>
      <c r="M14" s="43"/>
      <c r="N14" s="42"/>
      <c r="O14" s="44" t="s">
        <v>106</v>
      </c>
      <c r="P14" s="45" t="s">
        <v>132</v>
      </c>
    </row>
    <row r="15" spans="1:16" ht="58">
      <c r="A15" s="34" t="s">
        <v>98</v>
      </c>
      <c r="B15" s="35">
        <v>1</v>
      </c>
      <c r="C15" s="36" t="s">
        <v>99</v>
      </c>
      <c r="D15" s="102" t="s">
        <v>128</v>
      </c>
      <c r="E15" s="50" t="s">
        <v>129</v>
      </c>
      <c r="F15" s="37" t="s">
        <v>139</v>
      </c>
      <c r="G15" s="38" t="s">
        <v>140</v>
      </c>
      <c r="H15" s="39" t="s">
        <v>126</v>
      </c>
      <c r="I15" s="39" t="s">
        <v>127</v>
      </c>
      <c r="J15" s="40"/>
      <c r="K15" s="41"/>
      <c r="L15" s="42"/>
      <c r="M15" s="43"/>
      <c r="N15" s="42"/>
      <c r="O15" s="44" t="s">
        <v>115</v>
      </c>
      <c r="P15" s="45" t="s">
        <v>132</v>
      </c>
    </row>
    <row r="16" spans="1:16" ht="58">
      <c r="A16" s="34" t="s">
        <v>98</v>
      </c>
      <c r="B16" s="35">
        <v>1</v>
      </c>
      <c r="C16" s="36" t="s">
        <v>99</v>
      </c>
      <c r="D16" s="102" t="s">
        <v>128</v>
      </c>
      <c r="E16" s="50" t="s">
        <v>129</v>
      </c>
      <c r="F16" s="37" t="s">
        <v>141</v>
      </c>
      <c r="G16" s="38" t="s">
        <v>142</v>
      </c>
      <c r="H16" s="39" t="s">
        <v>126</v>
      </c>
      <c r="I16" s="39" t="s">
        <v>127</v>
      </c>
      <c r="J16" s="40"/>
      <c r="K16" s="41"/>
      <c r="L16" s="42"/>
      <c r="M16" s="43"/>
      <c r="N16" s="42"/>
      <c r="O16" s="44"/>
      <c r="P16" s="45" t="s">
        <v>132</v>
      </c>
    </row>
    <row r="17" spans="1:16" ht="58">
      <c r="A17" s="34" t="s">
        <v>98</v>
      </c>
      <c r="B17" s="35">
        <v>1</v>
      </c>
      <c r="C17" s="36" t="s">
        <v>99</v>
      </c>
      <c r="D17" s="102" t="s">
        <v>143</v>
      </c>
      <c r="E17" s="50" t="s">
        <v>144</v>
      </c>
      <c r="F17" s="37" t="s">
        <v>145</v>
      </c>
      <c r="G17" s="38" t="s">
        <v>146</v>
      </c>
      <c r="H17" s="39" t="s">
        <v>104</v>
      </c>
      <c r="I17" s="39" t="s">
        <v>127</v>
      </c>
      <c r="J17" s="40"/>
      <c r="K17" s="41"/>
      <c r="L17" s="42"/>
      <c r="M17" s="43"/>
      <c r="N17" s="42"/>
      <c r="O17" s="44" t="s">
        <v>106</v>
      </c>
      <c r="P17" s="45" t="s">
        <v>147</v>
      </c>
    </row>
    <row r="18" spans="1:16" ht="58">
      <c r="A18" s="34" t="s">
        <v>98</v>
      </c>
      <c r="B18" s="35">
        <v>1</v>
      </c>
      <c r="C18" s="36" t="s">
        <v>99</v>
      </c>
      <c r="D18" s="102" t="s">
        <v>143</v>
      </c>
      <c r="E18" s="50" t="s">
        <v>144</v>
      </c>
      <c r="F18" s="37" t="s">
        <v>148</v>
      </c>
      <c r="G18" s="38" t="s">
        <v>149</v>
      </c>
      <c r="H18" s="39" t="s">
        <v>104</v>
      </c>
      <c r="I18" s="39" t="s">
        <v>127</v>
      </c>
      <c r="J18" s="40"/>
      <c r="K18" s="41"/>
      <c r="L18" s="42"/>
      <c r="M18" s="43"/>
      <c r="N18" s="42"/>
      <c r="O18" s="44"/>
      <c r="P18" s="45"/>
    </row>
    <row r="19" spans="1:16" ht="58">
      <c r="A19" s="34" t="s">
        <v>98</v>
      </c>
      <c r="B19" s="35">
        <v>1</v>
      </c>
      <c r="C19" s="36" t="s">
        <v>99</v>
      </c>
      <c r="D19" s="102" t="s">
        <v>143</v>
      </c>
      <c r="E19" s="50" t="s">
        <v>144</v>
      </c>
      <c r="F19" s="37" t="s">
        <v>150</v>
      </c>
      <c r="G19" s="38" t="s">
        <v>151</v>
      </c>
      <c r="H19" s="39" t="s">
        <v>126</v>
      </c>
      <c r="I19" s="39" t="s">
        <v>127</v>
      </c>
      <c r="J19" s="40"/>
      <c r="K19" s="41"/>
      <c r="L19" s="42"/>
      <c r="M19" s="43"/>
      <c r="N19" s="42"/>
      <c r="O19" s="44" t="s">
        <v>115</v>
      </c>
      <c r="P19" s="45"/>
    </row>
    <row r="20" spans="1:16" ht="28.9" customHeight="1">
      <c r="A20" s="34" t="s">
        <v>98</v>
      </c>
      <c r="B20" s="134">
        <v>2</v>
      </c>
      <c r="C20" s="133" t="s">
        <v>152</v>
      </c>
      <c r="D20" s="103" t="s">
        <v>153</v>
      </c>
      <c r="E20" s="104" t="s">
        <v>154</v>
      </c>
      <c r="F20" s="37" t="s">
        <v>155</v>
      </c>
      <c r="G20" s="38" t="s">
        <v>156</v>
      </c>
      <c r="H20" s="39" t="s">
        <v>104</v>
      </c>
      <c r="I20" s="39" t="s">
        <v>105</v>
      </c>
      <c r="J20" s="40"/>
      <c r="K20" s="41"/>
      <c r="L20" s="42"/>
      <c r="M20" s="43"/>
      <c r="N20" s="42"/>
      <c r="O20" s="44"/>
      <c r="P20" s="45" t="s">
        <v>157</v>
      </c>
    </row>
    <row r="21" spans="1:16" ht="43.5">
      <c r="A21" s="34" t="s">
        <v>98</v>
      </c>
      <c r="B21" s="134">
        <v>2</v>
      </c>
      <c r="C21" s="133" t="s">
        <v>152</v>
      </c>
      <c r="D21" s="103" t="s">
        <v>153</v>
      </c>
      <c r="E21" s="104" t="s">
        <v>154</v>
      </c>
      <c r="F21" s="37" t="s">
        <v>158</v>
      </c>
      <c r="G21" s="38" t="s">
        <v>159</v>
      </c>
      <c r="H21" s="39" t="s">
        <v>104</v>
      </c>
      <c r="I21" s="39" t="s">
        <v>114</v>
      </c>
      <c r="J21" s="40"/>
      <c r="K21" s="41"/>
      <c r="L21" s="42"/>
      <c r="M21" s="43"/>
      <c r="N21" s="42"/>
      <c r="O21" s="44"/>
      <c r="P21" s="45"/>
    </row>
    <row r="22" spans="1:16" ht="43.5">
      <c r="A22" s="34" t="s">
        <v>98</v>
      </c>
      <c r="B22" s="134">
        <v>2</v>
      </c>
      <c r="C22" s="133" t="s">
        <v>152</v>
      </c>
      <c r="D22" s="103" t="s">
        <v>153</v>
      </c>
      <c r="E22" s="104" t="s">
        <v>154</v>
      </c>
      <c r="F22" s="37" t="s">
        <v>160</v>
      </c>
      <c r="G22" s="38" t="s">
        <v>161</v>
      </c>
      <c r="H22" s="39" t="s">
        <v>126</v>
      </c>
      <c r="I22" s="39" t="s">
        <v>127</v>
      </c>
      <c r="J22" s="40"/>
      <c r="K22" s="41"/>
      <c r="L22" s="42"/>
      <c r="M22" s="43"/>
      <c r="N22" s="42"/>
      <c r="O22" s="44"/>
      <c r="P22" s="45" t="s">
        <v>162</v>
      </c>
    </row>
    <row r="23" spans="1:16" ht="43.5">
      <c r="A23" s="34" t="s">
        <v>98</v>
      </c>
      <c r="B23" s="134">
        <v>2</v>
      </c>
      <c r="C23" s="133" t="s">
        <v>152</v>
      </c>
      <c r="D23" s="103" t="s">
        <v>153</v>
      </c>
      <c r="E23" s="104" t="s">
        <v>154</v>
      </c>
      <c r="F23" s="37" t="s">
        <v>163</v>
      </c>
      <c r="G23" s="38" t="s">
        <v>164</v>
      </c>
      <c r="H23" s="39" t="s">
        <v>126</v>
      </c>
      <c r="I23" s="39" t="s">
        <v>165</v>
      </c>
      <c r="J23" s="40"/>
      <c r="K23" s="41"/>
      <c r="L23" s="42"/>
      <c r="M23" s="43"/>
      <c r="N23" s="42"/>
      <c r="O23" s="44"/>
      <c r="P23" s="45"/>
    </row>
    <row r="24" spans="1:16" ht="14.65" customHeight="1">
      <c r="A24" s="34" t="s">
        <v>98</v>
      </c>
      <c r="B24" s="134">
        <v>2</v>
      </c>
      <c r="C24" s="133" t="s">
        <v>152</v>
      </c>
      <c r="D24" s="102" t="s">
        <v>166</v>
      </c>
      <c r="E24" s="50" t="s">
        <v>167</v>
      </c>
      <c r="F24" s="37" t="s">
        <v>168</v>
      </c>
      <c r="G24" s="38" t="s">
        <v>169</v>
      </c>
      <c r="H24" s="39" t="s">
        <v>104</v>
      </c>
      <c r="I24" s="39" t="s">
        <v>105</v>
      </c>
      <c r="J24" s="40"/>
      <c r="K24" s="41"/>
      <c r="L24" s="42"/>
      <c r="M24" s="43"/>
      <c r="N24" s="42"/>
      <c r="O24" s="44" t="s">
        <v>115</v>
      </c>
      <c r="P24" s="45" t="s">
        <v>170</v>
      </c>
    </row>
    <row r="25" spans="1:16" ht="43.5">
      <c r="A25" s="34" t="s">
        <v>98</v>
      </c>
      <c r="B25" s="134">
        <v>2</v>
      </c>
      <c r="C25" s="133" t="s">
        <v>152</v>
      </c>
      <c r="D25" s="102" t="s">
        <v>166</v>
      </c>
      <c r="E25" s="50" t="s">
        <v>167</v>
      </c>
      <c r="F25" s="37" t="s">
        <v>171</v>
      </c>
      <c r="G25" s="38" t="s">
        <v>172</v>
      </c>
      <c r="H25" s="39" t="s">
        <v>126</v>
      </c>
      <c r="I25" s="39" t="s">
        <v>127</v>
      </c>
      <c r="J25" s="40"/>
      <c r="K25" s="41"/>
      <c r="L25" s="42"/>
      <c r="M25" s="43"/>
      <c r="N25" s="42"/>
      <c r="O25" s="44"/>
      <c r="P25" s="45" t="s">
        <v>173</v>
      </c>
    </row>
    <row r="26" spans="1:16" ht="43.5">
      <c r="A26" s="34" t="s">
        <v>98</v>
      </c>
      <c r="B26" s="134">
        <v>2</v>
      </c>
      <c r="C26" s="133" t="s">
        <v>152</v>
      </c>
      <c r="D26" s="102" t="s">
        <v>166</v>
      </c>
      <c r="E26" s="50" t="s">
        <v>167</v>
      </c>
      <c r="F26" s="37" t="s">
        <v>174</v>
      </c>
      <c r="G26" s="38" t="s">
        <v>175</v>
      </c>
      <c r="H26" s="39" t="s">
        <v>104</v>
      </c>
      <c r="I26" s="39" t="s">
        <v>105</v>
      </c>
      <c r="J26" s="40"/>
      <c r="K26" s="41"/>
      <c r="L26" s="42"/>
      <c r="M26" s="43"/>
      <c r="N26" s="42"/>
      <c r="O26" s="44"/>
      <c r="P26" s="45"/>
    </row>
    <row r="27" spans="1:16" ht="28.9" customHeight="1">
      <c r="A27" s="34" t="s">
        <v>98</v>
      </c>
      <c r="B27" s="134">
        <v>3</v>
      </c>
      <c r="C27" s="133" t="s">
        <v>176</v>
      </c>
      <c r="D27" s="102" t="s">
        <v>177</v>
      </c>
      <c r="E27" s="50" t="s">
        <v>178</v>
      </c>
      <c r="F27" s="37" t="s">
        <v>179</v>
      </c>
      <c r="G27" s="38" t="s">
        <v>180</v>
      </c>
      <c r="H27" s="39" t="s">
        <v>104</v>
      </c>
      <c r="I27" s="39" t="s">
        <v>114</v>
      </c>
      <c r="J27" s="40"/>
      <c r="K27" s="41"/>
      <c r="L27" s="46"/>
      <c r="M27" s="43"/>
      <c r="N27" s="42"/>
      <c r="O27" s="44"/>
      <c r="P27" s="45"/>
    </row>
    <row r="28" spans="1:16" ht="58">
      <c r="A28" s="34" t="s">
        <v>98</v>
      </c>
      <c r="B28" s="134">
        <v>3</v>
      </c>
      <c r="C28" s="133" t="s">
        <v>176</v>
      </c>
      <c r="D28" s="102" t="s">
        <v>177</v>
      </c>
      <c r="E28" s="50" t="s">
        <v>178</v>
      </c>
      <c r="F28" s="37" t="s">
        <v>181</v>
      </c>
      <c r="G28" s="38" t="s">
        <v>182</v>
      </c>
      <c r="H28" s="39" t="s">
        <v>104</v>
      </c>
      <c r="I28" s="39" t="s">
        <v>114</v>
      </c>
      <c r="J28" s="40"/>
      <c r="K28" s="41"/>
      <c r="L28" s="42"/>
      <c r="M28" s="43"/>
      <c r="N28" s="42"/>
      <c r="O28" s="44"/>
      <c r="P28" s="45"/>
    </row>
    <row r="29" spans="1:16" ht="58">
      <c r="A29" s="34" t="s">
        <v>98</v>
      </c>
      <c r="B29" s="134">
        <v>3</v>
      </c>
      <c r="C29" s="133" t="s">
        <v>176</v>
      </c>
      <c r="D29" s="102" t="s">
        <v>177</v>
      </c>
      <c r="E29" s="50" t="s">
        <v>178</v>
      </c>
      <c r="F29" s="37" t="s">
        <v>183</v>
      </c>
      <c r="G29" s="38" t="s">
        <v>184</v>
      </c>
      <c r="H29" s="39" t="s">
        <v>104</v>
      </c>
      <c r="I29" s="39" t="s">
        <v>127</v>
      </c>
      <c r="J29" s="40"/>
      <c r="K29" s="41"/>
      <c r="L29" s="42"/>
      <c r="M29" s="43"/>
      <c r="N29" s="42"/>
      <c r="O29" s="44"/>
      <c r="P29" s="45"/>
    </row>
    <row r="30" spans="1:16" ht="58">
      <c r="A30" s="34" t="s">
        <v>98</v>
      </c>
      <c r="B30" s="134">
        <v>3</v>
      </c>
      <c r="C30" s="133" t="s">
        <v>176</v>
      </c>
      <c r="D30" s="49" t="s">
        <v>185</v>
      </c>
      <c r="E30" s="50" t="s">
        <v>186</v>
      </c>
      <c r="F30" s="37" t="s">
        <v>187</v>
      </c>
      <c r="G30" s="38" t="s">
        <v>188</v>
      </c>
      <c r="H30" s="39" t="s">
        <v>104</v>
      </c>
      <c r="I30" s="37" t="s">
        <v>114</v>
      </c>
      <c r="J30" s="40"/>
      <c r="K30" s="51"/>
      <c r="L30" s="42"/>
      <c r="M30" s="43"/>
      <c r="N30" s="42"/>
      <c r="O30" s="44"/>
      <c r="P30" s="45" t="s">
        <v>189</v>
      </c>
    </row>
    <row r="31" spans="1:16" ht="28.9" customHeight="1">
      <c r="A31" s="34" t="s">
        <v>98</v>
      </c>
      <c r="B31" s="134">
        <v>3</v>
      </c>
      <c r="C31" s="133" t="s">
        <v>176</v>
      </c>
      <c r="D31" s="102" t="s">
        <v>190</v>
      </c>
      <c r="E31" s="50" t="s">
        <v>191</v>
      </c>
      <c r="F31" s="37" t="s">
        <v>192</v>
      </c>
      <c r="G31" s="38" t="s">
        <v>193</v>
      </c>
      <c r="H31" s="39" t="s">
        <v>126</v>
      </c>
      <c r="I31" s="39" t="s">
        <v>165</v>
      </c>
      <c r="J31" s="40"/>
      <c r="K31" s="41"/>
      <c r="L31" s="42"/>
      <c r="M31" s="43"/>
      <c r="N31" s="42"/>
      <c r="O31" s="44" t="s">
        <v>115</v>
      </c>
      <c r="P31" s="45" t="s">
        <v>194</v>
      </c>
    </row>
    <row r="32" spans="1:16" ht="58">
      <c r="A32" s="34" t="s">
        <v>98</v>
      </c>
      <c r="B32" s="134">
        <v>3</v>
      </c>
      <c r="C32" s="133" t="s">
        <v>176</v>
      </c>
      <c r="D32" s="102" t="s">
        <v>190</v>
      </c>
      <c r="E32" s="50" t="s">
        <v>191</v>
      </c>
      <c r="F32" s="37" t="s">
        <v>195</v>
      </c>
      <c r="G32" s="38" t="s">
        <v>196</v>
      </c>
      <c r="H32" s="39" t="s">
        <v>126</v>
      </c>
      <c r="I32" s="39" t="s">
        <v>127</v>
      </c>
      <c r="J32" s="40"/>
      <c r="K32" s="41"/>
      <c r="L32" s="42"/>
      <c r="M32" s="43"/>
      <c r="N32" s="42"/>
      <c r="O32" s="44"/>
      <c r="P32" s="45"/>
    </row>
    <row r="33" spans="1:16" ht="58">
      <c r="A33" s="34" t="s">
        <v>98</v>
      </c>
      <c r="B33" s="134">
        <v>3</v>
      </c>
      <c r="C33" s="133" t="s">
        <v>176</v>
      </c>
      <c r="D33" s="102" t="s">
        <v>190</v>
      </c>
      <c r="E33" s="50" t="s">
        <v>191</v>
      </c>
      <c r="F33" s="37" t="s">
        <v>197</v>
      </c>
      <c r="G33" s="38" t="s">
        <v>198</v>
      </c>
      <c r="H33" s="39" t="s">
        <v>126</v>
      </c>
      <c r="I33" s="39" t="s">
        <v>127</v>
      </c>
      <c r="J33" s="40"/>
      <c r="K33" s="41"/>
      <c r="L33" s="42"/>
      <c r="M33" s="43"/>
      <c r="N33" s="42"/>
      <c r="O33" s="44"/>
      <c r="P33" s="45"/>
    </row>
    <row r="34" spans="1:16" ht="58">
      <c r="A34" s="34" t="s">
        <v>98</v>
      </c>
      <c r="B34" s="134">
        <v>3</v>
      </c>
      <c r="C34" s="133" t="s">
        <v>176</v>
      </c>
      <c r="D34" s="102" t="s">
        <v>190</v>
      </c>
      <c r="E34" s="50" t="s">
        <v>191</v>
      </c>
      <c r="F34" s="37" t="s">
        <v>199</v>
      </c>
      <c r="G34" s="38" t="s">
        <v>200</v>
      </c>
      <c r="H34" s="39" t="s">
        <v>126</v>
      </c>
      <c r="I34" s="39" t="s">
        <v>127</v>
      </c>
      <c r="J34" s="40"/>
      <c r="K34" s="41"/>
      <c r="L34" s="42"/>
      <c r="M34" s="43"/>
      <c r="N34" s="42"/>
      <c r="O34" s="44"/>
      <c r="P34" s="45"/>
    </row>
    <row r="35" spans="1:16" ht="58">
      <c r="A35" s="34" t="s">
        <v>98</v>
      </c>
      <c r="B35" s="134">
        <v>3</v>
      </c>
      <c r="C35" s="133" t="s">
        <v>176</v>
      </c>
      <c r="D35" s="102" t="s">
        <v>201</v>
      </c>
      <c r="E35" s="50" t="s">
        <v>202</v>
      </c>
      <c r="F35" s="37" t="s">
        <v>203</v>
      </c>
      <c r="G35" s="38" t="s">
        <v>204</v>
      </c>
      <c r="H35" s="39" t="s">
        <v>104</v>
      </c>
      <c r="I35" s="39" t="s">
        <v>127</v>
      </c>
      <c r="J35" s="40"/>
      <c r="K35" s="41"/>
      <c r="L35" s="42"/>
      <c r="M35" s="43"/>
      <c r="N35" s="42"/>
      <c r="O35" s="44"/>
      <c r="P35" s="45" t="s">
        <v>205</v>
      </c>
    </row>
    <row r="36" spans="1:16" ht="58">
      <c r="A36" s="34" t="s">
        <v>98</v>
      </c>
      <c r="B36" s="134">
        <v>3</v>
      </c>
      <c r="C36" s="133" t="s">
        <v>176</v>
      </c>
      <c r="D36" s="102" t="s">
        <v>201</v>
      </c>
      <c r="E36" s="50" t="s">
        <v>202</v>
      </c>
      <c r="F36" s="37" t="s">
        <v>206</v>
      </c>
      <c r="G36" s="38" t="s">
        <v>207</v>
      </c>
      <c r="H36" s="39" t="s">
        <v>104</v>
      </c>
      <c r="I36" s="39" t="s">
        <v>165</v>
      </c>
      <c r="J36" s="40"/>
      <c r="K36" s="41"/>
      <c r="L36" s="42"/>
      <c r="M36" s="43"/>
      <c r="N36" s="42"/>
      <c r="O36" s="44"/>
      <c r="P36" s="45" t="s">
        <v>205</v>
      </c>
    </row>
    <row r="37" spans="1:16" ht="43.5" customHeight="1">
      <c r="A37" s="52" t="s">
        <v>208</v>
      </c>
      <c r="B37" s="53">
        <v>4</v>
      </c>
      <c r="C37" s="54" t="s">
        <v>209</v>
      </c>
      <c r="D37" s="105" t="s">
        <v>210</v>
      </c>
      <c r="E37" s="106" t="s">
        <v>211</v>
      </c>
      <c r="F37" s="37" t="s">
        <v>212</v>
      </c>
      <c r="G37" s="38" t="s">
        <v>213</v>
      </c>
      <c r="H37" s="39" t="s">
        <v>104</v>
      </c>
      <c r="I37" s="39" t="s">
        <v>165</v>
      </c>
      <c r="J37" s="40"/>
      <c r="K37" s="41"/>
      <c r="L37" s="42"/>
      <c r="M37" s="43"/>
      <c r="N37" s="42"/>
      <c r="O37" s="44"/>
      <c r="P37" s="45"/>
    </row>
    <row r="38" spans="1:16" ht="58">
      <c r="A38" s="52" t="s">
        <v>208</v>
      </c>
      <c r="B38" s="53">
        <v>4</v>
      </c>
      <c r="C38" s="54" t="s">
        <v>209</v>
      </c>
      <c r="D38" s="105" t="s">
        <v>210</v>
      </c>
      <c r="E38" s="106" t="s">
        <v>211</v>
      </c>
      <c r="F38" s="37" t="s">
        <v>214</v>
      </c>
      <c r="G38" s="38" t="s">
        <v>215</v>
      </c>
      <c r="H38" s="39" t="s">
        <v>104</v>
      </c>
      <c r="I38" s="39" t="s">
        <v>165</v>
      </c>
      <c r="J38" s="40"/>
      <c r="K38" s="41"/>
      <c r="L38" s="42"/>
      <c r="M38" s="43"/>
      <c r="N38" s="42"/>
      <c r="O38" s="44"/>
      <c r="P38" s="45"/>
    </row>
    <row r="39" spans="1:16" ht="58">
      <c r="A39" s="52" t="s">
        <v>208</v>
      </c>
      <c r="B39" s="53">
        <v>4</v>
      </c>
      <c r="C39" s="54" t="s">
        <v>209</v>
      </c>
      <c r="D39" s="105" t="s">
        <v>210</v>
      </c>
      <c r="E39" s="106" t="s">
        <v>211</v>
      </c>
      <c r="F39" s="37" t="s">
        <v>216</v>
      </c>
      <c r="G39" s="38" t="s">
        <v>217</v>
      </c>
      <c r="H39" s="39" t="s">
        <v>104</v>
      </c>
      <c r="I39" s="39" t="s">
        <v>165</v>
      </c>
      <c r="J39" s="40"/>
      <c r="K39" s="41"/>
      <c r="L39" s="42"/>
      <c r="M39" s="43"/>
      <c r="N39" s="42"/>
      <c r="O39" s="44"/>
      <c r="P39" s="45"/>
    </row>
    <row r="40" spans="1:16" ht="28.9" customHeight="1">
      <c r="A40" s="52" t="s">
        <v>208</v>
      </c>
      <c r="B40" s="53">
        <v>4</v>
      </c>
      <c r="C40" s="54" t="s">
        <v>209</v>
      </c>
      <c r="D40" s="108" t="s">
        <v>218</v>
      </c>
      <c r="E40" s="107" t="s">
        <v>219</v>
      </c>
      <c r="F40" s="37" t="s">
        <v>220</v>
      </c>
      <c r="G40" s="38" t="s">
        <v>221</v>
      </c>
      <c r="H40" s="39" t="s">
        <v>104</v>
      </c>
      <c r="I40" s="39" t="s">
        <v>114</v>
      </c>
      <c r="J40" s="40"/>
      <c r="K40" s="41"/>
      <c r="L40" s="42"/>
      <c r="M40" s="43"/>
      <c r="N40" s="42"/>
      <c r="O40" s="44"/>
      <c r="P40" s="45"/>
    </row>
    <row r="41" spans="1:16" ht="43.5">
      <c r="A41" s="52" t="s">
        <v>208</v>
      </c>
      <c r="B41" s="53">
        <v>4</v>
      </c>
      <c r="C41" s="54" t="s">
        <v>209</v>
      </c>
      <c r="D41" s="108" t="s">
        <v>218</v>
      </c>
      <c r="E41" s="107" t="s">
        <v>219</v>
      </c>
      <c r="F41" s="37" t="s">
        <v>222</v>
      </c>
      <c r="G41" s="38" t="s">
        <v>223</v>
      </c>
      <c r="H41" s="39" t="s">
        <v>104</v>
      </c>
      <c r="I41" s="39" t="s">
        <v>165</v>
      </c>
      <c r="J41" s="40"/>
      <c r="K41" s="41"/>
      <c r="L41" s="42"/>
      <c r="M41" s="43"/>
      <c r="N41" s="42"/>
      <c r="O41" s="44"/>
      <c r="P41" s="45"/>
    </row>
    <row r="42" spans="1:16" ht="43.5">
      <c r="A42" s="52" t="s">
        <v>208</v>
      </c>
      <c r="B42" s="53">
        <v>4</v>
      </c>
      <c r="C42" s="54" t="s">
        <v>209</v>
      </c>
      <c r="D42" s="108" t="s">
        <v>218</v>
      </c>
      <c r="E42" s="107" t="s">
        <v>219</v>
      </c>
      <c r="F42" s="37" t="s">
        <v>224</v>
      </c>
      <c r="G42" s="38" t="s">
        <v>225</v>
      </c>
      <c r="H42" s="39" t="s">
        <v>104</v>
      </c>
      <c r="I42" s="39" t="s">
        <v>165</v>
      </c>
      <c r="J42" s="40"/>
      <c r="K42" s="41"/>
      <c r="L42" s="42"/>
      <c r="M42" s="43"/>
      <c r="N42" s="42"/>
      <c r="O42" s="44"/>
      <c r="P42" s="45"/>
    </row>
    <row r="43" spans="1:16" ht="43.5">
      <c r="A43" s="52" t="s">
        <v>208</v>
      </c>
      <c r="B43" s="53">
        <v>4</v>
      </c>
      <c r="C43" s="54" t="s">
        <v>209</v>
      </c>
      <c r="D43" s="108" t="s">
        <v>218</v>
      </c>
      <c r="E43" s="107" t="s">
        <v>219</v>
      </c>
      <c r="F43" s="37" t="s">
        <v>226</v>
      </c>
      <c r="G43" s="38" t="s">
        <v>227</v>
      </c>
      <c r="H43" s="39" t="s">
        <v>104</v>
      </c>
      <c r="I43" s="39" t="s">
        <v>105</v>
      </c>
      <c r="J43" s="40"/>
      <c r="K43" s="41"/>
      <c r="L43" s="42"/>
      <c r="M43" s="43"/>
      <c r="N43" s="42"/>
      <c r="O43" s="44"/>
      <c r="P43" s="45"/>
    </row>
    <row r="44" spans="1:16" ht="43.5">
      <c r="A44" s="52" t="s">
        <v>208</v>
      </c>
      <c r="B44" s="53">
        <v>4</v>
      </c>
      <c r="C44" s="54" t="s">
        <v>209</v>
      </c>
      <c r="D44" s="109" t="s">
        <v>228</v>
      </c>
      <c r="E44" s="8" t="s">
        <v>229</v>
      </c>
      <c r="F44" s="37" t="s">
        <v>230</v>
      </c>
      <c r="G44" s="38" t="s">
        <v>231</v>
      </c>
      <c r="H44" s="39" t="s">
        <v>104</v>
      </c>
      <c r="I44" s="39" t="s">
        <v>105</v>
      </c>
      <c r="J44" s="40"/>
      <c r="K44" s="41"/>
      <c r="L44" s="42"/>
      <c r="M44" s="43"/>
      <c r="N44" s="42"/>
      <c r="O44" s="44" t="s">
        <v>106</v>
      </c>
      <c r="P44" s="45"/>
    </row>
    <row r="45" spans="1:16" ht="43.5">
      <c r="A45" s="52" t="s">
        <v>208</v>
      </c>
      <c r="B45" s="53">
        <v>4</v>
      </c>
      <c r="C45" s="54" t="s">
        <v>209</v>
      </c>
      <c r="D45" s="109" t="s">
        <v>228</v>
      </c>
      <c r="E45" s="8" t="s">
        <v>229</v>
      </c>
      <c r="F45" s="37" t="s">
        <v>232</v>
      </c>
      <c r="G45" s="38" t="s">
        <v>233</v>
      </c>
      <c r="H45" s="39" t="s">
        <v>126</v>
      </c>
      <c r="I45" s="39" t="s">
        <v>105</v>
      </c>
      <c r="J45" s="40"/>
      <c r="K45" s="41"/>
      <c r="L45" s="42"/>
      <c r="M45" s="43"/>
      <c r="N45" s="42"/>
      <c r="O45" s="44" t="s">
        <v>106</v>
      </c>
      <c r="P45" s="45"/>
    </row>
    <row r="46" spans="1:16" ht="43.5">
      <c r="A46" s="52" t="s">
        <v>208</v>
      </c>
      <c r="B46" s="53">
        <v>4</v>
      </c>
      <c r="C46" s="54" t="s">
        <v>209</v>
      </c>
      <c r="D46" s="109" t="s">
        <v>228</v>
      </c>
      <c r="E46" s="8" t="s">
        <v>229</v>
      </c>
      <c r="F46" s="37" t="s">
        <v>234</v>
      </c>
      <c r="G46" s="38" t="s">
        <v>235</v>
      </c>
      <c r="H46" s="39" t="s">
        <v>104</v>
      </c>
      <c r="I46" s="39" t="s">
        <v>127</v>
      </c>
      <c r="J46" s="40"/>
      <c r="K46" s="41"/>
      <c r="L46" s="42"/>
      <c r="M46" s="43"/>
      <c r="N46" s="42"/>
      <c r="O46" s="44"/>
      <c r="P46" s="45"/>
    </row>
    <row r="47" spans="1:16" ht="43.5">
      <c r="A47" s="52" t="s">
        <v>208</v>
      </c>
      <c r="B47" s="53">
        <v>4</v>
      </c>
      <c r="C47" s="54" t="s">
        <v>209</v>
      </c>
      <c r="D47" s="109" t="s">
        <v>228</v>
      </c>
      <c r="E47" s="8" t="s">
        <v>229</v>
      </c>
      <c r="F47" s="37" t="s">
        <v>236</v>
      </c>
      <c r="G47" s="38" t="s">
        <v>237</v>
      </c>
      <c r="H47" s="39" t="s">
        <v>104</v>
      </c>
      <c r="I47" s="39" t="s">
        <v>114</v>
      </c>
      <c r="J47" s="40"/>
      <c r="K47" s="41"/>
      <c r="L47" s="42"/>
      <c r="M47" s="43"/>
      <c r="N47" s="42"/>
      <c r="O47" s="44" t="s">
        <v>115</v>
      </c>
      <c r="P47" s="45"/>
    </row>
    <row r="48" spans="1:16" ht="14.65" customHeight="1">
      <c r="A48" s="52" t="s">
        <v>208</v>
      </c>
      <c r="B48" s="53">
        <v>4</v>
      </c>
      <c r="C48" s="54" t="s">
        <v>209</v>
      </c>
      <c r="D48" s="109" t="s">
        <v>238</v>
      </c>
      <c r="E48" s="8" t="s">
        <v>239</v>
      </c>
      <c r="F48" s="39" t="s">
        <v>240</v>
      </c>
      <c r="G48" s="38" t="s">
        <v>241</v>
      </c>
      <c r="H48" s="39" t="s">
        <v>104</v>
      </c>
      <c r="I48" s="39" t="s">
        <v>105</v>
      </c>
      <c r="J48" s="40"/>
      <c r="K48" s="41"/>
      <c r="L48" s="42"/>
      <c r="M48" s="43"/>
      <c r="N48" s="42"/>
      <c r="O48" s="44"/>
      <c r="P48" s="45"/>
    </row>
    <row r="49" spans="1:16" ht="43.5">
      <c r="A49" s="52" t="s">
        <v>208</v>
      </c>
      <c r="B49" s="53">
        <v>4</v>
      </c>
      <c r="C49" s="54" t="s">
        <v>209</v>
      </c>
      <c r="D49" s="109" t="s">
        <v>238</v>
      </c>
      <c r="E49" s="8" t="s">
        <v>239</v>
      </c>
      <c r="F49" s="39" t="s">
        <v>242</v>
      </c>
      <c r="G49" s="38" t="s">
        <v>243</v>
      </c>
      <c r="H49" s="39" t="s">
        <v>104</v>
      </c>
      <c r="I49" s="39" t="s">
        <v>105</v>
      </c>
      <c r="J49" s="40"/>
      <c r="K49" s="41"/>
      <c r="L49" s="42"/>
      <c r="M49" s="43"/>
      <c r="N49" s="42"/>
      <c r="O49" s="44"/>
      <c r="P49" s="45"/>
    </row>
    <row r="50" spans="1:16" ht="43.5">
      <c r="A50" s="52" t="s">
        <v>208</v>
      </c>
      <c r="B50" s="53">
        <v>4</v>
      </c>
      <c r="C50" s="54" t="s">
        <v>209</v>
      </c>
      <c r="D50" s="109" t="s">
        <v>238</v>
      </c>
      <c r="E50" s="8" t="s">
        <v>239</v>
      </c>
      <c r="F50" s="39" t="s">
        <v>244</v>
      </c>
      <c r="G50" s="38" t="s">
        <v>245</v>
      </c>
      <c r="H50" s="39" t="s">
        <v>104</v>
      </c>
      <c r="I50" s="39" t="s">
        <v>105</v>
      </c>
      <c r="J50" s="40"/>
      <c r="K50" s="41"/>
      <c r="L50" s="42"/>
      <c r="M50" s="43"/>
      <c r="N50" s="42"/>
      <c r="O50" s="44"/>
      <c r="P50" s="45"/>
    </row>
    <row r="51" spans="1:16" ht="29">
      <c r="A51" s="52" t="s">
        <v>208</v>
      </c>
      <c r="B51" s="135">
        <v>5</v>
      </c>
      <c r="C51" s="136" t="s">
        <v>246</v>
      </c>
      <c r="D51" s="55" t="s">
        <v>247</v>
      </c>
      <c r="E51" s="8" t="s">
        <v>248</v>
      </c>
      <c r="F51" s="39" t="s">
        <v>249</v>
      </c>
      <c r="G51" s="38" t="s">
        <v>250</v>
      </c>
      <c r="H51" s="39" t="s">
        <v>104</v>
      </c>
      <c r="I51" s="39" t="s">
        <v>165</v>
      </c>
      <c r="J51" s="40"/>
      <c r="K51" s="41"/>
      <c r="L51" s="42"/>
      <c r="M51" s="43"/>
      <c r="N51" s="42"/>
      <c r="O51" s="44"/>
      <c r="P51" s="45"/>
    </row>
    <row r="52" spans="1:16" ht="29">
      <c r="A52" s="52" t="s">
        <v>208</v>
      </c>
      <c r="B52" s="135">
        <v>5</v>
      </c>
      <c r="C52" s="136" t="s">
        <v>246</v>
      </c>
      <c r="D52" s="110" t="s">
        <v>251</v>
      </c>
      <c r="E52" s="111" t="s">
        <v>252</v>
      </c>
      <c r="F52" s="37" t="s">
        <v>253</v>
      </c>
      <c r="G52" s="38" t="s">
        <v>254</v>
      </c>
      <c r="H52" s="39" t="s">
        <v>104</v>
      </c>
      <c r="I52" s="39" t="s">
        <v>165</v>
      </c>
      <c r="J52" s="40"/>
      <c r="K52" s="41"/>
      <c r="L52" s="42"/>
      <c r="M52" s="43"/>
      <c r="N52" s="42"/>
      <c r="O52" s="44"/>
      <c r="P52" s="45"/>
    </row>
    <row r="53" spans="1:16" ht="29">
      <c r="A53" s="52" t="s">
        <v>208</v>
      </c>
      <c r="B53" s="135">
        <v>5</v>
      </c>
      <c r="C53" s="136" t="s">
        <v>246</v>
      </c>
      <c r="D53" s="110" t="s">
        <v>251</v>
      </c>
      <c r="E53" s="111" t="s">
        <v>252</v>
      </c>
      <c r="F53" s="37" t="s">
        <v>255</v>
      </c>
      <c r="G53" s="38" t="s">
        <v>256</v>
      </c>
      <c r="H53" s="39"/>
      <c r="I53" s="39"/>
      <c r="J53" s="40"/>
      <c r="K53" s="41"/>
      <c r="L53" s="42"/>
      <c r="M53" s="43"/>
      <c r="N53" s="42"/>
      <c r="O53" s="44"/>
      <c r="P53" s="45"/>
    </row>
    <row r="54" spans="1:16" ht="29">
      <c r="A54" s="52" t="s">
        <v>208</v>
      </c>
      <c r="B54" s="135">
        <v>5</v>
      </c>
      <c r="C54" s="136" t="s">
        <v>246</v>
      </c>
      <c r="D54" s="110" t="s">
        <v>251</v>
      </c>
      <c r="E54" s="111" t="s">
        <v>252</v>
      </c>
      <c r="F54" s="37" t="s">
        <v>257</v>
      </c>
      <c r="G54" s="38" t="s">
        <v>258</v>
      </c>
      <c r="H54" s="39" t="s">
        <v>104</v>
      </c>
      <c r="I54" s="39" t="s">
        <v>114</v>
      </c>
      <c r="J54" s="40"/>
      <c r="K54" s="41"/>
      <c r="L54" s="42"/>
      <c r="M54" s="43"/>
      <c r="N54" s="42"/>
      <c r="O54" s="44"/>
      <c r="P54" s="45"/>
    </row>
    <row r="55" spans="1:16" ht="29">
      <c r="A55" s="52" t="s">
        <v>208</v>
      </c>
      <c r="B55" s="135">
        <v>5</v>
      </c>
      <c r="C55" s="136" t="s">
        <v>246</v>
      </c>
      <c r="D55" s="112" t="s">
        <v>259</v>
      </c>
      <c r="E55" s="111" t="s">
        <v>260</v>
      </c>
      <c r="F55" s="37" t="s">
        <v>261</v>
      </c>
      <c r="G55" s="38" t="s">
        <v>262</v>
      </c>
      <c r="H55" s="39" t="s">
        <v>126</v>
      </c>
      <c r="I55" s="39" t="s">
        <v>165</v>
      </c>
      <c r="J55" s="40"/>
      <c r="K55" s="41"/>
      <c r="L55" s="42"/>
      <c r="M55" s="43"/>
      <c r="N55" s="42"/>
      <c r="O55" s="44" t="s">
        <v>115</v>
      </c>
      <c r="P55" s="45"/>
    </row>
    <row r="56" spans="1:16" ht="29">
      <c r="A56" s="52" t="s">
        <v>208</v>
      </c>
      <c r="B56" s="135">
        <v>5</v>
      </c>
      <c r="C56" s="136" t="s">
        <v>246</v>
      </c>
      <c r="D56" s="112" t="s">
        <v>259</v>
      </c>
      <c r="E56" s="111" t="s">
        <v>260</v>
      </c>
      <c r="F56" s="37" t="s">
        <v>263</v>
      </c>
      <c r="G56" s="38" t="s">
        <v>264</v>
      </c>
      <c r="H56" s="39" t="s">
        <v>126</v>
      </c>
      <c r="I56" s="39" t="s">
        <v>165</v>
      </c>
      <c r="J56" s="40"/>
      <c r="K56" s="41"/>
      <c r="L56" s="42"/>
      <c r="M56" s="43"/>
      <c r="N56" s="42"/>
      <c r="O56" s="44" t="s">
        <v>115</v>
      </c>
      <c r="P56" s="45"/>
    </row>
    <row r="57" spans="1:16" ht="58">
      <c r="A57" s="56" t="s">
        <v>265</v>
      </c>
      <c r="B57" s="57">
        <v>6</v>
      </c>
      <c r="C57" s="9" t="s">
        <v>266</v>
      </c>
      <c r="D57" s="113" t="s">
        <v>267</v>
      </c>
      <c r="E57" s="11" t="s">
        <v>268</v>
      </c>
      <c r="F57" s="37" t="s">
        <v>269</v>
      </c>
      <c r="G57" s="58" t="s">
        <v>270</v>
      </c>
      <c r="H57" s="39" t="s">
        <v>104</v>
      </c>
      <c r="I57" s="39" t="s">
        <v>114</v>
      </c>
      <c r="J57" s="40"/>
      <c r="K57" s="41"/>
      <c r="L57" s="59"/>
      <c r="M57" s="43"/>
      <c r="N57" s="59"/>
      <c r="O57" s="48" t="s">
        <v>271</v>
      </c>
      <c r="P57" s="45" t="s">
        <v>272</v>
      </c>
    </row>
    <row r="58" spans="1:16" ht="43.5">
      <c r="A58" s="56" t="s">
        <v>265</v>
      </c>
      <c r="B58" s="57">
        <v>6</v>
      </c>
      <c r="C58" s="9" t="s">
        <v>266</v>
      </c>
      <c r="D58" s="113" t="s">
        <v>267</v>
      </c>
      <c r="E58" s="11" t="s">
        <v>268</v>
      </c>
      <c r="F58" s="37" t="s">
        <v>273</v>
      </c>
      <c r="G58" s="38" t="s">
        <v>274</v>
      </c>
      <c r="H58" s="39" t="s">
        <v>104</v>
      </c>
      <c r="I58" s="39" t="s">
        <v>114</v>
      </c>
      <c r="J58" s="40"/>
      <c r="K58" s="41"/>
      <c r="L58" s="42"/>
      <c r="M58" s="43"/>
      <c r="N58" s="42"/>
      <c r="O58" s="44"/>
      <c r="P58" s="45" t="s">
        <v>275</v>
      </c>
    </row>
    <row r="59" spans="1:16" ht="28.9" customHeight="1">
      <c r="A59" s="56" t="s">
        <v>265</v>
      </c>
      <c r="B59" s="57">
        <v>6</v>
      </c>
      <c r="C59" s="9" t="s">
        <v>266</v>
      </c>
      <c r="D59" s="113" t="s">
        <v>276</v>
      </c>
      <c r="E59" s="11" t="s">
        <v>277</v>
      </c>
      <c r="F59" s="37" t="s">
        <v>278</v>
      </c>
      <c r="G59" s="38" t="s">
        <v>279</v>
      </c>
      <c r="H59" s="39" t="s">
        <v>104</v>
      </c>
      <c r="I59" s="39" t="s">
        <v>114</v>
      </c>
      <c r="J59" s="40"/>
      <c r="K59" s="41"/>
      <c r="L59" s="42"/>
      <c r="M59" s="43"/>
      <c r="N59" s="42"/>
      <c r="O59" s="44" t="s">
        <v>115</v>
      </c>
      <c r="P59" s="45" t="s">
        <v>280</v>
      </c>
    </row>
    <row r="60" spans="1:16" ht="58">
      <c r="A60" s="56" t="s">
        <v>265</v>
      </c>
      <c r="B60" s="57">
        <v>6</v>
      </c>
      <c r="C60" s="9" t="s">
        <v>266</v>
      </c>
      <c r="D60" s="113" t="s">
        <v>276</v>
      </c>
      <c r="E60" s="11" t="s">
        <v>277</v>
      </c>
      <c r="F60" s="37" t="s">
        <v>281</v>
      </c>
      <c r="G60" s="38" t="s">
        <v>282</v>
      </c>
      <c r="H60" s="39" t="s">
        <v>104</v>
      </c>
      <c r="I60" s="39" t="s">
        <v>114</v>
      </c>
      <c r="J60" s="40"/>
      <c r="K60" s="41"/>
      <c r="L60" s="42"/>
      <c r="M60" s="43"/>
      <c r="N60" s="42"/>
      <c r="O60" s="44"/>
      <c r="P60" s="45"/>
    </row>
    <row r="61" spans="1:16" ht="58">
      <c r="A61" s="56" t="s">
        <v>265</v>
      </c>
      <c r="B61" s="57">
        <v>6</v>
      </c>
      <c r="C61" s="9" t="s">
        <v>266</v>
      </c>
      <c r="D61" s="113" t="s">
        <v>276</v>
      </c>
      <c r="E61" s="11" t="s">
        <v>277</v>
      </c>
      <c r="F61" s="37" t="s">
        <v>283</v>
      </c>
      <c r="G61" s="38" t="s">
        <v>284</v>
      </c>
      <c r="H61" s="39" t="s">
        <v>104</v>
      </c>
      <c r="I61" s="39" t="s">
        <v>114</v>
      </c>
      <c r="J61" s="40"/>
      <c r="K61" s="41"/>
      <c r="L61" s="42"/>
      <c r="M61" s="43"/>
      <c r="N61" s="42"/>
      <c r="O61" s="44" t="s">
        <v>115</v>
      </c>
      <c r="P61" s="45" t="s">
        <v>285</v>
      </c>
    </row>
    <row r="62" spans="1:16" ht="58">
      <c r="A62" s="56" t="s">
        <v>265</v>
      </c>
      <c r="B62" s="57">
        <v>6</v>
      </c>
      <c r="C62" s="9" t="s">
        <v>266</v>
      </c>
      <c r="D62" s="113" t="s">
        <v>276</v>
      </c>
      <c r="E62" s="11" t="s">
        <v>277</v>
      </c>
      <c r="F62" s="37" t="s">
        <v>286</v>
      </c>
      <c r="G62" s="38" t="s">
        <v>287</v>
      </c>
      <c r="H62" s="39" t="s">
        <v>104</v>
      </c>
      <c r="I62" s="39" t="s">
        <v>165</v>
      </c>
      <c r="J62" s="40"/>
      <c r="K62" s="41"/>
      <c r="L62" s="42"/>
      <c r="M62" s="43"/>
      <c r="N62" s="42"/>
      <c r="O62" s="44"/>
      <c r="P62" s="45"/>
    </row>
    <row r="63" spans="1:16" ht="58">
      <c r="A63" s="56" t="s">
        <v>265</v>
      </c>
      <c r="B63" s="57">
        <v>6</v>
      </c>
      <c r="C63" s="9" t="s">
        <v>266</v>
      </c>
      <c r="D63" s="113" t="s">
        <v>276</v>
      </c>
      <c r="E63" s="11" t="s">
        <v>277</v>
      </c>
      <c r="F63" s="37" t="s">
        <v>288</v>
      </c>
      <c r="G63" s="38" t="s">
        <v>289</v>
      </c>
      <c r="H63" s="39" t="s">
        <v>104</v>
      </c>
      <c r="I63" s="39" t="s">
        <v>165</v>
      </c>
      <c r="J63" s="40"/>
      <c r="K63" s="41"/>
      <c r="L63" s="42"/>
      <c r="M63" s="43"/>
      <c r="N63" s="42"/>
      <c r="O63" s="44"/>
      <c r="P63" s="45"/>
    </row>
    <row r="64" spans="1:16" ht="58">
      <c r="A64" s="56" t="s">
        <v>265</v>
      </c>
      <c r="B64" s="57">
        <v>6</v>
      </c>
      <c r="C64" s="9" t="s">
        <v>266</v>
      </c>
      <c r="D64" s="113" t="s">
        <v>276</v>
      </c>
      <c r="E64" s="11" t="s">
        <v>277</v>
      </c>
      <c r="F64" s="37" t="s">
        <v>290</v>
      </c>
      <c r="G64" s="38" t="s">
        <v>291</v>
      </c>
      <c r="H64" s="39" t="s">
        <v>104</v>
      </c>
      <c r="I64" s="39" t="s">
        <v>114</v>
      </c>
      <c r="J64" s="40"/>
      <c r="K64" s="41"/>
      <c r="L64" s="42"/>
      <c r="M64" s="43"/>
      <c r="N64" s="42"/>
      <c r="O64" s="44" t="s">
        <v>115</v>
      </c>
      <c r="P64" s="45"/>
    </row>
    <row r="65" spans="1:16" ht="58">
      <c r="A65" s="56" t="s">
        <v>265</v>
      </c>
      <c r="B65" s="57">
        <v>6</v>
      </c>
      <c r="C65" s="9" t="s">
        <v>266</v>
      </c>
      <c r="D65" s="113" t="s">
        <v>276</v>
      </c>
      <c r="E65" s="11" t="s">
        <v>277</v>
      </c>
      <c r="F65" s="37" t="s">
        <v>292</v>
      </c>
      <c r="G65" s="38" t="s">
        <v>293</v>
      </c>
      <c r="H65" s="39" t="s">
        <v>104</v>
      </c>
      <c r="I65" s="39" t="s">
        <v>165</v>
      </c>
      <c r="J65" s="40"/>
      <c r="K65" s="41"/>
      <c r="L65" s="42"/>
      <c r="M65" s="43"/>
      <c r="N65" s="42"/>
      <c r="O65" s="44" t="s">
        <v>115</v>
      </c>
      <c r="P65" s="45"/>
    </row>
    <row r="66" spans="1:16" ht="43.5">
      <c r="A66" s="56" t="s">
        <v>265</v>
      </c>
      <c r="B66" s="57">
        <v>6</v>
      </c>
      <c r="C66" s="9" t="s">
        <v>266</v>
      </c>
      <c r="D66" s="113" t="s">
        <v>294</v>
      </c>
      <c r="E66" s="11" t="s">
        <v>295</v>
      </c>
      <c r="F66" s="37" t="s">
        <v>296</v>
      </c>
      <c r="G66" s="38" t="s">
        <v>297</v>
      </c>
      <c r="H66" s="39" t="s">
        <v>104</v>
      </c>
      <c r="I66" s="39" t="s">
        <v>114</v>
      </c>
      <c r="J66" s="40"/>
      <c r="K66" s="41"/>
      <c r="L66" s="42"/>
      <c r="M66" s="43"/>
      <c r="N66" s="42"/>
      <c r="O66" s="44" t="s">
        <v>115</v>
      </c>
      <c r="P66" s="45" t="s">
        <v>298</v>
      </c>
    </row>
    <row r="67" spans="1:16" ht="43.5">
      <c r="A67" s="56" t="s">
        <v>265</v>
      </c>
      <c r="B67" s="57">
        <v>6</v>
      </c>
      <c r="C67" s="9" t="s">
        <v>266</v>
      </c>
      <c r="D67" s="113" t="s">
        <v>294</v>
      </c>
      <c r="E67" s="11" t="s">
        <v>295</v>
      </c>
      <c r="F67" s="37" t="s">
        <v>299</v>
      </c>
      <c r="G67" s="38" t="s">
        <v>300</v>
      </c>
      <c r="H67" s="39" t="s">
        <v>104</v>
      </c>
      <c r="I67" s="39" t="s">
        <v>114</v>
      </c>
      <c r="J67" s="40"/>
      <c r="K67" s="41"/>
      <c r="L67" s="42"/>
      <c r="M67" s="43"/>
      <c r="N67" s="42"/>
      <c r="O67" s="44" t="s">
        <v>115</v>
      </c>
      <c r="P67" s="45" t="s">
        <v>301</v>
      </c>
    </row>
    <row r="68" spans="1:16" ht="43.5">
      <c r="A68" s="56" t="s">
        <v>265</v>
      </c>
      <c r="B68" s="57">
        <v>6</v>
      </c>
      <c r="C68" s="9" t="s">
        <v>266</v>
      </c>
      <c r="D68" s="113" t="s">
        <v>294</v>
      </c>
      <c r="E68" s="11" t="s">
        <v>295</v>
      </c>
      <c r="F68" s="37" t="s">
        <v>302</v>
      </c>
      <c r="G68" s="38" t="s">
        <v>303</v>
      </c>
      <c r="H68" s="39" t="s">
        <v>104</v>
      </c>
      <c r="I68" s="39" t="s">
        <v>114</v>
      </c>
      <c r="J68" s="40"/>
      <c r="K68" s="41"/>
      <c r="L68" s="42"/>
      <c r="M68" s="43"/>
      <c r="N68" s="42"/>
      <c r="O68" s="44"/>
      <c r="P68" s="45"/>
    </row>
    <row r="69" spans="1:16" ht="43.5">
      <c r="A69" s="56" t="s">
        <v>265</v>
      </c>
      <c r="B69" s="57">
        <v>6</v>
      </c>
      <c r="C69" s="9" t="s">
        <v>266</v>
      </c>
      <c r="D69" s="113" t="s">
        <v>294</v>
      </c>
      <c r="E69" s="11" t="s">
        <v>295</v>
      </c>
      <c r="F69" s="37" t="s">
        <v>304</v>
      </c>
      <c r="G69" s="38" t="s">
        <v>305</v>
      </c>
      <c r="H69" s="39" t="s">
        <v>104</v>
      </c>
      <c r="I69" s="39" t="s">
        <v>114</v>
      </c>
      <c r="J69" s="40"/>
      <c r="K69" s="41"/>
      <c r="L69" s="46"/>
      <c r="M69" s="43"/>
      <c r="N69" s="42"/>
      <c r="O69" s="44"/>
      <c r="P69" s="45" t="s">
        <v>306</v>
      </c>
    </row>
    <row r="70" spans="1:16" ht="43.5" customHeight="1">
      <c r="A70" s="56" t="s">
        <v>265</v>
      </c>
      <c r="B70" s="57">
        <v>6</v>
      </c>
      <c r="C70" s="9" t="s">
        <v>266</v>
      </c>
      <c r="D70" s="113" t="s">
        <v>307</v>
      </c>
      <c r="E70" s="11" t="s">
        <v>308</v>
      </c>
      <c r="F70" s="37" t="s">
        <v>309</v>
      </c>
      <c r="G70" s="38" t="s">
        <v>310</v>
      </c>
      <c r="H70" s="39" t="s">
        <v>104</v>
      </c>
      <c r="I70" s="39" t="s">
        <v>165</v>
      </c>
      <c r="J70" s="40"/>
      <c r="K70" s="41"/>
      <c r="L70" s="42"/>
      <c r="M70" s="43"/>
      <c r="N70" s="42"/>
      <c r="O70" s="44"/>
      <c r="P70" s="45" t="s">
        <v>311</v>
      </c>
    </row>
    <row r="71" spans="1:16" ht="72.5">
      <c r="A71" s="56" t="s">
        <v>265</v>
      </c>
      <c r="B71" s="57">
        <v>6</v>
      </c>
      <c r="C71" s="9" t="s">
        <v>266</v>
      </c>
      <c r="D71" s="113" t="s">
        <v>307</v>
      </c>
      <c r="E71" s="11" t="s">
        <v>308</v>
      </c>
      <c r="F71" s="37" t="s">
        <v>312</v>
      </c>
      <c r="G71" s="38" t="s">
        <v>313</v>
      </c>
      <c r="H71" s="39" t="s">
        <v>104</v>
      </c>
      <c r="I71" s="39" t="s">
        <v>165</v>
      </c>
      <c r="J71" s="40"/>
      <c r="K71" s="41"/>
      <c r="L71" s="42"/>
      <c r="M71" s="43"/>
      <c r="N71" s="42"/>
      <c r="O71" s="44"/>
      <c r="P71" s="45" t="s">
        <v>314</v>
      </c>
    </row>
    <row r="72" spans="1:16" ht="72.5">
      <c r="A72" s="56" t="s">
        <v>265</v>
      </c>
      <c r="B72" s="57">
        <v>6</v>
      </c>
      <c r="C72" s="9" t="s">
        <v>266</v>
      </c>
      <c r="D72" s="113" t="s">
        <v>307</v>
      </c>
      <c r="E72" s="11" t="s">
        <v>308</v>
      </c>
      <c r="F72" s="37" t="s">
        <v>315</v>
      </c>
      <c r="G72" s="38" t="s">
        <v>316</v>
      </c>
      <c r="H72" s="39" t="s">
        <v>104</v>
      </c>
      <c r="I72" s="39" t="s">
        <v>165</v>
      </c>
      <c r="J72" s="40"/>
      <c r="K72" s="41"/>
      <c r="L72" s="42"/>
      <c r="M72" s="43"/>
      <c r="N72" s="42"/>
      <c r="O72" s="44"/>
      <c r="P72" s="45"/>
    </row>
    <row r="73" spans="1:16" ht="72.5">
      <c r="A73" s="56" t="s">
        <v>265</v>
      </c>
      <c r="B73" s="57">
        <v>6</v>
      </c>
      <c r="C73" s="9" t="s">
        <v>266</v>
      </c>
      <c r="D73" s="113" t="s">
        <v>307</v>
      </c>
      <c r="E73" s="11" t="s">
        <v>308</v>
      </c>
      <c r="F73" s="37" t="s">
        <v>317</v>
      </c>
      <c r="G73" s="38" t="s">
        <v>318</v>
      </c>
      <c r="H73" s="39" t="s">
        <v>104</v>
      </c>
      <c r="I73" s="39" t="s">
        <v>165</v>
      </c>
      <c r="J73" s="40"/>
      <c r="K73" s="41"/>
      <c r="L73" s="42"/>
      <c r="M73" s="43"/>
      <c r="N73" s="42"/>
      <c r="O73" s="44"/>
      <c r="P73" s="45" t="s">
        <v>319</v>
      </c>
    </row>
    <row r="74" spans="1:16" ht="72.5">
      <c r="A74" s="56" t="s">
        <v>265</v>
      </c>
      <c r="B74" s="57">
        <v>6</v>
      </c>
      <c r="C74" s="9" t="s">
        <v>266</v>
      </c>
      <c r="D74" s="113" t="s">
        <v>307</v>
      </c>
      <c r="E74" s="11" t="s">
        <v>308</v>
      </c>
      <c r="F74" s="37" t="s">
        <v>320</v>
      </c>
      <c r="G74" s="38" t="s">
        <v>321</v>
      </c>
      <c r="H74" s="39" t="s">
        <v>104</v>
      </c>
      <c r="I74" s="39" t="s">
        <v>165</v>
      </c>
      <c r="J74" s="40"/>
      <c r="K74" s="41"/>
      <c r="L74" s="42"/>
      <c r="M74" s="43"/>
      <c r="N74" s="42"/>
      <c r="O74" s="44" t="s">
        <v>115</v>
      </c>
      <c r="P74" s="45"/>
    </row>
    <row r="75" spans="1:16" ht="72.5">
      <c r="A75" s="56" t="s">
        <v>265</v>
      </c>
      <c r="B75" s="57">
        <v>6</v>
      </c>
      <c r="C75" s="9" t="s">
        <v>266</v>
      </c>
      <c r="D75" s="113" t="s">
        <v>307</v>
      </c>
      <c r="E75" s="11" t="s">
        <v>308</v>
      </c>
      <c r="F75" s="37" t="s">
        <v>322</v>
      </c>
      <c r="G75" s="38" t="s">
        <v>323</v>
      </c>
      <c r="H75" s="39" t="s">
        <v>104</v>
      </c>
      <c r="I75" s="39" t="s">
        <v>165</v>
      </c>
      <c r="J75" s="40"/>
      <c r="K75" s="41"/>
      <c r="L75" s="42"/>
      <c r="M75" s="43"/>
      <c r="N75" s="42"/>
      <c r="O75" s="44"/>
      <c r="P75" s="45" t="s">
        <v>324</v>
      </c>
    </row>
    <row r="76" spans="1:16" ht="43.5">
      <c r="A76" s="56" t="s">
        <v>265</v>
      </c>
      <c r="B76" s="57">
        <v>6</v>
      </c>
      <c r="C76" s="9" t="s">
        <v>266</v>
      </c>
      <c r="D76" s="113" t="s">
        <v>325</v>
      </c>
      <c r="E76" s="11" t="s">
        <v>326</v>
      </c>
      <c r="F76" s="37" t="s">
        <v>327</v>
      </c>
      <c r="G76" s="38" t="s">
        <v>328</v>
      </c>
      <c r="H76" s="39" t="s">
        <v>104</v>
      </c>
      <c r="I76" s="39" t="s">
        <v>114</v>
      </c>
      <c r="J76" s="40"/>
      <c r="K76" s="41"/>
      <c r="L76" s="42"/>
      <c r="M76" s="43"/>
      <c r="N76" s="42"/>
      <c r="O76" s="44"/>
      <c r="P76" s="45" t="s">
        <v>329</v>
      </c>
    </row>
    <row r="77" spans="1:16" ht="43.5">
      <c r="A77" s="56" t="s">
        <v>265</v>
      </c>
      <c r="B77" s="57">
        <v>6</v>
      </c>
      <c r="C77" s="9" t="s">
        <v>266</v>
      </c>
      <c r="D77" s="113" t="s">
        <v>325</v>
      </c>
      <c r="E77" s="11" t="s">
        <v>326</v>
      </c>
      <c r="F77" s="37" t="s">
        <v>330</v>
      </c>
      <c r="G77" s="38" t="s">
        <v>331</v>
      </c>
      <c r="H77" s="39" t="s">
        <v>104</v>
      </c>
      <c r="I77" s="39" t="s">
        <v>114</v>
      </c>
      <c r="J77" s="40"/>
      <c r="K77" s="41"/>
      <c r="L77" s="42"/>
      <c r="M77" s="43"/>
      <c r="N77" s="42"/>
      <c r="O77" s="44"/>
      <c r="P77" s="45" t="s">
        <v>332</v>
      </c>
    </row>
    <row r="78" spans="1:16" ht="43.5">
      <c r="A78" s="56" t="s">
        <v>265</v>
      </c>
      <c r="B78" s="57">
        <v>6</v>
      </c>
      <c r="C78" s="9" t="s">
        <v>266</v>
      </c>
      <c r="D78" s="113" t="s">
        <v>325</v>
      </c>
      <c r="E78" s="11" t="s">
        <v>326</v>
      </c>
      <c r="F78" s="37" t="s">
        <v>333</v>
      </c>
      <c r="G78" s="38" t="s">
        <v>334</v>
      </c>
      <c r="H78" s="39" t="s">
        <v>104</v>
      </c>
      <c r="I78" s="39" t="s">
        <v>114</v>
      </c>
      <c r="J78" s="40"/>
      <c r="K78" s="41"/>
      <c r="L78" s="42"/>
      <c r="M78" s="43"/>
      <c r="N78" s="42"/>
      <c r="O78" s="44"/>
      <c r="P78" s="45"/>
    </row>
    <row r="79" spans="1:16" ht="43.5">
      <c r="A79" s="56" t="s">
        <v>265</v>
      </c>
      <c r="B79" s="57">
        <v>6</v>
      </c>
      <c r="C79" s="9" t="s">
        <v>266</v>
      </c>
      <c r="D79" s="113" t="s">
        <v>325</v>
      </c>
      <c r="E79" s="11" t="s">
        <v>326</v>
      </c>
      <c r="F79" s="37" t="s">
        <v>335</v>
      </c>
      <c r="G79" s="38" t="s">
        <v>336</v>
      </c>
      <c r="H79" s="39"/>
      <c r="I79" s="39"/>
      <c r="J79" s="40"/>
      <c r="K79" s="41"/>
      <c r="L79" s="42"/>
      <c r="M79" s="43"/>
      <c r="N79" s="42"/>
      <c r="O79" s="44"/>
      <c r="P79" s="45"/>
    </row>
    <row r="80" spans="1:16" ht="43.5">
      <c r="A80" s="56" t="s">
        <v>265</v>
      </c>
      <c r="B80" s="57">
        <v>6</v>
      </c>
      <c r="C80" s="9" t="s">
        <v>266</v>
      </c>
      <c r="D80" s="113" t="s">
        <v>325</v>
      </c>
      <c r="E80" s="11" t="s">
        <v>326</v>
      </c>
      <c r="F80" s="37" t="s">
        <v>337</v>
      </c>
      <c r="G80" s="38" t="s">
        <v>338</v>
      </c>
      <c r="H80" s="39" t="s">
        <v>104</v>
      </c>
      <c r="I80" s="39" t="s">
        <v>114</v>
      </c>
      <c r="J80" s="40"/>
      <c r="K80" s="41"/>
      <c r="L80" s="42"/>
      <c r="M80" s="43"/>
      <c r="N80" s="42"/>
      <c r="O80" s="44"/>
      <c r="P80" s="45" t="s">
        <v>339</v>
      </c>
    </row>
    <row r="81" spans="1:16" ht="43.5">
      <c r="A81" s="56" t="s">
        <v>265</v>
      </c>
      <c r="B81" s="57">
        <v>6</v>
      </c>
      <c r="C81" s="9" t="s">
        <v>266</v>
      </c>
      <c r="D81" s="113" t="s">
        <v>325</v>
      </c>
      <c r="E81" s="11" t="s">
        <v>326</v>
      </c>
      <c r="F81" s="37" t="s">
        <v>340</v>
      </c>
      <c r="G81" s="38" t="s">
        <v>341</v>
      </c>
      <c r="H81" s="39" t="s">
        <v>104</v>
      </c>
      <c r="I81" s="39" t="s">
        <v>114</v>
      </c>
      <c r="J81" s="40"/>
      <c r="K81" s="41"/>
      <c r="L81" s="42"/>
      <c r="M81" s="43"/>
      <c r="N81" s="42"/>
      <c r="O81" s="44" t="s">
        <v>115</v>
      </c>
      <c r="P81" s="45"/>
    </row>
    <row r="82" spans="1:16" ht="43.5">
      <c r="A82" s="60" t="s">
        <v>342</v>
      </c>
      <c r="B82" s="61">
        <v>7</v>
      </c>
      <c r="C82" s="10" t="s">
        <v>343</v>
      </c>
      <c r="D82" s="62" t="s">
        <v>344</v>
      </c>
      <c r="E82" s="63" t="s">
        <v>345</v>
      </c>
      <c r="F82" s="37" t="s">
        <v>346</v>
      </c>
      <c r="G82" s="38" t="s">
        <v>347</v>
      </c>
      <c r="H82" s="39" t="s">
        <v>104</v>
      </c>
      <c r="I82" s="39" t="s">
        <v>105</v>
      </c>
      <c r="J82" s="40"/>
      <c r="K82" s="41"/>
      <c r="L82" s="42"/>
      <c r="M82" s="43"/>
      <c r="N82" s="42"/>
      <c r="O82" s="44"/>
      <c r="P82" s="45"/>
    </row>
    <row r="83" spans="1:16" ht="43.5" customHeight="1">
      <c r="A83" s="60" t="s">
        <v>342</v>
      </c>
      <c r="B83" s="64">
        <v>8</v>
      </c>
      <c r="C83" s="65" t="s">
        <v>348</v>
      </c>
      <c r="D83" s="114" t="s">
        <v>349</v>
      </c>
      <c r="E83" s="115" t="s">
        <v>350</v>
      </c>
      <c r="F83" s="37" t="s">
        <v>351</v>
      </c>
      <c r="G83" s="38" t="s">
        <v>352</v>
      </c>
      <c r="H83" s="39" t="s">
        <v>104</v>
      </c>
      <c r="I83" s="39" t="s">
        <v>105</v>
      </c>
      <c r="J83" s="40"/>
      <c r="K83" s="41"/>
      <c r="L83" s="42"/>
      <c r="M83" s="43"/>
      <c r="N83" s="42"/>
      <c r="O83" s="44"/>
      <c r="P83" s="45"/>
    </row>
    <row r="84" spans="1:16" ht="72.5">
      <c r="A84" s="60" t="s">
        <v>342</v>
      </c>
      <c r="B84" s="64">
        <v>8</v>
      </c>
      <c r="C84" s="65" t="s">
        <v>348</v>
      </c>
      <c r="D84" s="114" t="s">
        <v>349</v>
      </c>
      <c r="E84" s="115" t="s">
        <v>350</v>
      </c>
      <c r="F84" s="37" t="s">
        <v>353</v>
      </c>
      <c r="G84" s="38" t="s">
        <v>354</v>
      </c>
      <c r="H84" s="39" t="s">
        <v>104</v>
      </c>
      <c r="I84" s="39" t="s">
        <v>105</v>
      </c>
      <c r="J84" s="40"/>
      <c r="K84" s="41"/>
      <c r="L84" s="42"/>
      <c r="M84" s="43"/>
      <c r="N84" s="42"/>
      <c r="O84" s="44"/>
      <c r="P84" s="45"/>
    </row>
    <row r="85" spans="1:16" ht="72.5">
      <c r="A85" s="60" t="s">
        <v>342</v>
      </c>
      <c r="B85" s="64">
        <v>8</v>
      </c>
      <c r="C85" s="65" t="s">
        <v>348</v>
      </c>
      <c r="D85" s="114" t="s">
        <v>349</v>
      </c>
      <c r="E85" s="115" t="s">
        <v>350</v>
      </c>
      <c r="F85" s="37" t="s">
        <v>355</v>
      </c>
      <c r="G85" s="38" t="s">
        <v>356</v>
      </c>
      <c r="H85" s="39" t="s">
        <v>126</v>
      </c>
      <c r="I85" s="39" t="s">
        <v>165</v>
      </c>
      <c r="J85" s="40"/>
      <c r="K85" s="41"/>
      <c r="L85" s="42"/>
      <c r="M85" s="43"/>
      <c r="N85" s="42"/>
      <c r="O85" s="44"/>
      <c r="P85" s="45"/>
    </row>
    <row r="86" spans="1:16" ht="72.5">
      <c r="A86" s="60" t="s">
        <v>342</v>
      </c>
      <c r="B86" s="64">
        <v>8</v>
      </c>
      <c r="C86" s="65" t="s">
        <v>348</v>
      </c>
      <c r="D86" s="62" t="s">
        <v>357</v>
      </c>
      <c r="E86" s="63" t="s">
        <v>358</v>
      </c>
      <c r="F86" s="39" t="s">
        <v>359</v>
      </c>
      <c r="G86" s="38" t="s">
        <v>360</v>
      </c>
      <c r="H86" s="44"/>
      <c r="I86" s="44"/>
      <c r="J86" s="40"/>
      <c r="K86" s="43"/>
      <c r="L86" s="42"/>
      <c r="M86" s="43"/>
      <c r="N86" s="42"/>
      <c r="O86" s="44" t="s">
        <v>115</v>
      </c>
      <c r="P86" s="45"/>
    </row>
    <row r="87" spans="1:16" ht="72.5">
      <c r="A87" s="60" t="s">
        <v>342</v>
      </c>
      <c r="B87" s="64">
        <v>8</v>
      </c>
      <c r="C87" s="65" t="s">
        <v>348</v>
      </c>
      <c r="D87" s="116" t="s">
        <v>361</v>
      </c>
      <c r="E87" s="63" t="s">
        <v>362</v>
      </c>
      <c r="F87" s="37" t="s">
        <v>363</v>
      </c>
      <c r="G87" s="38" t="s">
        <v>364</v>
      </c>
      <c r="H87" s="39" t="s">
        <v>104</v>
      </c>
      <c r="I87" s="39" t="s">
        <v>165</v>
      </c>
      <c r="J87" s="40"/>
      <c r="K87" s="41"/>
      <c r="L87" s="42"/>
      <c r="M87" s="43"/>
      <c r="N87" s="42"/>
      <c r="O87" s="44" t="s">
        <v>115</v>
      </c>
      <c r="P87" s="45" t="s">
        <v>365</v>
      </c>
    </row>
    <row r="88" spans="1:16" ht="72.5">
      <c r="A88" s="60" t="s">
        <v>342</v>
      </c>
      <c r="B88" s="64">
        <v>8</v>
      </c>
      <c r="C88" s="65" t="s">
        <v>348</v>
      </c>
      <c r="D88" s="116" t="s">
        <v>361</v>
      </c>
      <c r="E88" s="63" t="s">
        <v>362</v>
      </c>
      <c r="F88" s="37" t="s">
        <v>366</v>
      </c>
      <c r="G88" s="38" t="s">
        <v>367</v>
      </c>
      <c r="H88" s="39" t="s">
        <v>104</v>
      </c>
      <c r="I88" s="39" t="s">
        <v>114</v>
      </c>
      <c r="J88" s="40"/>
      <c r="K88" s="41"/>
      <c r="L88" s="42"/>
      <c r="M88" s="43"/>
      <c r="N88" s="42"/>
      <c r="O88" s="48" t="s">
        <v>368</v>
      </c>
      <c r="P88" s="45"/>
    </row>
    <row r="89" spans="1:16" ht="72.5">
      <c r="A89" s="60" t="s">
        <v>342</v>
      </c>
      <c r="B89" s="64">
        <v>8</v>
      </c>
      <c r="C89" s="65" t="s">
        <v>348</v>
      </c>
      <c r="D89" s="116" t="s">
        <v>361</v>
      </c>
      <c r="E89" s="63" t="s">
        <v>362</v>
      </c>
      <c r="F89" s="37" t="s">
        <v>369</v>
      </c>
      <c r="G89" s="38" t="s">
        <v>370</v>
      </c>
      <c r="H89" s="39" t="s">
        <v>104</v>
      </c>
      <c r="I89" s="39" t="s">
        <v>165</v>
      </c>
      <c r="J89" s="40"/>
      <c r="K89" s="41"/>
      <c r="L89" s="46"/>
      <c r="M89" s="43"/>
      <c r="N89" s="42"/>
      <c r="O89" s="44"/>
      <c r="P89" s="45"/>
    </row>
    <row r="90" spans="1:16" ht="72.5">
      <c r="A90" s="60" t="s">
        <v>342</v>
      </c>
      <c r="B90" s="64">
        <v>8</v>
      </c>
      <c r="C90" s="65" t="s">
        <v>348</v>
      </c>
      <c r="D90" s="116" t="s">
        <v>361</v>
      </c>
      <c r="E90" s="63" t="s">
        <v>362</v>
      </c>
      <c r="F90" s="37" t="s">
        <v>371</v>
      </c>
      <c r="G90" s="38" t="s">
        <v>372</v>
      </c>
      <c r="H90" s="39" t="s">
        <v>104</v>
      </c>
      <c r="I90" s="39" t="s">
        <v>165</v>
      </c>
      <c r="J90" s="40"/>
      <c r="K90" s="41"/>
      <c r="L90" s="42"/>
      <c r="M90" s="43"/>
      <c r="N90" s="42"/>
      <c r="O90" s="48" t="s">
        <v>368</v>
      </c>
      <c r="P90" s="45"/>
    </row>
    <row r="91" spans="1:16" ht="72.5">
      <c r="A91" s="60" t="s">
        <v>342</v>
      </c>
      <c r="B91" s="64">
        <v>8</v>
      </c>
      <c r="C91" s="65" t="s">
        <v>348</v>
      </c>
      <c r="D91" s="116" t="s">
        <v>361</v>
      </c>
      <c r="E91" s="63" t="s">
        <v>362</v>
      </c>
      <c r="F91" s="37" t="s">
        <v>373</v>
      </c>
      <c r="G91" s="38" t="s">
        <v>374</v>
      </c>
      <c r="H91" s="39" t="s">
        <v>104</v>
      </c>
      <c r="I91" s="39" t="s">
        <v>165</v>
      </c>
      <c r="J91" s="40"/>
      <c r="K91" s="41"/>
      <c r="L91" s="42"/>
      <c r="M91" s="43"/>
      <c r="N91" s="42"/>
      <c r="O91" s="48" t="s">
        <v>115</v>
      </c>
      <c r="P91" s="45"/>
    </row>
    <row r="92" spans="1:16" ht="72.5">
      <c r="A92" s="60" t="s">
        <v>342</v>
      </c>
      <c r="B92" s="64">
        <v>8</v>
      </c>
      <c r="C92" s="65" t="s">
        <v>348</v>
      </c>
      <c r="D92" s="116" t="s">
        <v>361</v>
      </c>
      <c r="E92" s="63" t="s">
        <v>362</v>
      </c>
      <c r="F92" s="37" t="s">
        <v>375</v>
      </c>
      <c r="G92" s="38" t="s">
        <v>376</v>
      </c>
      <c r="H92" s="39" t="s">
        <v>104</v>
      </c>
      <c r="I92" s="39" t="s">
        <v>165</v>
      </c>
      <c r="J92" s="40"/>
      <c r="K92" s="41"/>
      <c r="L92" s="46"/>
      <c r="M92" s="43"/>
      <c r="N92" s="42"/>
      <c r="O92" s="44"/>
      <c r="P92" s="45"/>
    </row>
    <row r="93" spans="1:16" ht="72.5">
      <c r="A93" s="60" t="s">
        <v>342</v>
      </c>
      <c r="B93" s="64">
        <v>8</v>
      </c>
      <c r="C93" s="65" t="s">
        <v>348</v>
      </c>
      <c r="D93" s="116" t="s">
        <v>377</v>
      </c>
      <c r="E93" s="63" t="s">
        <v>378</v>
      </c>
      <c r="F93" s="37" t="s">
        <v>379</v>
      </c>
      <c r="G93" s="38" t="s">
        <v>380</v>
      </c>
      <c r="H93" s="39" t="s">
        <v>104</v>
      </c>
      <c r="I93" s="39" t="s">
        <v>114</v>
      </c>
      <c r="J93" s="40"/>
      <c r="K93" s="41"/>
      <c r="L93" s="42"/>
      <c r="M93" s="43"/>
      <c r="N93" s="42"/>
      <c r="O93" s="44" t="s">
        <v>106</v>
      </c>
      <c r="P93" s="45"/>
    </row>
    <row r="94" spans="1:16" ht="72.5">
      <c r="A94" s="60" t="s">
        <v>342</v>
      </c>
      <c r="B94" s="64">
        <v>8</v>
      </c>
      <c r="C94" s="65" t="s">
        <v>348</v>
      </c>
      <c r="D94" s="116" t="s">
        <v>377</v>
      </c>
      <c r="E94" s="63" t="s">
        <v>378</v>
      </c>
      <c r="F94" s="37" t="s">
        <v>381</v>
      </c>
      <c r="G94" s="38" t="s">
        <v>382</v>
      </c>
      <c r="H94" s="39" t="s">
        <v>104</v>
      </c>
      <c r="I94" s="39" t="s">
        <v>114</v>
      </c>
      <c r="J94" s="40"/>
      <c r="K94" s="41"/>
      <c r="L94" s="42"/>
      <c r="M94" s="43"/>
      <c r="N94" s="42"/>
      <c r="O94" s="44" t="s">
        <v>106</v>
      </c>
      <c r="P94" s="45"/>
    </row>
    <row r="95" spans="1:16" ht="72.5">
      <c r="A95" s="60" t="s">
        <v>342</v>
      </c>
      <c r="B95" s="64">
        <v>8</v>
      </c>
      <c r="C95" s="65" t="s">
        <v>348</v>
      </c>
      <c r="D95" s="116" t="s">
        <v>377</v>
      </c>
      <c r="E95" s="63" t="s">
        <v>378</v>
      </c>
      <c r="F95" s="37" t="s">
        <v>383</v>
      </c>
      <c r="G95" s="38" t="s">
        <v>384</v>
      </c>
      <c r="H95" s="39" t="s">
        <v>104</v>
      </c>
      <c r="I95" s="39" t="s">
        <v>114</v>
      </c>
      <c r="J95" s="40"/>
      <c r="K95" s="41"/>
      <c r="L95" s="42"/>
      <c r="M95" s="43"/>
      <c r="N95" s="42"/>
      <c r="O95" s="44"/>
      <c r="P95" s="45"/>
    </row>
    <row r="96" spans="1:16" ht="43.5">
      <c r="A96" s="60" t="s">
        <v>342</v>
      </c>
      <c r="B96" s="64">
        <v>9</v>
      </c>
      <c r="C96" s="65" t="s">
        <v>385</v>
      </c>
      <c r="D96" s="114" t="s">
        <v>386</v>
      </c>
      <c r="E96" s="115" t="s">
        <v>387</v>
      </c>
      <c r="F96" s="37" t="s">
        <v>388</v>
      </c>
      <c r="G96" s="38" t="s">
        <v>389</v>
      </c>
      <c r="H96" s="39" t="s">
        <v>104</v>
      </c>
      <c r="I96" s="39" t="s">
        <v>165</v>
      </c>
      <c r="J96" s="40"/>
      <c r="K96" s="41"/>
      <c r="L96" s="46"/>
      <c r="M96" s="43"/>
      <c r="N96" s="42"/>
      <c r="O96" s="44" t="s">
        <v>115</v>
      </c>
      <c r="P96" s="45"/>
    </row>
    <row r="97" spans="1:16" ht="43.5">
      <c r="A97" s="60" t="s">
        <v>342</v>
      </c>
      <c r="B97" s="64">
        <v>9</v>
      </c>
      <c r="C97" s="65" t="s">
        <v>385</v>
      </c>
      <c r="D97" s="114" t="s">
        <v>386</v>
      </c>
      <c r="E97" s="115" t="s">
        <v>387</v>
      </c>
      <c r="F97" s="37" t="s">
        <v>390</v>
      </c>
      <c r="G97" s="38" t="s">
        <v>391</v>
      </c>
      <c r="H97" s="39" t="s">
        <v>104</v>
      </c>
      <c r="I97" s="39" t="s">
        <v>165</v>
      </c>
      <c r="J97" s="40"/>
      <c r="K97" s="41"/>
      <c r="L97" s="46"/>
      <c r="M97" s="43"/>
      <c r="N97" s="42"/>
      <c r="O97" s="44"/>
      <c r="P97" s="45"/>
    </row>
    <row r="98" spans="1:16" ht="43.5">
      <c r="A98" s="60" t="s">
        <v>342</v>
      </c>
      <c r="B98" s="64">
        <v>9</v>
      </c>
      <c r="C98" s="65" t="s">
        <v>385</v>
      </c>
      <c r="D98" s="114" t="s">
        <v>392</v>
      </c>
      <c r="E98" s="115" t="s">
        <v>393</v>
      </c>
      <c r="F98" s="37" t="s">
        <v>394</v>
      </c>
      <c r="G98" s="38" t="s">
        <v>395</v>
      </c>
      <c r="H98" s="39" t="s">
        <v>104</v>
      </c>
      <c r="I98" s="39" t="s">
        <v>165</v>
      </c>
      <c r="J98" s="40"/>
      <c r="K98" s="41"/>
      <c r="L98" s="46"/>
      <c r="M98" s="43"/>
      <c r="N98" s="42"/>
      <c r="O98" s="44" t="s">
        <v>115</v>
      </c>
      <c r="P98" s="45"/>
    </row>
    <row r="99" spans="1:16" ht="43.5">
      <c r="A99" s="60" t="s">
        <v>342</v>
      </c>
      <c r="B99" s="64">
        <v>9</v>
      </c>
      <c r="C99" s="65" t="s">
        <v>385</v>
      </c>
      <c r="D99" s="114" t="s">
        <v>392</v>
      </c>
      <c r="E99" s="115" t="s">
        <v>393</v>
      </c>
      <c r="F99" s="37" t="s">
        <v>396</v>
      </c>
      <c r="G99" s="38" t="s">
        <v>397</v>
      </c>
      <c r="H99" s="39" t="s">
        <v>104</v>
      </c>
      <c r="I99" s="39" t="s">
        <v>165</v>
      </c>
      <c r="J99" s="40"/>
      <c r="K99" s="41"/>
      <c r="L99" s="42"/>
      <c r="M99" s="43"/>
      <c r="N99" s="42"/>
      <c r="O99" s="44" t="s">
        <v>115</v>
      </c>
      <c r="P99" s="45"/>
    </row>
    <row r="100" spans="1:16" ht="58">
      <c r="A100" s="66" t="s">
        <v>398</v>
      </c>
      <c r="B100" s="67">
        <v>10</v>
      </c>
      <c r="C100" s="68" t="s">
        <v>399</v>
      </c>
      <c r="D100" s="69" t="s">
        <v>400</v>
      </c>
      <c r="E100" s="70" t="s">
        <v>401</v>
      </c>
      <c r="F100" s="37" t="s">
        <v>402</v>
      </c>
      <c r="G100" s="38" t="s">
        <v>403</v>
      </c>
      <c r="H100" s="39" t="s">
        <v>104</v>
      </c>
      <c r="I100" s="39" t="s">
        <v>114</v>
      </c>
      <c r="J100" s="40"/>
      <c r="K100" s="41"/>
      <c r="L100" s="71"/>
      <c r="M100" s="43"/>
      <c r="N100" s="71"/>
      <c r="O100" s="44"/>
      <c r="P100" s="45" t="s">
        <v>404</v>
      </c>
    </row>
    <row r="101" spans="1:16" ht="28.9" customHeight="1">
      <c r="A101" s="66" t="s">
        <v>398</v>
      </c>
      <c r="B101" s="72">
        <v>11</v>
      </c>
      <c r="C101" s="137" t="s">
        <v>405</v>
      </c>
      <c r="D101" s="117" t="s">
        <v>406</v>
      </c>
      <c r="E101" s="118" t="s">
        <v>407</v>
      </c>
      <c r="F101" s="37" t="s">
        <v>408</v>
      </c>
      <c r="G101" s="38" t="s">
        <v>409</v>
      </c>
      <c r="H101" s="39" t="s">
        <v>104</v>
      </c>
      <c r="I101" s="39" t="s">
        <v>114</v>
      </c>
      <c r="J101" s="40"/>
      <c r="K101" s="41"/>
      <c r="L101" s="40"/>
      <c r="M101" s="43"/>
      <c r="N101" s="40"/>
      <c r="O101" s="44"/>
      <c r="P101" s="45" t="s">
        <v>404</v>
      </c>
    </row>
    <row r="102" spans="1:16" ht="43.5">
      <c r="A102" s="66" t="s">
        <v>398</v>
      </c>
      <c r="B102" s="72">
        <v>11</v>
      </c>
      <c r="C102" s="137" t="s">
        <v>405</v>
      </c>
      <c r="D102" s="117" t="s">
        <v>406</v>
      </c>
      <c r="E102" s="118" t="s">
        <v>407</v>
      </c>
      <c r="F102" s="37" t="s">
        <v>410</v>
      </c>
      <c r="G102" s="38" t="s">
        <v>411</v>
      </c>
      <c r="H102" s="39" t="s">
        <v>104</v>
      </c>
      <c r="I102" s="39" t="s">
        <v>114</v>
      </c>
      <c r="J102" s="40"/>
      <c r="K102" s="41"/>
      <c r="L102" s="40"/>
      <c r="M102" s="43"/>
      <c r="N102" s="40"/>
      <c r="O102" s="44"/>
      <c r="P102" s="45" t="s">
        <v>404</v>
      </c>
    </row>
    <row r="103" spans="1:16" ht="43.5">
      <c r="A103" s="66" t="s">
        <v>398</v>
      </c>
      <c r="B103" s="72">
        <v>11</v>
      </c>
      <c r="C103" s="137" t="s">
        <v>405</v>
      </c>
      <c r="D103" s="117" t="s">
        <v>406</v>
      </c>
      <c r="E103" s="118" t="s">
        <v>407</v>
      </c>
      <c r="F103" s="37" t="s">
        <v>412</v>
      </c>
      <c r="G103" s="38" t="s">
        <v>413</v>
      </c>
      <c r="H103" s="39" t="s">
        <v>126</v>
      </c>
      <c r="I103" s="39" t="s">
        <v>114</v>
      </c>
      <c r="J103" s="40"/>
      <c r="K103" s="41"/>
      <c r="L103" s="40"/>
      <c r="M103" s="43"/>
      <c r="N103" s="40"/>
      <c r="O103" s="44"/>
      <c r="P103" s="45" t="s">
        <v>404</v>
      </c>
    </row>
    <row r="104" spans="1:16" ht="43.5">
      <c r="A104" s="66" t="s">
        <v>398</v>
      </c>
      <c r="B104" s="72">
        <v>11</v>
      </c>
      <c r="C104" s="137" t="s">
        <v>405</v>
      </c>
      <c r="D104" s="117" t="s">
        <v>406</v>
      </c>
      <c r="E104" s="118" t="s">
        <v>407</v>
      </c>
      <c r="F104" s="37" t="s">
        <v>414</v>
      </c>
      <c r="G104" s="38" t="s">
        <v>415</v>
      </c>
      <c r="H104" s="39" t="s">
        <v>104</v>
      </c>
      <c r="I104" s="39" t="s">
        <v>114</v>
      </c>
      <c r="J104" s="40"/>
      <c r="K104" s="41"/>
      <c r="L104" s="40"/>
      <c r="M104" s="43"/>
      <c r="N104" s="40"/>
      <c r="O104" s="44"/>
      <c r="P104" s="45" t="s">
        <v>404</v>
      </c>
    </row>
    <row r="105" spans="1:16" ht="43.5">
      <c r="A105" s="66" t="s">
        <v>398</v>
      </c>
      <c r="B105" s="72">
        <v>11</v>
      </c>
      <c r="C105" s="137" t="s">
        <v>405</v>
      </c>
      <c r="D105" s="117" t="s">
        <v>406</v>
      </c>
      <c r="E105" s="118" t="s">
        <v>407</v>
      </c>
      <c r="F105" s="37" t="s">
        <v>416</v>
      </c>
      <c r="G105" s="38" t="s">
        <v>417</v>
      </c>
      <c r="H105" s="39" t="s">
        <v>104</v>
      </c>
      <c r="I105" s="39" t="s">
        <v>114</v>
      </c>
      <c r="J105" s="40"/>
      <c r="K105" s="41"/>
      <c r="L105" s="40"/>
      <c r="M105" s="43"/>
      <c r="N105" s="40"/>
      <c r="O105" s="44"/>
      <c r="P105" s="45" t="s">
        <v>404</v>
      </c>
    </row>
    <row r="106" spans="1:16" ht="43.5">
      <c r="A106" s="66" t="s">
        <v>398</v>
      </c>
      <c r="B106" s="72">
        <v>11</v>
      </c>
      <c r="C106" s="137" t="s">
        <v>405</v>
      </c>
      <c r="D106" s="117" t="s">
        <v>406</v>
      </c>
      <c r="E106" s="118" t="s">
        <v>407</v>
      </c>
      <c r="F106" s="37" t="s">
        <v>418</v>
      </c>
      <c r="G106" s="38" t="s">
        <v>419</v>
      </c>
      <c r="H106" s="39" t="s">
        <v>104</v>
      </c>
      <c r="I106" s="39" t="s">
        <v>114</v>
      </c>
      <c r="J106" s="40"/>
      <c r="K106" s="41"/>
      <c r="L106" s="40"/>
      <c r="M106" s="43"/>
      <c r="N106" s="40"/>
      <c r="O106" s="44"/>
      <c r="P106" s="45" t="s">
        <v>404</v>
      </c>
    </row>
    <row r="107" spans="1:16" ht="43.5">
      <c r="A107" s="66" t="s">
        <v>398</v>
      </c>
      <c r="B107" s="72">
        <v>11</v>
      </c>
      <c r="C107" s="137" t="s">
        <v>405</v>
      </c>
      <c r="D107" s="117" t="s">
        <v>406</v>
      </c>
      <c r="E107" s="118" t="s">
        <v>407</v>
      </c>
      <c r="F107" s="37" t="s">
        <v>420</v>
      </c>
      <c r="G107" s="38" t="s">
        <v>421</v>
      </c>
      <c r="H107" s="39" t="s">
        <v>126</v>
      </c>
      <c r="I107" s="39" t="s">
        <v>114</v>
      </c>
      <c r="J107" s="40"/>
      <c r="K107" s="41"/>
      <c r="L107" s="40"/>
      <c r="M107" s="43"/>
      <c r="N107" s="40"/>
      <c r="O107" s="44"/>
      <c r="P107" s="45" t="s">
        <v>404</v>
      </c>
    </row>
    <row r="108" spans="1:16" ht="43.5">
      <c r="A108" s="66" t="s">
        <v>398</v>
      </c>
      <c r="B108" s="72">
        <v>11</v>
      </c>
      <c r="C108" s="137" t="s">
        <v>405</v>
      </c>
      <c r="D108" s="117" t="s">
        <v>406</v>
      </c>
      <c r="E108" s="118" t="s">
        <v>407</v>
      </c>
      <c r="F108" s="37" t="s">
        <v>422</v>
      </c>
      <c r="G108" s="38" t="s">
        <v>423</v>
      </c>
      <c r="H108" s="39" t="s">
        <v>126</v>
      </c>
      <c r="I108" s="39" t="s">
        <v>114</v>
      </c>
      <c r="J108" s="40"/>
      <c r="K108" s="41"/>
      <c r="L108" s="40"/>
      <c r="M108" s="43"/>
      <c r="N108" s="40"/>
      <c r="O108" s="44"/>
      <c r="P108" s="45" t="s">
        <v>404</v>
      </c>
    </row>
    <row r="109" spans="1:16" ht="43.5">
      <c r="A109" s="66" t="s">
        <v>398</v>
      </c>
      <c r="B109" s="72">
        <v>11</v>
      </c>
      <c r="C109" s="137" t="s">
        <v>405</v>
      </c>
      <c r="D109" s="117" t="s">
        <v>406</v>
      </c>
      <c r="E109" s="118" t="s">
        <v>407</v>
      </c>
      <c r="F109" s="37" t="s">
        <v>424</v>
      </c>
      <c r="G109" s="38" t="s">
        <v>425</v>
      </c>
      <c r="H109" s="39" t="s">
        <v>126</v>
      </c>
      <c r="I109" s="39" t="s">
        <v>114</v>
      </c>
      <c r="J109" s="40"/>
      <c r="K109" s="41"/>
      <c r="L109" s="40"/>
      <c r="M109" s="43"/>
      <c r="N109" s="40"/>
      <c r="O109" s="44"/>
      <c r="P109" s="45" t="s">
        <v>404</v>
      </c>
    </row>
    <row r="110" spans="1:16" ht="43.5">
      <c r="A110" s="66" t="s">
        <v>398</v>
      </c>
      <c r="B110" s="72">
        <v>11</v>
      </c>
      <c r="C110" s="137" t="s">
        <v>405</v>
      </c>
      <c r="D110" s="117" t="s">
        <v>406</v>
      </c>
      <c r="E110" s="118" t="s">
        <v>407</v>
      </c>
      <c r="F110" s="37" t="s">
        <v>426</v>
      </c>
      <c r="G110" s="38" t="s">
        <v>427</v>
      </c>
      <c r="H110" s="39" t="s">
        <v>126</v>
      </c>
      <c r="I110" s="39" t="s">
        <v>114</v>
      </c>
      <c r="J110" s="40"/>
      <c r="K110" s="41"/>
      <c r="L110" s="40"/>
      <c r="M110" s="43"/>
      <c r="N110" s="40"/>
      <c r="O110" s="44"/>
      <c r="P110" s="45" t="s">
        <v>404</v>
      </c>
    </row>
    <row r="111" spans="1:16" ht="43.5">
      <c r="A111" s="66" t="s">
        <v>398</v>
      </c>
      <c r="B111" s="72">
        <v>11</v>
      </c>
      <c r="C111" s="137" t="s">
        <v>405</v>
      </c>
      <c r="D111" s="117" t="s">
        <v>406</v>
      </c>
      <c r="E111" s="118" t="s">
        <v>407</v>
      </c>
      <c r="F111" s="37" t="s">
        <v>428</v>
      </c>
      <c r="G111" s="38" t="s">
        <v>429</v>
      </c>
      <c r="H111" s="39" t="s">
        <v>104</v>
      </c>
      <c r="I111" s="39" t="s">
        <v>114</v>
      </c>
      <c r="J111" s="40"/>
      <c r="K111" s="41"/>
      <c r="L111" s="40"/>
      <c r="M111" s="43"/>
      <c r="N111" s="40"/>
      <c r="O111" s="44"/>
      <c r="P111" s="45" t="s">
        <v>404</v>
      </c>
    </row>
    <row r="112" spans="1:16" ht="43.5">
      <c r="A112" s="66" t="s">
        <v>398</v>
      </c>
      <c r="B112" s="72">
        <v>11</v>
      </c>
      <c r="C112" s="137" t="s">
        <v>405</v>
      </c>
      <c r="D112" s="117" t="s">
        <v>406</v>
      </c>
      <c r="E112" s="118" t="s">
        <v>407</v>
      </c>
      <c r="F112" s="37" t="s">
        <v>430</v>
      </c>
      <c r="G112" s="38" t="s">
        <v>431</v>
      </c>
      <c r="H112" s="39" t="s">
        <v>104</v>
      </c>
      <c r="I112" s="39" t="s">
        <v>114</v>
      </c>
      <c r="J112" s="40"/>
      <c r="K112" s="41"/>
      <c r="L112" s="40"/>
      <c r="M112" s="43"/>
      <c r="N112" s="40"/>
      <c r="O112" s="44"/>
      <c r="P112" s="45" t="s">
        <v>404</v>
      </c>
    </row>
    <row r="113" spans="1:16" ht="43.5">
      <c r="A113" s="66" t="s">
        <v>398</v>
      </c>
      <c r="B113" s="72">
        <v>11</v>
      </c>
      <c r="C113" s="137" t="s">
        <v>405</v>
      </c>
      <c r="D113" s="117" t="s">
        <v>432</v>
      </c>
      <c r="E113" s="119" t="s">
        <v>433</v>
      </c>
      <c r="F113" s="39" t="s">
        <v>434</v>
      </c>
      <c r="G113" s="38" t="s">
        <v>435</v>
      </c>
      <c r="H113" s="39" t="s">
        <v>104</v>
      </c>
      <c r="I113" s="39" t="s">
        <v>114</v>
      </c>
      <c r="J113" s="40"/>
      <c r="K113" s="41"/>
      <c r="L113" s="42"/>
      <c r="M113" s="43"/>
      <c r="N113" s="42"/>
      <c r="O113" s="44"/>
      <c r="P113" s="38" t="s">
        <v>436</v>
      </c>
    </row>
    <row r="114" spans="1:16" ht="43.5">
      <c r="A114" s="66" t="s">
        <v>398</v>
      </c>
      <c r="B114" s="72">
        <v>11</v>
      </c>
      <c r="C114" s="137" t="s">
        <v>405</v>
      </c>
      <c r="D114" s="117" t="s">
        <v>432</v>
      </c>
      <c r="E114" s="119" t="s">
        <v>433</v>
      </c>
      <c r="F114" s="39" t="s">
        <v>437</v>
      </c>
      <c r="G114" s="38" t="s">
        <v>438</v>
      </c>
      <c r="H114" s="39" t="s">
        <v>104</v>
      </c>
      <c r="I114" s="39" t="s">
        <v>114</v>
      </c>
      <c r="J114" s="40"/>
      <c r="K114" s="41"/>
      <c r="L114" s="42"/>
      <c r="M114" s="43"/>
      <c r="N114" s="42"/>
      <c r="O114" s="44"/>
      <c r="P114" s="38" t="s">
        <v>439</v>
      </c>
    </row>
    <row r="115" spans="1:16" ht="14.65" customHeight="1">
      <c r="A115" s="66" t="s">
        <v>398</v>
      </c>
      <c r="B115" s="72">
        <v>11</v>
      </c>
      <c r="C115" s="137" t="s">
        <v>405</v>
      </c>
      <c r="D115" s="117" t="s">
        <v>440</v>
      </c>
      <c r="E115" s="118" t="s">
        <v>441</v>
      </c>
      <c r="F115" s="37" t="s">
        <v>442</v>
      </c>
      <c r="G115" s="38" t="s">
        <v>443</v>
      </c>
      <c r="H115" s="39" t="s">
        <v>104</v>
      </c>
      <c r="I115" s="39" t="s">
        <v>114</v>
      </c>
      <c r="J115" s="40"/>
      <c r="K115" s="41"/>
      <c r="L115" s="40"/>
      <c r="M115" s="43"/>
      <c r="N115" s="40"/>
      <c r="O115" s="44"/>
      <c r="P115" s="45" t="s">
        <v>404</v>
      </c>
    </row>
    <row r="116" spans="1:16" ht="43.5">
      <c r="A116" s="66" t="s">
        <v>398</v>
      </c>
      <c r="B116" s="72">
        <v>11</v>
      </c>
      <c r="C116" s="137" t="s">
        <v>405</v>
      </c>
      <c r="D116" s="117" t="s">
        <v>440</v>
      </c>
      <c r="E116" s="118" t="s">
        <v>441</v>
      </c>
      <c r="F116" s="37" t="s">
        <v>444</v>
      </c>
      <c r="G116" s="38" t="s">
        <v>445</v>
      </c>
      <c r="H116" s="39" t="s">
        <v>104</v>
      </c>
      <c r="I116" s="39" t="s">
        <v>114</v>
      </c>
      <c r="J116" s="40"/>
      <c r="K116" s="41"/>
      <c r="L116" s="40"/>
      <c r="M116" s="43"/>
      <c r="N116" s="40"/>
      <c r="O116" s="44"/>
      <c r="P116" s="45" t="s">
        <v>404</v>
      </c>
    </row>
    <row r="117" spans="1:16" ht="43.5">
      <c r="A117" s="66" t="s">
        <v>398</v>
      </c>
      <c r="B117" s="72">
        <v>11</v>
      </c>
      <c r="C117" s="137" t="s">
        <v>405</v>
      </c>
      <c r="D117" s="117" t="s">
        <v>440</v>
      </c>
      <c r="E117" s="118" t="s">
        <v>441</v>
      </c>
      <c r="F117" s="37" t="s">
        <v>446</v>
      </c>
      <c r="G117" s="38" t="s">
        <v>447</v>
      </c>
      <c r="H117" s="39" t="s">
        <v>126</v>
      </c>
      <c r="I117" s="39" t="s">
        <v>114</v>
      </c>
      <c r="J117" s="40"/>
      <c r="K117" s="41"/>
      <c r="L117" s="40"/>
      <c r="M117" s="43"/>
      <c r="N117" s="40"/>
      <c r="O117" s="44"/>
      <c r="P117" s="45" t="s">
        <v>404</v>
      </c>
    </row>
    <row r="118" spans="1:16" ht="43.5">
      <c r="A118" s="66" t="s">
        <v>398</v>
      </c>
      <c r="B118" s="72">
        <v>11</v>
      </c>
      <c r="C118" s="137" t="s">
        <v>405</v>
      </c>
      <c r="D118" s="117" t="s">
        <v>440</v>
      </c>
      <c r="E118" s="118" t="s">
        <v>441</v>
      </c>
      <c r="F118" s="37" t="s">
        <v>448</v>
      </c>
      <c r="G118" s="38" t="s">
        <v>449</v>
      </c>
      <c r="H118" s="39" t="s">
        <v>104</v>
      </c>
      <c r="I118" s="39" t="s">
        <v>114</v>
      </c>
      <c r="J118" s="40"/>
      <c r="K118" s="41"/>
      <c r="L118" s="40"/>
      <c r="M118" s="43"/>
      <c r="N118" s="40"/>
      <c r="O118" s="44"/>
      <c r="P118" s="45" t="s">
        <v>404</v>
      </c>
    </row>
    <row r="119" spans="1:16" ht="43.5">
      <c r="A119" s="66" t="s">
        <v>398</v>
      </c>
      <c r="B119" s="72">
        <v>11</v>
      </c>
      <c r="C119" s="137" t="s">
        <v>405</v>
      </c>
      <c r="D119" s="117" t="s">
        <v>440</v>
      </c>
      <c r="E119" s="118" t="s">
        <v>441</v>
      </c>
      <c r="F119" s="37" t="s">
        <v>450</v>
      </c>
      <c r="G119" s="38" t="s">
        <v>451</v>
      </c>
      <c r="H119" s="39" t="s">
        <v>104</v>
      </c>
      <c r="I119" s="39" t="s">
        <v>114</v>
      </c>
      <c r="J119" s="40"/>
      <c r="K119" s="41"/>
      <c r="L119" s="40"/>
      <c r="M119" s="43"/>
      <c r="N119" s="40"/>
      <c r="O119" s="44"/>
      <c r="P119" s="45" t="s">
        <v>404</v>
      </c>
    </row>
    <row r="120" spans="1:16" ht="43.5">
      <c r="A120" s="66" t="s">
        <v>398</v>
      </c>
      <c r="B120" s="72">
        <v>11</v>
      </c>
      <c r="C120" s="137" t="s">
        <v>405</v>
      </c>
      <c r="D120" s="117" t="s">
        <v>452</v>
      </c>
      <c r="E120" s="118" t="s">
        <v>453</v>
      </c>
      <c r="F120" s="37" t="s">
        <v>454</v>
      </c>
      <c r="G120" s="38" t="s">
        <v>455</v>
      </c>
      <c r="H120" s="39" t="s">
        <v>104</v>
      </c>
      <c r="I120" s="39" t="s">
        <v>114</v>
      </c>
      <c r="J120" s="40"/>
      <c r="K120" s="41"/>
      <c r="L120" s="42"/>
      <c r="M120" s="43"/>
      <c r="N120" s="42"/>
      <c r="O120" s="44"/>
      <c r="P120" s="45"/>
    </row>
    <row r="121" spans="1:16" ht="43.5">
      <c r="A121" s="66" t="s">
        <v>398</v>
      </c>
      <c r="B121" s="72">
        <v>11</v>
      </c>
      <c r="C121" s="137" t="s">
        <v>405</v>
      </c>
      <c r="D121" s="117" t="s">
        <v>452</v>
      </c>
      <c r="E121" s="118" t="s">
        <v>453</v>
      </c>
      <c r="F121" s="37" t="s">
        <v>456</v>
      </c>
      <c r="G121" s="38" t="s">
        <v>457</v>
      </c>
      <c r="H121" s="39" t="s">
        <v>104</v>
      </c>
      <c r="I121" s="39" t="s">
        <v>114</v>
      </c>
      <c r="J121" s="40"/>
      <c r="K121" s="41"/>
      <c r="L121" s="73"/>
      <c r="M121" s="43"/>
      <c r="N121" s="74"/>
      <c r="O121" s="44"/>
      <c r="P121" s="45"/>
    </row>
    <row r="122" spans="1:16" ht="43.5">
      <c r="A122" s="66" t="s">
        <v>398</v>
      </c>
      <c r="B122" s="72">
        <v>11</v>
      </c>
      <c r="C122" s="137" t="s">
        <v>405</v>
      </c>
      <c r="D122" s="117" t="s">
        <v>458</v>
      </c>
      <c r="E122" s="118" t="s">
        <v>459</v>
      </c>
      <c r="F122" s="37" t="s">
        <v>460</v>
      </c>
      <c r="G122" s="38" t="s">
        <v>461</v>
      </c>
      <c r="H122" s="39" t="s">
        <v>104</v>
      </c>
      <c r="I122" s="39" t="s">
        <v>114</v>
      </c>
      <c r="J122" s="40"/>
      <c r="K122" s="41"/>
      <c r="L122" s="46"/>
      <c r="M122" s="43"/>
      <c r="N122" s="42"/>
      <c r="O122" s="44"/>
      <c r="P122" s="45"/>
    </row>
    <row r="123" spans="1:16" ht="43.5">
      <c r="A123" s="66" t="s">
        <v>398</v>
      </c>
      <c r="B123" s="72">
        <v>11</v>
      </c>
      <c r="C123" s="137" t="s">
        <v>405</v>
      </c>
      <c r="D123" s="117" t="s">
        <v>458</v>
      </c>
      <c r="E123" s="118" t="s">
        <v>459</v>
      </c>
      <c r="F123" s="37" t="s">
        <v>462</v>
      </c>
      <c r="G123" s="38" t="s">
        <v>463</v>
      </c>
      <c r="H123" s="39" t="s">
        <v>104</v>
      </c>
      <c r="I123" s="39" t="s">
        <v>114</v>
      </c>
      <c r="J123" s="40"/>
      <c r="K123" s="41"/>
      <c r="L123" s="42"/>
      <c r="M123" s="43"/>
      <c r="N123" s="42"/>
      <c r="O123" s="48" t="s">
        <v>122</v>
      </c>
      <c r="P123" s="38" t="s">
        <v>464</v>
      </c>
    </row>
    <row r="124" spans="1:16" ht="43.5">
      <c r="A124" s="66" t="s">
        <v>398</v>
      </c>
      <c r="B124" s="72">
        <v>11</v>
      </c>
      <c r="C124" s="137" t="s">
        <v>405</v>
      </c>
      <c r="D124" s="117" t="s">
        <v>465</v>
      </c>
      <c r="E124" s="118" t="s">
        <v>466</v>
      </c>
      <c r="F124" s="37" t="s">
        <v>467</v>
      </c>
      <c r="G124" s="38" t="s">
        <v>468</v>
      </c>
      <c r="H124" s="39" t="s">
        <v>104</v>
      </c>
      <c r="I124" s="39" t="s">
        <v>165</v>
      </c>
      <c r="J124" s="40"/>
      <c r="K124" s="41"/>
      <c r="L124" s="42"/>
      <c r="M124" s="43"/>
      <c r="N124" s="42"/>
      <c r="O124" s="44"/>
      <c r="P124" s="45"/>
    </row>
    <row r="125" spans="1:16" ht="43.5">
      <c r="A125" s="66" t="s">
        <v>398</v>
      </c>
      <c r="B125" s="72">
        <v>11</v>
      </c>
      <c r="C125" s="137" t="s">
        <v>405</v>
      </c>
      <c r="D125" s="117" t="s">
        <v>465</v>
      </c>
      <c r="E125" s="118" t="s">
        <v>466</v>
      </c>
      <c r="F125" s="37" t="s">
        <v>469</v>
      </c>
      <c r="G125" s="58" t="s">
        <v>470</v>
      </c>
      <c r="H125" s="39" t="s">
        <v>104</v>
      </c>
      <c r="I125" s="39" t="s">
        <v>165</v>
      </c>
      <c r="J125" s="40"/>
      <c r="K125" s="41"/>
      <c r="L125" s="42"/>
      <c r="M125" s="43"/>
      <c r="N125" s="42"/>
      <c r="O125" s="44"/>
      <c r="P125" s="45"/>
    </row>
    <row r="126" spans="1:16" ht="28.9" customHeight="1">
      <c r="A126" s="66" t="s">
        <v>398</v>
      </c>
      <c r="B126" s="72">
        <v>11</v>
      </c>
      <c r="C126" s="137" t="s">
        <v>405</v>
      </c>
      <c r="D126" s="117" t="s">
        <v>471</v>
      </c>
      <c r="E126" s="118" t="s">
        <v>472</v>
      </c>
      <c r="F126" s="37" t="s">
        <v>473</v>
      </c>
      <c r="G126" s="38" t="s">
        <v>474</v>
      </c>
      <c r="H126" s="39" t="s">
        <v>104</v>
      </c>
      <c r="I126" s="39" t="s">
        <v>114</v>
      </c>
      <c r="J126" s="40"/>
      <c r="K126" s="41"/>
      <c r="L126" s="42"/>
      <c r="M126" s="43"/>
      <c r="N126" s="42"/>
      <c r="O126" s="44"/>
      <c r="P126" s="45"/>
    </row>
    <row r="127" spans="1:16" ht="43.5">
      <c r="A127" s="66" t="s">
        <v>398</v>
      </c>
      <c r="B127" s="72">
        <v>11</v>
      </c>
      <c r="C127" s="137" t="s">
        <v>405</v>
      </c>
      <c r="D127" s="117" t="s">
        <v>471</v>
      </c>
      <c r="E127" s="118" t="s">
        <v>472</v>
      </c>
      <c r="F127" s="37" t="s">
        <v>475</v>
      </c>
      <c r="G127" s="58" t="s">
        <v>476</v>
      </c>
      <c r="H127" s="39" t="s">
        <v>104</v>
      </c>
      <c r="I127" s="39" t="s">
        <v>114</v>
      </c>
      <c r="J127" s="40"/>
      <c r="K127" s="41"/>
      <c r="L127" s="42"/>
      <c r="M127" s="43"/>
      <c r="N127" s="42"/>
      <c r="O127" s="44"/>
      <c r="P127" s="45"/>
    </row>
    <row r="128" spans="1:16" ht="43.5">
      <c r="A128" s="66" t="s">
        <v>398</v>
      </c>
      <c r="B128" s="72">
        <v>11</v>
      </c>
      <c r="C128" s="137" t="s">
        <v>405</v>
      </c>
      <c r="D128" s="117" t="s">
        <v>471</v>
      </c>
      <c r="E128" s="118" t="s">
        <v>472</v>
      </c>
      <c r="F128" s="37" t="s">
        <v>477</v>
      </c>
      <c r="G128" s="58" t="s">
        <v>478</v>
      </c>
      <c r="H128" s="39" t="s">
        <v>104</v>
      </c>
      <c r="I128" s="39" t="s">
        <v>114</v>
      </c>
      <c r="J128" s="40"/>
      <c r="K128" s="41"/>
      <c r="L128" s="75"/>
      <c r="M128" s="43"/>
      <c r="N128" s="75"/>
      <c r="O128" s="44"/>
      <c r="P128" s="38" t="s">
        <v>479</v>
      </c>
    </row>
    <row r="129" spans="1:16" ht="43.5">
      <c r="A129" s="66" t="s">
        <v>398</v>
      </c>
      <c r="B129" s="72">
        <v>11</v>
      </c>
      <c r="C129" s="137" t="s">
        <v>405</v>
      </c>
      <c r="D129" s="117" t="s">
        <v>471</v>
      </c>
      <c r="E129" s="118" t="s">
        <v>472</v>
      </c>
      <c r="F129" s="37" t="s">
        <v>480</v>
      </c>
      <c r="G129" s="58" t="s">
        <v>481</v>
      </c>
      <c r="H129" s="39" t="s">
        <v>104</v>
      </c>
      <c r="I129" s="39" t="s">
        <v>114</v>
      </c>
      <c r="J129" s="40"/>
      <c r="K129" s="41"/>
      <c r="L129" s="42"/>
      <c r="M129" s="43"/>
      <c r="N129" s="42"/>
      <c r="O129" s="44" t="s">
        <v>106</v>
      </c>
      <c r="P129" s="38" t="s">
        <v>482</v>
      </c>
    </row>
    <row r="130" spans="1:16" ht="28.9" customHeight="1">
      <c r="A130" s="66" t="s">
        <v>398</v>
      </c>
      <c r="B130" s="72">
        <v>11</v>
      </c>
      <c r="C130" s="137" t="s">
        <v>405</v>
      </c>
      <c r="D130" s="117" t="s">
        <v>483</v>
      </c>
      <c r="E130" s="118" t="s">
        <v>484</v>
      </c>
      <c r="F130" s="37" t="s">
        <v>485</v>
      </c>
      <c r="G130" s="38" t="s">
        <v>486</v>
      </c>
      <c r="H130" s="39" t="s">
        <v>104</v>
      </c>
      <c r="I130" s="39" t="s">
        <v>165</v>
      </c>
      <c r="J130" s="40"/>
      <c r="K130" s="41"/>
      <c r="L130" s="42"/>
      <c r="M130" s="43"/>
      <c r="N130" s="42"/>
      <c r="O130" s="44"/>
      <c r="P130" s="45"/>
    </row>
    <row r="131" spans="1:16" ht="43.5">
      <c r="A131" s="66" t="s">
        <v>398</v>
      </c>
      <c r="B131" s="72">
        <v>11</v>
      </c>
      <c r="C131" s="137" t="s">
        <v>405</v>
      </c>
      <c r="D131" s="117" t="s">
        <v>483</v>
      </c>
      <c r="E131" s="118" t="s">
        <v>484</v>
      </c>
      <c r="F131" s="37" t="s">
        <v>487</v>
      </c>
      <c r="G131" s="38" t="s">
        <v>488</v>
      </c>
      <c r="H131" s="39" t="s">
        <v>104</v>
      </c>
      <c r="I131" s="39" t="s">
        <v>114</v>
      </c>
      <c r="J131" s="40"/>
      <c r="K131" s="41"/>
      <c r="L131" s="42"/>
      <c r="M131" s="43"/>
      <c r="N131" s="42"/>
      <c r="O131" s="44"/>
      <c r="P131" s="45"/>
    </row>
    <row r="132" spans="1:16" ht="43.5">
      <c r="A132" s="66" t="s">
        <v>398</v>
      </c>
      <c r="B132" s="72">
        <v>11</v>
      </c>
      <c r="C132" s="137" t="s">
        <v>405</v>
      </c>
      <c r="D132" s="117" t="s">
        <v>483</v>
      </c>
      <c r="E132" s="118" t="s">
        <v>484</v>
      </c>
      <c r="F132" s="37" t="s">
        <v>489</v>
      </c>
      <c r="G132" s="38" t="s">
        <v>490</v>
      </c>
      <c r="H132" s="39" t="s">
        <v>104</v>
      </c>
      <c r="I132" s="39" t="s">
        <v>114</v>
      </c>
      <c r="J132" s="40"/>
      <c r="K132" s="41"/>
      <c r="L132" s="42"/>
      <c r="M132" s="43"/>
      <c r="N132" s="42"/>
      <c r="O132" s="44"/>
      <c r="P132" s="45"/>
    </row>
    <row r="133" spans="1:16" ht="29">
      <c r="A133" s="66" t="s">
        <v>398</v>
      </c>
      <c r="B133" s="76">
        <v>12</v>
      </c>
      <c r="C133" s="77" t="s">
        <v>491</v>
      </c>
      <c r="D133" s="117" t="s">
        <v>492</v>
      </c>
      <c r="E133" s="118" t="s">
        <v>493</v>
      </c>
      <c r="F133" s="37" t="s">
        <v>494</v>
      </c>
      <c r="G133" s="38" t="s">
        <v>495</v>
      </c>
      <c r="H133" s="39" t="s">
        <v>104</v>
      </c>
      <c r="I133" s="39" t="s">
        <v>114</v>
      </c>
      <c r="J133" s="40"/>
      <c r="K133" s="41"/>
      <c r="L133" s="42"/>
      <c r="M133" s="43"/>
      <c r="N133" s="42"/>
      <c r="O133" s="44"/>
      <c r="P133" s="45"/>
    </row>
    <row r="134" spans="1:16" ht="29">
      <c r="A134" s="66" t="s">
        <v>398</v>
      </c>
      <c r="B134" s="76">
        <v>12</v>
      </c>
      <c r="C134" s="77" t="s">
        <v>491</v>
      </c>
      <c r="D134" s="117" t="s">
        <v>492</v>
      </c>
      <c r="E134" s="118" t="s">
        <v>493</v>
      </c>
      <c r="F134" s="37" t="s">
        <v>496</v>
      </c>
      <c r="G134" s="38" t="s">
        <v>497</v>
      </c>
      <c r="H134" s="39" t="s">
        <v>104</v>
      </c>
      <c r="I134" s="39" t="s">
        <v>114</v>
      </c>
      <c r="J134" s="40"/>
      <c r="K134" s="41"/>
      <c r="L134" s="42"/>
      <c r="M134" s="43"/>
      <c r="N134" s="42"/>
      <c r="O134" s="44"/>
      <c r="P134" s="45"/>
    </row>
    <row r="135" spans="1:16" ht="28.9" customHeight="1">
      <c r="A135" s="78" t="s">
        <v>498</v>
      </c>
      <c r="B135" s="138">
        <v>13</v>
      </c>
      <c r="C135" s="139" t="s">
        <v>499</v>
      </c>
      <c r="D135" s="120" t="s">
        <v>500</v>
      </c>
      <c r="E135" s="121" t="s">
        <v>501</v>
      </c>
      <c r="F135" s="79" t="s">
        <v>502</v>
      </c>
      <c r="G135" s="38" t="s">
        <v>503</v>
      </c>
      <c r="H135" s="39" t="s">
        <v>104</v>
      </c>
      <c r="I135" s="39" t="s">
        <v>114</v>
      </c>
      <c r="J135" s="40"/>
      <c r="K135" s="41"/>
      <c r="L135" s="42"/>
      <c r="M135" s="43"/>
      <c r="N135" s="42"/>
      <c r="O135" s="79" t="s">
        <v>504</v>
      </c>
      <c r="P135" s="45"/>
    </row>
    <row r="136" spans="1:16" ht="43.5">
      <c r="A136" s="78" t="s">
        <v>498</v>
      </c>
      <c r="B136" s="138">
        <v>13</v>
      </c>
      <c r="C136" s="139" t="s">
        <v>499</v>
      </c>
      <c r="D136" s="120" t="s">
        <v>500</v>
      </c>
      <c r="E136" s="121" t="s">
        <v>501</v>
      </c>
      <c r="F136" s="79" t="s">
        <v>505</v>
      </c>
      <c r="G136" s="58" t="s">
        <v>506</v>
      </c>
      <c r="H136" s="39" t="s">
        <v>104</v>
      </c>
      <c r="I136" s="39" t="s">
        <v>114</v>
      </c>
      <c r="J136" s="40"/>
      <c r="K136" s="41"/>
      <c r="L136" s="80"/>
      <c r="M136" s="43"/>
      <c r="N136" s="80"/>
      <c r="O136" s="79" t="s">
        <v>504</v>
      </c>
      <c r="P136" s="38" t="s">
        <v>507</v>
      </c>
    </row>
    <row r="137" spans="1:16" ht="43.5">
      <c r="A137" s="78" t="s">
        <v>498</v>
      </c>
      <c r="B137" s="138">
        <v>13</v>
      </c>
      <c r="C137" s="139" t="s">
        <v>499</v>
      </c>
      <c r="D137" s="120" t="s">
        <v>500</v>
      </c>
      <c r="E137" s="121" t="s">
        <v>501</v>
      </c>
      <c r="F137" s="79" t="s">
        <v>508</v>
      </c>
      <c r="G137" s="38" t="s">
        <v>509</v>
      </c>
      <c r="H137" s="39" t="s">
        <v>104</v>
      </c>
      <c r="I137" s="39" t="s">
        <v>114</v>
      </c>
      <c r="J137" s="40"/>
      <c r="K137" s="41"/>
      <c r="L137" s="80"/>
      <c r="M137" s="43"/>
      <c r="N137" s="80"/>
      <c r="O137" s="79" t="s">
        <v>504</v>
      </c>
      <c r="P137" s="38"/>
    </row>
    <row r="138" spans="1:16" ht="28.9" customHeight="1">
      <c r="A138" s="78" t="s">
        <v>498</v>
      </c>
      <c r="B138" s="138">
        <v>13</v>
      </c>
      <c r="C138" s="139" t="s">
        <v>499</v>
      </c>
      <c r="D138" s="122" t="s">
        <v>510</v>
      </c>
      <c r="E138" s="123" t="s">
        <v>511</v>
      </c>
      <c r="F138" s="37" t="s">
        <v>512</v>
      </c>
      <c r="G138" s="38" t="s">
        <v>513</v>
      </c>
      <c r="H138" s="39" t="s">
        <v>104</v>
      </c>
      <c r="I138" s="39" t="s">
        <v>114</v>
      </c>
      <c r="J138" s="40"/>
      <c r="K138" s="41"/>
      <c r="L138" s="42"/>
      <c r="M138" s="43"/>
      <c r="N138" s="42"/>
      <c r="O138" s="79" t="s">
        <v>504</v>
      </c>
      <c r="P138" s="38" t="s">
        <v>514</v>
      </c>
    </row>
    <row r="139" spans="1:16" ht="43.5">
      <c r="A139" s="78" t="s">
        <v>498</v>
      </c>
      <c r="B139" s="138">
        <v>13</v>
      </c>
      <c r="C139" s="139" t="s">
        <v>499</v>
      </c>
      <c r="D139" s="122" t="s">
        <v>510</v>
      </c>
      <c r="E139" s="123" t="s">
        <v>511</v>
      </c>
      <c r="F139" s="37" t="s">
        <v>515</v>
      </c>
      <c r="G139" s="38" t="s">
        <v>516</v>
      </c>
      <c r="H139" s="39" t="s">
        <v>104</v>
      </c>
      <c r="I139" s="39" t="s">
        <v>165</v>
      </c>
      <c r="J139" s="40"/>
      <c r="K139" s="41"/>
      <c r="L139" s="42"/>
      <c r="M139" s="43"/>
      <c r="N139" s="42"/>
      <c r="O139" s="79" t="s">
        <v>504</v>
      </c>
      <c r="P139" s="45"/>
    </row>
    <row r="140" spans="1:16" ht="43.5">
      <c r="A140" s="78" t="s">
        <v>498</v>
      </c>
      <c r="B140" s="138">
        <v>13</v>
      </c>
      <c r="C140" s="139" t="s">
        <v>499</v>
      </c>
      <c r="D140" s="122" t="s">
        <v>510</v>
      </c>
      <c r="E140" s="123" t="s">
        <v>511</v>
      </c>
      <c r="F140" s="37" t="s">
        <v>517</v>
      </c>
      <c r="G140" s="38" t="s">
        <v>518</v>
      </c>
      <c r="H140" s="39" t="s">
        <v>104</v>
      </c>
      <c r="I140" s="39" t="s">
        <v>165</v>
      </c>
      <c r="J140" s="40"/>
      <c r="K140" s="41"/>
      <c r="L140" s="42"/>
      <c r="M140" s="43"/>
      <c r="N140" s="42"/>
      <c r="O140" s="79" t="s">
        <v>504</v>
      </c>
      <c r="P140" s="45"/>
    </row>
    <row r="141" spans="1:16" ht="43.5">
      <c r="A141" s="78" t="s">
        <v>498</v>
      </c>
      <c r="B141" s="138">
        <v>13</v>
      </c>
      <c r="C141" s="139" t="s">
        <v>499</v>
      </c>
      <c r="D141" s="122" t="s">
        <v>510</v>
      </c>
      <c r="E141" s="123" t="s">
        <v>511</v>
      </c>
      <c r="F141" s="37" t="s">
        <v>519</v>
      </c>
      <c r="G141" s="38" t="s">
        <v>520</v>
      </c>
      <c r="H141" s="39" t="s">
        <v>104</v>
      </c>
      <c r="I141" s="39" t="s">
        <v>165</v>
      </c>
      <c r="J141" s="40"/>
      <c r="K141" s="41"/>
      <c r="L141" s="42"/>
      <c r="M141" s="43"/>
      <c r="N141" s="42"/>
      <c r="O141" s="79" t="s">
        <v>504</v>
      </c>
      <c r="P141" s="45"/>
    </row>
    <row r="142" spans="1:16" ht="28.9" customHeight="1">
      <c r="A142" s="78" t="s">
        <v>498</v>
      </c>
      <c r="B142" s="138">
        <v>13</v>
      </c>
      <c r="C142" s="139" t="s">
        <v>499</v>
      </c>
      <c r="D142" s="122" t="s">
        <v>521</v>
      </c>
      <c r="E142" s="123" t="s">
        <v>522</v>
      </c>
      <c r="F142" s="37" t="s">
        <v>523</v>
      </c>
      <c r="G142" s="38" t="s">
        <v>524</v>
      </c>
      <c r="H142" s="39" t="s">
        <v>104</v>
      </c>
      <c r="I142" s="39" t="s">
        <v>114</v>
      </c>
      <c r="J142" s="40"/>
      <c r="K142" s="41"/>
      <c r="L142" s="42"/>
      <c r="M142" s="43"/>
      <c r="N142" s="42"/>
      <c r="O142" s="79" t="s">
        <v>504</v>
      </c>
      <c r="P142" s="45"/>
    </row>
    <row r="143" spans="1:16" ht="43.5">
      <c r="A143" s="78" t="s">
        <v>498</v>
      </c>
      <c r="B143" s="138">
        <v>13</v>
      </c>
      <c r="C143" s="139" t="s">
        <v>499</v>
      </c>
      <c r="D143" s="122" t="s">
        <v>521</v>
      </c>
      <c r="E143" s="123" t="s">
        <v>522</v>
      </c>
      <c r="F143" s="37" t="s">
        <v>525</v>
      </c>
      <c r="G143" s="38" t="s">
        <v>526</v>
      </c>
      <c r="H143" s="39" t="s">
        <v>104</v>
      </c>
      <c r="I143" s="39" t="s">
        <v>114</v>
      </c>
      <c r="J143" s="40"/>
      <c r="K143" s="41"/>
      <c r="L143" s="42"/>
      <c r="M143" s="43"/>
      <c r="N143" s="42"/>
      <c r="O143" s="79" t="s">
        <v>504</v>
      </c>
      <c r="P143" s="45"/>
    </row>
    <row r="144" spans="1:16" ht="43.5">
      <c r="A144" s="78" t="s">
        <v>498</v>
      </c>
      <c r="B144" s="138">
        <v>13</v>
      </c>
      <c r="C144" s="139" t="s">
        <v>499</v>
      </c>
      <c r="D144" s="122" t="s">
        <v>521</v>
      </c>
      <c r="E144" s="123" t="s">
        <v>522</v>
      </c>
      <c r="F144" s="37" t="s">
        <v>527</v>
      </c>
      <c r="G144" s="38" t="s">
        <v>528</v>
      </c>
      <c r="H144" s="39" t="s">
        <v>104</v>
      </c>
      <c r="I144" s="39" t="s">
        <v>114</v>
      </c>
      <c r="J144" s="40"/>
      <c r="K144" s="41"/>
      <c r="L144" s="42"/>
      <c r="M144" s="43"/>
      <c r="N144" s="42"/>
      <c r="O144" s="79" t="s">
        <v>504</v>
      </c>
      <c r="P144" s="38" t="s">
        <v>529</v>
      </c>
    </row>
    <row r="145" spans="1:16" ht="43.5">
      <c r="A145" s="78" t="s">
        <v>498</v>
      </c>
      <c r="B145" s="138">
        <v>13</v>
      </c>
      <c r="C145" s="139" t="s">
        <v>499</v>
      </c>
      <c r="D145" s="122" t="s">
        <v>530</v>
      </c>
      <c r="E145" s="124" t="s">
        <v>531</v>
      </c>
      <c r="F145" s="37" t="s">
        <v>532</v>
      </c>
      <c r="G145" s="38" t="s">
        <v>533</v>
      </c>
      <c r="H145" s="39" t="s">
        <v>104</v>
      </c>
      <c r="I145" s="39" t="s">
        <v>114</v>
      </c>
      <c r="J145" s="40"/>
      <c r="K145" s="41"/>
      <c r="L145" s="42"/>
      <c r="M145" s="43"/>
      <c r="N145" s="42"/>
      <c r="O145" s="79" t="s">
        <v>504</v>
      </c>
      <c r="P145" s="38" t="s">
        <v>534</v>
      </c>
    </row>
    <row r="146" spans="1:16" ht="43.5">
      <c r="A146" s="78" t="s">
        <v>498</v>
      </c>
      <c r="B146" s="138">
        <v>13</v>
      </c>
      <c r="C146" s="139" t="s">
        <v>499</v>
      </c>
      <c r="D146" s="122" t="s">
        <v>530</v>
      </c>
      <c r="E146" s="124" t="s">
        <v>531</v>
      </c>
      <c r="F146" s="37" t="s">
        <v>535</v>
      </c>
      <c r="G146" s="38" t="s">
        <v>536</v>
      </c>
      <c r="H146" s="39" t="s">
        <v>104</v>
      </c>
      <c r="I146" s="39" t="s">
        <v>165</v>
      </c>
      <c r="J146" s="40"/>
      <c r="K146" s="41"/>
      <c r="L146" s="42"/>
      <c r="M146" s="43"/>
      <c r="N146" s="42"/>
      <c r="O146" s="79" t="s">
        <v>504</v>
      </c>
      <c r="P146" s="81"/>
    </row>
    <row r="147" spans="1:16" ht="43.5">
      <c r="A147" s="78" t="s">
        <v>498</v>
      </c>
      <c r="B147" s="138">
        <v>13</v>
      </c>
      <c r="C147" s="139" t="s">
        <v>499</v>
      </c>
      <c r="D147" s="122" t="s">
        <v>530</v>
      </c>
      <c r="E147" s="124" t="s">
        <v>531</v>
      </c>
      <c r="F147" s="37" t="s">
        <v>537</v>
      </c>
      <c r="G147" s="58" t="s">
        <v>538</v>
      </c>
      <c r="H147" s="39" t="s">
        <v>104</v>
      </c>
      <c r="I147" s="39" t="s">
        <v>165</v>
      </c>
      <c r="J147" s="40"/>
      <c r="K147" s="41"/>
      <c r="L147" s="42"/>
      <c r="M147" s="43"/>
      <c r="N147" s="42"/>
      <c r="O147" s="79" t="s">
        <v>504</v>
      </c>
      <c r="P147" s="81"/>
    </row>
    <row r="148" spans="1:16" ht="43.5">
      <c r="A148" s="78" t="s">
        <v>498</v>
      </c>
      <c r="B148" s="138">
        <v>13</v>
      </c>
      <c r="C148" s="139" t="s">
        <v>499</v>
      </c>
      <c r="D148" s="122" t="s">
        <v>530</v>
      </c>
      <c r="E148" s="124" t="s">
        <v>531</v>
      </c>
      <c r="F148" s="37" t="s">
        <v>539</v>
      </c>
      <c r="G148" s="38" t="s">
        <v>540</v>
      </c>
      <c r="H148" s="39" t="s">
        <v>104</v>
      </c>
      <c r="I148" s="39" t="s">
        <v>165</v>
      </c>
      <c r="J148" s="40"/>
      <c r="K148" s="41"/>
      <c r="L148" s="42"/>
      <c r="M148" s="43"/>
      <c r="N148" s="42"/>
      <c r="O148" s="79" t="s">
        <v>504</v>
      </c>
      <c r="P148" s="81"/>
    </row>
    <row r="149" spans="1:16" ht="28.9" customHeight="1">
      <c r="A149" s="78" t="s">
        <v>498</v>
      </c>
      <c r="B149" s="138">
        <v>13</v>
      </c>
      <c r="C149" s="139" t="s">
        <v>499</v>
      </c>
      <c r="D149" s="122" t="s">
        <v>541</v>
      </c>
      <c r="E149" s="123" t="s">
        <v>542</v>
      </c>
      <c r="F149" s="37" t="s">
        <v>543</v>
      </c>
      <c r="G149" s="58" t="s">
        <v>544</v>
      </c>
      <c r="H149" s="39" t="s">
        <v>104</v>
      </c>
      <c r="I149" s="39" t="s">
        <v>114</v>
      </c>
      <c r="J149" s="40"/>
      <c r="K149" s="41"/>
      <c r="L149" s="82"/>
      <c r="M149" s="43"/>
      <c r="N149" s="82"/>
      <c r="O149" s="79" t="s">
        <v>504</v>
      </c>
      <c r="P149" s="45"/>
    </row>
    <row r="150" spans="1:16" ht="43.5">
      <c r="A150" s="78" t="s">
        <v>498</v>
      </c>
      <c r="B150" s="138">
        <v>13</v>
      </c>
      <c r="C150" s="139" t="s">
        <v>499</v>
      </c>
      <c r="D150" s="122" t="s">
        <v>541</v>
      </c>
      <c r="E150" s="123" t="s">
        <v>542</v>
      </c>
      <c r="F150" s="37" t="s">
        <v>545</v>
      </c>
      <c r="G150" s="38" t="s">
        <v>546</v>
      </c>
      <c r="H150" s="39" t="s">
        <v>104</v>
      </c>
      <c r="I150" s="39" t="s">
        <v>165</v>
      </c>
      <c r="J150" s="40"/>
      <c r="K150" s="41"/>
      <c r="L150" s="42"/>
      <c r="M150" s="43"/>
      <c r="N150" s="42"/>
      <c r="O150" s="79" t="s">
        <v>504</v>
      </c>
      <c r="P150" s="81"/>
    </row>
    <row r="151" spans="1:16" ht="43.5">
      <c r="A151" s="78" t="s">
        <v>498</v>
      </c>
      <c r="B151" s="138">
        <v>13</v>
      </c>
      <c r="C151" s="139" t="s">
        <v>499</v>
      </c>
      <c r="D151" s="122" t="s">
        <v>541</v>
      </c>
      <c r="E151" s="123" t="s">
        <v>542</v>
      </c>
      <c r="F151" s="37" t="s">
        <v>547</v>
      </c>
      <c r="G151" s="38" t="s">
        <v>548</v>
      </c>
      <c r="H151" s="39" t="s">
        <v>104</v>
      </c>
      <c r="I151" s="39" t="s">
        <v>165</v>
      </c>
      <c r="J151" s="40"/>
      <c r="K151" s="41"/>
      <c r="L151" s="42"/>
      <c r="M151" s="43"/>
      <c r="N151" s="42"/>
      <c r="O151" s="79" t="s">
        <v>504</v>
      </c>
      <c r="P151" s="81"/>
    </row>
    <row r="152" spans="1:16" ht="43.5">
      <c r="A152" s="78" t="s">
        <v>498</v>
      </c>
      <c r="B152" s="138">
        <v>13</v>
      </c>
      <c r="C152" s="139" t="s">
        <v>499</v>
      </c>
      <c r="D152" s="122" t="s">
        <v>541</v>
      </c>
      <c r="E152" s="123" t="s">
        <v>542</v>
      </c>
      <c r="F152" s="37" t="s">
        <v>549</v>
      </c>
      <c r="G152" s="38" t="s">
        <v>550</v>
      </c>
      <c r="H152" s="39" t="s">
        <v>104</v>
      </c>
      <c r="I152" s="39" t="s">
        <v>165</v>
      </c>
      <c r="J152" s="40"/>
      <c r="K152" s="41"/>
      <c r="L152" s="46"/>
      <c r="M152" s="43"/>
      <c r="N152" s="42"/>
      <c r="O152" s="79" t="s">
        <v>504</v>
      </c>
      <c r="P152" s="81"/>
    </row>
    <row r="153" spans="1:16" ht="58">
      <c r="A153" s="78" t="s">
        <v>498</v>
      </c>
      <c r="B153" s="138">
        <v>13</v>
      </c>
      <c r="C153" s="139" t="s">
        <v>499</v>
      </c>
      <c r="D153" s="122" t="s">
        <v>541</v>
      </c>
      <c r="E153" s="123" t="s">
        <v>542</v>
      </c>
      <c r="F153" s="37" t="s">
        <v>551</v>
      </c>
      <c r="G153" s="58" t="s">
        <v>552</v>
      </c>
      <c r="H153" s="39" t="s">
        <v>104</v>
      </c>
      <c r="I153" s="39" t="s">
        <v>114</v>
      </c>
      <c r="J153" s="40"/>
      <c r="K153" s="41"/>
      <c r="L153" s="42"/>
      <c r="M153" s="43"/>
      <c r="N153" s="42"/>
      <c r="O153" s="79" t="s">
        <v>504</v>
      </c>
      <c r="P153" s="45"/>
    </row>
    <row r="154" spans="1:16" ht="43.5">
      <c r="A154" s="78" t="s">
        <v>498</v>
      </c>
      <c r="B154" s="138">
        <v>13</v>
      </c>
      <c r="C154" s="139" t="s">
        <v>499</v>
      </c>
      <c r="D154" s="122" t="s">
        <v>553</v>
      </c>
      <c r="E154" s="125" t="s">
        <v>554</v>
      </c>
      <c r="F154" s="37" t="s">
        <v>555</v>
      </c>
      <c r="G154" s="38" t="s">
        <v>556</v>
      </c>
      <c r="H154" s="39" t="s">
        <v>104</v>
      </c>
      <c r="I154" s="39" t="s">
        <v>114</v>
      </c>
      <c r="J154" s="40"/>
      <c r="K154" s="41"/>
      <c r="L154" s="42"/>
      <c r="M154" s="43"/>
      <c r="N154" s="42"/>
      <c r="O154" s="79" t="s">
        <v>504</v>
      </c>
      <c r="P154" s="45"/>
    </row>
    <row r="155" spans="1:16" ht="43.5">
      <c r="A155" s="78" t="s">
        <v>498</v>
      </c>
      <c r="B155" s="138">
        <v>13</v>
      </c>
      <c r="C155" s="139" t="s">
        <v>499</v>
      </c>
      <c r="D155" s="122" t="s">
        <v>553</v>
      </c>
      <c r="E155" s="125" t="s">
        <v>554</v>
      </c>
      <c r="F155" s="37" t="s">
        <v>557</v>
      </c>
      <c r="G155" s="38" t="s">
        <v>558</v>
      </c>
      <c r="H155" s="39" t="s">
        <v>104</v>
      </c>
      <c r="I155" s="39" t="s">
        <v>114</v>
      </c>
      <c r="J155" s="40"/>
      <c r="K155" s="41"/>
      <c r="L155" s="42"/>
      <c r="M155" s="43"/>
      <c r="N155" s="42"/>
      <c r="O155" s="48" t="s">
        <v>559</v>
      </c>
      <c r="P155" s="45" t="s">
        <v>560</v>
      </c>
    </row>
    <row r="156" spans="1:16" ht="43.5">
      <c r="A156" s="78" t="s">
        <v>498</v>
      </c>
      <c r="B156" s="138">
        <v>13</v>
      </c>
      <c r="C156" s="139" t="s">
        <v>499</v>
      </c>
      <c r="D156" s="126" t="s">
        <v>561</v>
      </c>
      <c r="E156" s="125" t="s">
        <v>562</v>
      </c>
      <c r="F156" s="83" t="s">
        <v>563</v>
      </c>
      <c r="G156" s="38" t="s">
        <v>564</v>
      </c>
      <c r="H156" s="39" t="s">
        <v>104</v>
      </c>
      <c r="I156" s="39" t="s">
        <v>114</v>
      </c>
      <c r="J156" s="40"/>
      <c r="K156" s="41"/>
      <c r="L156" s="42"/>
      <c r="M156" s="43"/>
      <c r="N156" s="42"/>
      <c r="O156" s="79" t="s">
        <v>504</v>
      </c>
      <c r="P156" s="81"/>
    </row>
    <row r="157" spans="1:16" ht="43.5">
      <c r="A157" s="78" t="s">
        <v>498</v>
      </c>
      <c r="B157" s="138">
        <v>13</v>
      </c>
      <c r="C157" s="139" t="s">
        <v>499</v>
      </c>
      <c r="D157" s="126" t="s">
        <v>561</v>
      </c>
      <c r="E157" s="125" t="s">
        <v>562</v>
      </c>
      <c r="F157" s="83" t="s">
        <v>565</v>
      </c>
      <c r="G157" s="38" t="s">
        <v>566</v>
      </c>
      <c r="H157" s="39" t="s">
        <v>104</v>
      </c>
      <c r="I157" s="39" t="s">
        <v>165</v>
      </c>
      <c r="J157" s="40"/>
      <c r="K157" s="41"/>
      <c r="L157" s="42"/>
      <c r="M157" s="43"/>
      <c r="N157" s="42"/>
      <c r="O157" s="79" t="s">
        <v>504</v>
      </c>
      <c r="P157" s="45"/>
    </row>
    <row r="158" spans="1:16" ht="43.5">
      <c r="A158" s="78" t="s">
        <v>498</v>
      </c>
      <c r="B158" s="138">
        <v>13</v>
      </c>
      <c r="C158" s="139" t="s">
        <v>499</v>
      </c>
      <c r="D158" s="126" t="s">
        <v>561</v>
      </c>
      <c r="E158" s="125" t="s">
        <v>562</v>
      </c>
      <c r="F158" s="83" t="s">
        <v>567</v>
      </c>
      <c r="G158" s="38" t="s">
        <v>568</v>
      </c>
      <c r="H158" s="39" t="s">
        <v>104</v>
      </c>
      <c r="I158" s="39" t="s">
        <v>114</v>
      </c>
      <c r="J158" s="40"/>
      <c r="K158" s="41"/>
      <c r="L158" s="42"/>
      <c r="M158" s="43"/>
      <c r="N158" s="42"/>
      <c r="O158" s="79" t="s">
        <v>504</v>
      </c>
      <c r="P158" s="45"/>
    </row>
    <row r="159" spans="1:16" ht="43.5">
      <c r="A159" s="78" t="s">
        <v>498</v>
      </c>
      <c r="B159" s="138">
        <v>13</v>
      </c>
      <c r="C159" s="139" t="s">
        <v>499</v>
      </c>
      <c r="D159" s="126" t="s">
        <v>569</v>
      </c>
      <c r="E159" s="127" t="s">
        <v>570</v>
      </c>
      <c r="F159" s="83" t="s">
        <v>571</v>
      </c>
      <c r="G159" s="38" t="s">
        <v>572</v>
      </c>
      <c r="H159" s="39" t="s">
        <v>104</v>
      </c>
      <c r="I159" s="39" t="s">
        <v>165</v>
      </c>
      <c r="J159" s="40"/>
      <c r="K159" s="41"/>
      <c r="L159" s="42"/>
      <c r="M159" s="43"/>
      <c r="N159" s="42"/>
      <c r="O159" s="79" t="s">
        <v>504</v>
      </c>
      <c r="P159" s="45"/>
    </row>
    <row r="160" spans="1:16" ht="43.5">
      <c r="A160" s="78" t="s">
        <v>498</v>
      </c>
      <c r="B160" s="138">
        <v>13</v>
      </c>
      <c r="C160" s="139" t="s">
        <v>499</v>
      </c>
      <c r="D160" s="126" t="s">
        <v>569</v>
      </c>
      <c r="E160" s="127" t="s">
        <v>570</v>
      </c>
      <c r="F160" s="83" t="s">
        <v>573</v>
      </c>
      <c r="G160" s="58" t="s">
        <v>574</v>
      </c>
      <c r="H160" s="39" t="s">
        <v>104</v>
      </c>
      <c r="I160" s="39" t="s">
        <v>165</v>
      </c>
      <c r="J160" s="40"/>
      <c r="K160" s="41"/>
      <c r="L160" s="80"/>
      <c r="M160" s="43"/>
      <c r="N160" s="80"/>
      <c r="O160" s="79" t="s">
        <v>504</v>
      </c>
      <c r="P160" s="45"/>
    </row>
    <row r="161" spans="1:16" ht="43.5">
      <c r="A161" s="78" t="s">
        <v>498</v>
      </c>
      <c r="B161" s="138">
        <v>13</v>
      </c>
      <c r="C161" s="139" t="s">
        <v>499</v>
      </c>
      <c r="D161" s="126" t="s">
        <v>569</v>
      </c>
      <c r="E161" s="127" t="s">
        <v>570</v>
      </c>
      <c r="F161" s="83" t="s">
        <v>575</v>
      </c>
      <c r="G161" s="38" t="s">
        <v>576</v>
      </c>
      <c r="H161" s="39" t="s">
        <v>104</v>
      </c>
      <c r="I161" s="39" t="s">
        <v>165</v>
      </c>
      <c r="J161" s="40"/>
      <c r="K161" s="41"/>
      <c r="L161" s="42"/>
      <c r="M161" s="43"/>
      <c r="N161" s="42"/>
      <c r="O161" s="79" t="s">
        <v>504</v>
      </c>
      <c r="P161" s="45"/>
    </row>
    <row r="162" spans="1:16" ht="43.5">
      <c r="A162" s="78" t="s">
        <v>498</v>
      </c>
      <c r="B162" s="138">
        <v>13</v>
      </c>
      <c r="C162" s="139" t="s">
        <v>499</v>
      </c>
      <c r="D162" s="126" t="s">
        <v>569</v>
      </c>
      <c r="E162" s="127" t="s">
        <v>570</v>
      </c>
      <c r="F162" s="83" t="s">
        <v>577</v>
      </c>
      <c r="G162" s="58" t="s">
        <v>578</v>
      </c>
      <c r="H162" s="39" t="s">
        <v>104</v>
      </c>
      <c r="I162" s="39" t="s">
        <v>165</v>
      </c>
      <c r="J162" s="40"/>
      <c r="K162" s="41"/>
      <c r="L162" s="42"/>
      <c r="M162" s="43"/>
      <c r="N162" s="42"/>
      <c r="O162" s="79" t="s">
        <v>504</v>
      </c>
      <c r="P162" s="45"/>
    </row>
    <row r="163" spans="1:16" ht="28.9" customHeight="1">
      <c r="A163" s="78" t="s">
        <v>498</v>
      </c>
      <c r="B163" s="140">
        <v>14</v>
      </c>
      <c r="C163" s="141" t="s">
        <v>579</v>
      </c>
      <c r="D163" s="128" t="s">
        <v>580</v>
      </c>
      <c r="E163" s="123" t="s">
        <v>581</v>
      </c>
      <c r="F163" s="37" t="s">
        <v>582</v>
      </c>
      <c r="G163" s="38" t="s">
        <v>583</v>
      </c>
      <c r="H163" s="39" t="s">
        <v>104</v>
      </c>
      <c r="I163" s="39" t="s">
        <v>114</v>
      </c>
      <c r="J163" s="40"/>
      <c r="K163" s="41"/>
      <c r="L163" s="59"/>
      <c r="M163" s="43"/>
      <c r="N163" s="59"/>
      <c r="O163" s="44" t="s">
        <v>584</v>
      </c>
      <c r="P163" s="45" t="s">
        <v>585</v>
      </c>
    </row>
    <row r="164" spans="1:16" ht="43.5">
      <c r="A164" s="78" t="s">
        <v>498</v>
      </c>
      <c r="B164" s="140">
        <v>14</v>
      </c>
      <c r="C164" s="141" t="s">
        <v>579</v>
      </c>
      <c r="D164" s="128" t="s">
        <v>580</v>
      </c>
      <c r="E164" s="123" t="s">
        <v>581</v>
      </c>
      <c r="F164" s="37" t="s">
        <v>586</v>
      </c>
      <c r="G164" s="38" t="s">
        <v>587</v>
      </c>
      <c r="H164" s="39" t="s">
        <v>104</v>
      </c>
      <c r="I164" s="39" t="s">
        <v>114</v>
      </c>
      <c r="J164" s="40"/>
      <c r="K164" s="41"/>
      <c r="L164" s="59"/>
      <c r="M164" s="43"/>
      <c r="N164" s="59"/>
      <c r="O164" s="44"/>
      <c r="P164" s="45"/>
    </row>
    <row r="165" spans="1:16" ht="43.5">
      <c r="A165" s="78" t="s">
        <v>498</v>
      </c>
      <c r="B165" s="140">
        <v>14</v>
      </c>
      <c r="C165" s="141" t="s">
        <v>579</v>
      </c>
      <c r="D165" s="84" t="s">
        <v>588</v>
      </c>
      <c r="E165" s="85" t="s">
        <v>589</v>
      </c>
      <c r="F165" s="37" t="s">
        <v>590</v>
      </c>
      <c r="G165" s="38" t="s">
        <v>591</v>
      </c>
      <c r="H165" s="39" t="s">
        <v>104</v>
      </c>
      <c r="I165" s="39" t="s">
        <v>114</v>
      </c>
      <c r="J165" s="40"/>
      <c r="K165" s="41"/>
      <c r="L165" s="59"/>
      <c r="M165" s="43"/>
      <c r="N165" s="59"/>
      <c r="O165" s="44"/>
      <c r="P165" s="45" t="s">
        <v>592</v>
      </c>
    </row>
    <row r="166" spans="1:16" ht="52.15" customHeight="1">
      <c r="A166" s="78" t="s">
        <v>498</v>
      </c>
      <c r="B166" s="140">
        <v>14</v>
      </c>
      <c r="C166" s="141" t="s">
        <v>579</v>
      </c>
      <c r="D166" s="128" t="s">
        <v>593</v>
      </c>
      <c r="E166" s="129" t="s">
        <v>594</v>
      </c>
      <c r="F166" s="37" t="s">
        <v>595</v>
      </c>
      <c r="G166" s="38" t="s">
        <v>596</v>
      </c>
      <c r="H166" s="39" t="s">
        <v>104</v>
      </c>
      <c r="I166" s="39" t="s">
        <v>114</v>
      </c>
      <c r="J166" s="40"/>
      <c r="K166" s="41"/>
      <c r="L166" s="59"/>
      <c r="M166" s="43"/>
      <c r="N166" s="59"/>
      <c r="O166" s="44" t="s">
        <v>584</v>
      </c>
      <c r="P166" s="45"/>
    </row>
    <row r="167" spans="1:16" ht="43.5">
      <c r="A167" s="78" t="s">
        <v>498</v>
      </c>
      <c r="B167" s="140">
        <v>14</v>
      </c>
      <c r="C167" s="141" t="s">
        <v>579</v>
      </c>
      <c r="D167" s="128" t="s">
        <v>593</v>
      </c>
      <c r="E167" s="129" t="s">
        <v>594</v>
      </c>
      <c r="F167" s="37" t="s">
        <v>597</v>
      </c>
      <c r="G167" s="38" t="s">
        <v>598</v>
      </c>
      <c r="H167" s="39" t="s">
        <v>104</v>
      </c>
      <c r="I167" s="39" t="s">
        <v>114</v>
      </c>
      <c r="J167" s="40"/>
      <c r="K167" s="41"/>
      <c r="L167" s="59"/>
      <c r="M167" s="43"/>
      <c r="N167" s="59"/>
      <c r="O167" s="44" t="s">
        <v>584</v>
      </c>
      <c r="P167" s="45"/>
    </row>
    <row r="168" spans="1:16" ht="28.9" customHeight="1">
      <c r="A168" s="86" t="s">
        <v>599</v>
      </c>
      <c r="B168" s="87">
        <v>15</v>
      </c>
      <c r="C168" s="142" t="s">
        <v>600</v>
      </c>
      <c r="D168" s="130" t="s">
        <v>601</v>
      </c>
      <c r="E168" s="131" t="s">
        <v>602</v>
      </c>
      <c r="F168" s="37" t="s">
        <v>603</v>
      </c>
      <c r="G168" s="38" t="s">
        <v>604</v>
      </c>
      <c r="H168" s="39" t="s">
        <v>104</v>
      </c>
      <c r="I168" s="39" t="s">
        <v>165</v>
      </c>
      <c r="J168" s="40"/>
      <c r="K168" s="41"/>
      <c r="L168" s="59"/>
      <c r="M168" s="43"/>
      <c r="N168" s="59"/>
      <c r="O168" s="44"/>
      <c r="P168" s="47"/>
    </row>
    <row r="169" spans="1:16" ht="43.5">
      <c r="A169" s="86" t="s">
        <v>599</v>
      </c>
      <c r="B169" s="87">
        <v>15</v>
      </c>
      <c r="C169" s="142" t="s">
        <v>600</v>
      </c>
      <c r="D169" s="130" t="s">
        <v>601</v>
      </c>
      <c r="E169" s="131" t="s">
        <v>602</v>
      </c>
      <c r="F169" s="37" t="s">
        <v>605</v>
      </c>
      <c r="G169" s="38" t="s">
        <v>606</v>
      </c>
      <c r="H169" s="39" t="s">
        <v>104</v>
      </c>
      <c r="I169" s="39" t="s">
        <v>165</v>
      </c>
      <c r="J169" s="40"/>
      <c r="K169" s="41"/>
      <c r="L169" s="59"/>
      <c r="M169" s="43"/>
      <c r="N169" s="59"/>
      <c r="O169" s="44"/>
      <c r="P169" s="47"/>
    </row>
    <row r="170" spans="1:16" ht="43.5">
      <c r="A170" s="86" t="s">
        <v>599</v>
      </c>
      <c r="B170" s="87">
        <v>15</v>
      </c>
      <c r="C170" s="142" t="s">
        <v>600</v>
      </c>
      <c r="D170" s="130" t="s">
        <v>601</v>
      </c>
      <c r="E170" s="131" t="s">
        <v>602</v>
      </c>
      <c r="F170" s="37" t="s">
        <v>607</v>
      </c>
      <c r="G170" s="38" t="s">
        <v>608</v>
      </c>
      <c r="H170" s="39" t="s">
        <v>104</v>
      </c>
      <c r="I170" s="39" t="s">
        <v>165</v>
      </c>
      <c r="J170" s="40"/>
      <c r="K170" s="41"/>
      <c r="L170" s="59"/>
      <c r="M170" s="43"/>
      <c r="N170" s="59"/>
      <c r="O170" s="44"/>
      <c r="P170" s="47"/>
    </row>
    <row r="171" spans="1:16" ht="43.5">
      <c r="A171" s="86" t="s">
        <v>599</v>
      </c>
      <c r="B171" s="87">
        <v>15</v>
      </c>
      <c r="C171" s="142" t="s">
        <v>600</v>
      </c>
      <c r="D171" s="130" t="s">
        <v>601</v>
      </c>
      <c r="E171" s="131" t="s">
        <v>602</v>
      </c>
      <c r="F171" s="37" t="s">
        <v>609</v>
      </c>
      <c r="G171" s="38" t="s">
        <v>610</v>
      </c>
      <c r="H171" s="39" t="s">
        <v>104</v>
      </c>
      <c r="I171" s="39" t="s">
        <v>114</v>
      </c>
      <c r="J171" s="40"/>
      <c r="K171" s="41"/>
      <c r="L171" s="59"/>
      <c r="M171" s="43"/>
      <c r="N171" s="59"/>
      <c r="O171" s="44"/>
      <c r="P171" s="38" t="s">
        <v>611</v>
      </c>
    </row>
    <row r="172" spans="1:16" ht="58">
      <c r="A172" s="86" t="s">
        <v>599</v>
      </c>
      <c r="B172" s="87">
        <v>16</v>
      </c>
      <c r="C172" s="88" t="s">
        <v>612</v>
      </c>
      <c r="D172" s="89" t="s">
        <v>613</v>
      </c>
      <c r="E172" s="132" t="s">
        <v>614</v>
      </c>
      <c r="F172" s="37" t="s">
        <v>615</v>
      </c>
      <c r="G172" s="38" t="s">
        <v>616</v>
      </c>
      <c r="H172" s="39" t="s">
        <v>104</v>
      </c>
      <c r="I172" s="39" t="s">
        <v>114</v>
      </c>
      <c r="J172" s="40"/>
      <c r="K172" s="41"/>
      <c r="L172" s="59"/>
      <c r="M172" s="43"/>
      <c r="N172" s="59"/>
      <c r="O172" s="44"/>
      <c r="P172" s="47" t="s">
        <v>617</v>
      </c>
    </row>
    <row r="173" spans="1:16" ht="28.9" customHeight="1">
      <c r="A173" s="86" t="s">
        <v>599</v>
      </c>
      <c r="B173" s="87">
        <v>16</v>
      </c>
      <c r="C173" s="88" t="s">
        <v>612</v>
      </c>
      <c r="D173" s="91" t="s">
        <v>618</v>
      </c>
      <c r="E173" s="92" t="s">
        <v>619</v>
      </c>
      <c r="F173" s="37" t="s">
        <v>620</v>
      </c>
      <c r="G173" s="38" t="s">
        <v>621</v>
      </c>
      <c r="H173" s="39" t="s">
        <v>104</v>
      </c>
      <c r="I173" s="39" t="s">
        <v>114</v>
      </c>
      <c r="J173" s="40"/>
      <c r="K173" s="41"/>
      <c r="L173" s="59"/>
      <c r="M173" s="43"/>
      <c r="N173" s="59"/>
      <c r="O173" s="44"/>
      <c r="P173" s="45" t="s">
        <v>622</v>
      </c>
    </row>
    <row r="174" spans="1:16" ht="43.5">
      <c r="A174" s="86" t="s">
        <v>599</v>
      </c>
      <c r="B174" s="87">
        <v>16</v>
      </c>
      <c r="C174" s="88" t="s">
        <v>612</v>
      </c>
      <c r="D174" s="91" t="s">
        <v>618</v>
      </c>
      <c r="E174" s="92" t="s">
        <v>619</v>
      </c>
      <c r="F174" s="37" t="s">
        <v>623</v>
      </c>
      <c r="G174" s="90" t="s">
        <v>624</v>
      </c>
      <c r="H174" s="39" t="s">
        <v>104</v>
      </c>
      <c r="I174" s="39" t="s">
        <v>114</v>
      </c>
      <c r="J174" s="40"/>
      <c r="K174" s="41"/>
      <c r="L174" s="40"/>
      <c r="M174" s="43"/>
      <c r="N174" s="40"/>
      <c r="O174" s="44"/>
      <c r="P174" s="45"/>
    </row>
    <row r="175" spans="1:16" ht="43.5">
      <c r="A175" s="86" t="s">
        <v>599</v>
      </c>
      <c r="B175" s="87">
        <v>16</v>
      </c>
      <c r="C175" s="88" t="s">
        <v>612</v>
      </c>
      <c r="D175" s="91" t="s">
        <v>618</v>
      </c>
      <c r="E175" s="92" t="s">
        <v>619</v>
      </c>
      <c r="F175" s="37" t="s">
        <v>625</v>
      </c>
      <c r="G175" s="90" t="s">
        <v>626</v>
      </c>
      <c r="H175" s="39" t="s">
        <v>104</v>
      </c>
      <c r="I175" s="39" t="s">
        <v>114</v>
      </c>
      <c r="J175" s="40"/>
      <c r="K175" s="41"/>
      <c r="L175" s="40"/>
      <c r="M175" s="43"/>
      <c r="N175" s="40"/>
      <c r="O175" s="44"/>
      <c r="P175" s="47" t="s">
        <v>627</v>
      </c>
    </row>
    <row r="176" spans="1:16" ht="29">
      <c r="A176" s="86" t="s">
        <v>599</v>
      </c>
      <c r="B176" s="87">
        <v>16</v>
      </c>
      <c r="C176" s="88" t="s">
        <v>612</v>
      </c>
      <c r="D176" s="91" t="s">
        <v>628</v>
      </c>
      <c r="E176" s="92" t="s">
        <v>629</v>
      </c>
      <c r="F176" s="37" t="s">
        <v>630</v>
      </c>
      <c r="G176" s="90" t="s">
        <v>631</v>
      </c>
      <c r="H176" s="39" t="s">
        <v>104</v>
      </c>
      <c r="I176" s="39" t="s">
        <v>114</v>
      </c>
      <c r="J176" s="40"/>
      <c r="K176" s="41"/>
      <c r="L176" s="40"/>
      <c r="M176" s="43"/>
      <c r="N176" s="40"/>
      <c r="O176" s="44"/>
      <c r="P176" s="45"/>
    </row>
    <row r="177" spans="1:16" ht="43.5">
      <c r="A177" s="86" t="s">
        <v>599</v>
      </c>
      <c r="B177" s="87">
        <v>16</v>
      </c>
      <c r="C177" s="88" t="s">
        <v>612</v>
      </c>
      <c r="D177" s="91" t="s">
        <v>628</v>
      </c>
      <c r="E177" s="92" t="s">
        <v>629</v>
      </c>
      <c r="F177" s="37" t="s">
        <v>632</v>
      </c>
      <c r="G177" s="38" t="s">
        <v>633</v>
      </c>
      <c r="H177" s="39" t="s">
        <v>104</v>
      </c>
      <c r="I177" s="39" t="s">
        <v>114</v>
      </c>
      <c r="J177" s="40"/>
      <c r="K177" s="41"/>
      <c r="L177" s="59"/>
      <c r="M177" s="43"/>
      <c r="N177" s="59"/>
      <c r="O177" s="44"/>
      <c r="P177" s="47" t="s">
        <v>634</v>
      </c>
    </row>
    <row r="178" spans="1:16" ht="29">
      <c r="A178" s="86" t="s">
        <v>599</v>
      </c>
      <c r="B178" s="87">
        <v>16</v>
      </c>
      <c r="C178" s="88" t="s">
        <v>612</v>
      </c>
      <c r="D178" s="91" t="s">
        <v>628</v>
      </c>
      <c r="E178" s="92" t="s">
        <v>629</v>
      </c>
      <c r="F178" s="37" t="s">
        <v>635</v>
      </c>
      <c r="G178" s="90" t="s">
        <v>636</v>
      </c>
      <c r="H178" s="39" t="s">
        <v>104</v>
      </c>
      <c r="I178" s="39" t="s">
        <v>114</v>
      </c>
      <c r="J178" s="40"/>
      <c r="K178" s="41"/>
      <c r="L178" s="59"/>
      <c r="M178" s="43"/>
      <c r="N178" s="59"/>
      <c r="O178" s="44"/>
      <c r="P178" s="45"/>
    </row>
    <row r="179" spans="1:16" ht="29">
      <c r="A179" s="86" t="s">
        <v>599</v>
      </c>
      <c r="B179" s="87">
        <v>16</v>
      </c>
      <c r="C179" s="88" t="s">
        <v>612</v>
      </c>
      <c r="D179" s="91" t="s">
        <v>628</v>
      </c>
      <c r="E179" s="92" t="s">
        <v>629</v>
      </c>
      <c r="F179" s="37" t="s">
        <v>637</v>
      </c>
      <c r="G179" s="38" t="s">
        <v>638</v>
      </c>
      <c r="H179" s="39" t="s">
        <v>126</v>
      </c>
      <c r="I179" s="39" t="s">
        <v>114</v>
      </c>
      <c r="J179" s="40"/>
      <c r="K179" s="41"/>
      <c r="L179" s="59"/>
      <c r="M179" s="43"/>
      <c r="N179" s="59"/>
      <c r="O179" s="44"/>
      <c r="P179" s="45"/>
    </row>
    <row r="180" spans="1:16" ht="29">
      <c r="A180" s="86" t="s">
        <v>599</v>
      </c>
      <c r="B180" s="87">
        <v>16</v>
      </c>
      <c r="C180" s="88" t="s">
        <v>612</v>
      </c>
      <c r="D180" s="91" t="s">
        <v>628</v>
      </c>
      <c r="E180" s="92" t="s">
        <v>629</v>
      </c>
      <c r="F180" s="37" t="s">
        <v>639</v>
      </c>
      <c r="G180" s="38" t="s">
        <v>640</v>
      </c>
      <c r="H180" s="39" t="s">
        <v>104</v>
      </c>
      <c r="I180" s="39" t="s">
        <v>165</v>
      </c>
      <c r="J180" s="40"/>
      <c r="K180" s="41"/>
      <c r="L180" s="59"/>
      <c r="M180" s="43"/>
      <c r="N180" s="59"/>
      <c r="O180" s="44"/>
      <c r="P180" s="38"/>
    </row>
    <row r="181" spans="1:16" s="1" customFormat="1" ht="29">
      <c r="A181" s="86" t="s">
        <v>599</v>
      </c>
      <c r="B181" s="87">
        <v>16</v>
      </c>
      <c r="C181" s="88" t="s">
        <v>612</v>
      </c>
      <c r="D181" s="130" t="s">
        <v>641</v>
      </c>
      <c r="E181" s="131" t="s">
        <v>642</v>
      </c>
      <c r="F181" s="37" t="s">
        <v>643</v>
      </c>
      <c r="G181" s="38" t="s">
        <v>644</v>
      </c>
      <c r="H181" s="39" t="s">
        <v>104</v>
      </c>
      <c r="I181" s="39" t="s">
        <v>114</v>
      </c>
      <c r="J181" s="40"/>
      <c r="K181" s="41"/>
      <c r="L181" s="59"/>
      <c r="M181" s="43"/>
      <c r="N181" s="59"/>
      <c r="O181" s="44"/>
      <c r="P181" s="47" t="s">
        <v>645</v>
      </c>
    </row>
    <row r="182" spans="1:16" ht="58">
      <c r="A182" s="86" t="s">
        <v>599</v>
      </c>
      <c r="B182" s="87">
        <v>16</v>
      </c>
      <c r="C182" s="88" t="s">
        <v>612</v>
      </c>
      <c r="D182" s="130" t="s">
        <v>641</v>
      </c>
      <c r="E182" s="131" t="s">
        <v>642</v>
      </c>
      <c r="F182" s="37" t="s">
        <v>646</v>
      </c>
      <c r="G182" s="38" t="s">
        <v>647</v>
      </c>
      <c r="H182" s="39" t="s">
        <v>104</v>
      </c>
      <c r="I182" s="39" t="s">
        <v>114</v>
      </c>
      <c r="J182" s="40"/>
      <c r="K182" s="41"/>
      <c r="L182" s="59"/>
      <c r="M182" s="43"/>
      <c r="N182" s="59"/>
      <c r="O182" s="44"/>
      <c r="P182" s="47" t="s">
        <v>648</v>
      </c>
    </row>
    <row r="183" spans="1:16" ht="29">
      <c r="A183" s="86" t="s">
        <v>599</v>
      </c>
      <c r="B183" s="87">
        <v>16</v>
      </c>
      <c r="C183" s="88" t="s">
        <v>612</v>
      </c>
      <c r="D183" s="93" t="s">
        <v>649</v>
      </c>
      <c r="E183" s="94" t="s">
        <v>650</v>
      </c>
      <c r="F183" s="37" t="s">
        <v>651</v>
      </c>
      <c r="G183" s="38" t="s">
        <v>652</v>
      </c>
      <c r="H183" s="39" t="s">
        <v>104</v>
      </c>
      <c r="I183" s="39" t="s">
        <v>114</v>
      </c>
      <c r="J183" s="40"/>
      <c r="K183" s="41"/>
      <c r="L183" s="42"/>
      <c r="M183" s="43"/>
      <c r="N183" s="42"/>
      <c r="O183" s="44"/>
      <c r="P183" s="45" t="s">
        <v>653</v>
      </c>
    </row>
    <row r="184" spans="1:16" ht="29">
      <c r="A184" s="86" t="s">
        <v>599</v>
      </c>
      <c r="B184" s="87">
        <v>16</v>
      </c>
      <c r="C184" s="88" t="s">
        <v>612</v>
      </c>
      <c r="D184" s="91" t="s">
        <v>654</v>
      </c>
      <c r="E184" s="92" t="s">
        <v>655</v>
      </c>
      <c r="F184" s="37" t="s">
        <v>656</v>
      </c>
      <c r="G184" s="38" t="s">
        <v>657</v>
      </c>
      <c r="H184" s="39" t="s">
        <v>126</v>
      </c>
      <c r="I184" s="39" t="s">
        <v>114</v>
      </c>
      <c r="J184" s="40"/>
      <c r="K184" s="41"/>
      <c r="L184" s="42"/>
      <c r="M184" s="43"/>
      <c r="N184" s="42"/>
      <c r="O184" s="44"/>
      <c r="P184" s="45"/>
    </row>
    <row r="185" spans="1:16" ht="29">
      <c r="A185" s="86" t="s">
        <v>599</v>
      </c>
      <c r="B185" s="87">
        <v>16</v>
      </c>
      <c r="C185" s="88" t="s">
        <v>612</v>
      </c>
      <c r="D185" s="91" t="s">
        <v>654</v>
      </c>
      <c r="E185" s="92" t="s">
        <v>655</v>
      </c>
      <c r="F185" s="37" t="s">
        <v>658</v>
      </c>
      <c r="G185" s="38" t="s">
        <v>659</v>
      </c>
      <c r="H185" s="39" t="s">
        <v>126</v>
      </c>
      <c r="I185" s="39" t="s">
        <v>114</v>
      </c>
      <c r="J185" s="40"/>
      <c r="K185" s="41"/>
      <c r="L185" s="42"/>
      <c r="M185" s="43"/>
      <c r="N185" s="42"/>
      <c r="O185" s="44"/>
      <c r="P185" s="45"/>
    </row>
    <row r="186" spans="1:16">
      <c r="F186" s="5"/>
    </row>
  </sheetData>
  <autoFilter ref="A4:P185"/>
  <dataConsolidate/>
  <conditionalFormatting sqref="H155:I155 K155">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'd:\36981662P\OneDrive - Generalitat de Catalunya\Plans estratègics\0Models\[Model Pla Estrategic ENP_2024.xlsx]Full1'!#REF!</xm:f>
          </x14:formula1>
          <xm:sqref>H5:I185 L5:M185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C1" workbookViewId="0">
      <selection activeCell="H39" sqref="G39:H39"/>
    </sheetView>
  </sheetViews>
  <sheetFormatPr defaultColWidth="8.7265625" defaultRowHeight="14.5"/>
  <cols>
    <col min="1" max="1" width="14.26953125" customWidth="1"/>
    <col min="2" max="2" width="33" customWidth="1"/>
    <col min="3" max="3" width="53.26953125" customWidth="1"/>
    <col min="5" max="5" width="30" customWidth="1"/>
    <col min="7" max="7" width="45" customWidth="1"/>
    <col min="8" max="8" width="28.7265625" customWidth="1"/>
    <col min="9" max="9" width="53.81640625" customWidth="1"/>
  </cols>
  <sheetData>
    <row r="1" spans="1:11">
      <c r="B1" s="4" t="s">
        <v>660</v>
      </c>
      <c r="C1" s="4" t="s">
        <v>661</v>
      </c>
      <c r="D1" s="2"/>
      <c r="E1" s="150" t="s">
        <v>662</v>
      </c>
      <c r="G1" s="193" t="s">
        <v>663</v>
      </c>
      <c r="I1" t="s">
        <v>664</v>
      </c>
      <c r="K1" t="s">
        <v>36</v>
      </c>
    </row>
    <row r="2" spans="1:11">
      <c r="A2" t="s">
        <v>665</v>
      </c>
      <c r="B2" s="191" t="s">
        <v>666</v>
      </c>
      <c r="C2" s="151" t="s">
        <v>667</v>
      </c>
      <c r="E2" s="145" t="s">
        <v>668</v>
      </c>
      <c r="G2" s="194"/>
      <c r="K2" t="s">
        <v>669</v>
      </c>
    </row>
    <row r="3" spans="1:11" ht="29">
      <c r="A3" t="s">
        <v>665</v>
      </c>
      <c r="B3" s="191" t="s">
        <v>670</v>
      </c>
      <c r="C3" s="151" t="s">
        <v>671</v>
      </c>
      <c r="E3" s="145" t="s">
        <v>42</v>
      </c>
      <c r="G3" s="194" t="s">
        <v>672</v>
      </c>
      <c r="I3" s="195" t="s">
        <v>673</v>
      </c>
      <c r="K3" t="s">
        <v>674</v>
      </c>
    </row>
    <row r="4" spans="1:11">
      <c r="A4" t="s">
        <v>665</v>
      </c>
      <c r="B4" s="191" t="s">
        <v>675</v>
      </c>
      <c r="C4" s="151" t="s">
        <v>676</v>
      </c>
      <c r="E4" s="145" t="s">
        <v>45</v>
      </c>
      <c r="G4" s="194" t="s">
        <v>677</v>
      </c>
      <c r="I4" s="196" t="s">
        <v>678</v>
      </c>
    </row>
    <row r="5" spans="1:11">
      <c r="A5" t="s">
        <v>679</v>
      </c>
      <c r="B5" s="192" t="s">
        <v>680</v>
      </c>
      <c r="C5" s="151" t="s">
        <v>681</v>
      </c>
      <c r="E5" s="145" t="s">
        <v>52</v>
      </c>
      <c r="G5" s="194" t="s">
        <v>682</v>
      </c>
      <c r="I5" s="195" t="s">
        <v>683</v>
      </c>
    </row>
    <row r="6" spans="1:11" ht="29">
      <c r="A6" t="s">
        <v>679</v>
      </c>
      <c r="B6" s="192" t="s">
        <v>684</v>
      </c>
      <c r="C6" s="151" t="s">
        <v>685</v>
      </c>
      <c r="E6" s="145" t="s">
        <v>54</v>
      </c>
      <c r="G6" s="194" t="s">
        <v>686</v>
      </c>
      <c r="I6" s="196" t="s">
        <v>687</v>
      </c>
    </row>
    <row r="7" spans="1:11" ht="29">
      <c r="A7" t="s">
        <v>688</v>
      </c>
      <c r="B7" s="191" t="s">
        <v>689</v>
      </c>
      <c r="C7" s="151" t="s">
        <v>690</v>
      </c>
      <c r="E7" s="145" t="s">
        <v>62</v>
      </c>
      <c r="G7" s="194" t="s">
        <v>691</v>
      </c>
      <c r="I7" s="195" t="s">
        <v>692</v>
      </c>
    </row>
    <row r="8" spans="1:11">
      <c r="A8" t="s">
        <v>693</v>
      </c>
      <c r="B8" s="192" t="s">
        <v>694</v>
      </c>
      <c r="C8" s="151" t="s">
        <v>695</v>
      </c>
      <c r="E8" s="145" t="s">
        <v>696</v>
      </c>
      <c r="G8" s="194" t="s">
        <v>697</v>
      </c>
      <c r="I8" s="196" t="s">
        <v>698</v>
      </c>
    </row>
    <row r="9" spans="1:11">
      <c r="A9" t="s">
        <v>693</v>
      </c>
      <c r="B9" s="192" t="s">
        <v>699</v>
      </c>
      <c r="C9" s="151" t="s">
        <v>700</v>
      </c>
      <c r="G9" s="194" t="s">
        <v>701</v>
      </c>
      <c r="I9" s="195" t="s">
        <v>702</v>
      </c>
    </row>
    <row r="10" spans="1:11">
      <c r="A10" t="s">
        <v>693</v>
      </c>
      <c r="B10" s="192" t="s">
        <v>39</v>
      </c>
      <c r="C10" s="151" t="s">
        <v>703</v>
      </c>
      <c r="G10" s="194" t="s">
        <v>704</v>
      </c>
      <c r="I10" s="196" t="s">
        <v>705</v>
      </c>
    </row>
    <row r="11" spans="1:11" ht="29">
      <c r="A11" t="s">
        <v>693</v>
      </c>
      <c r="B11" s="192" t="s">
        <v>706</v>
      </c>
      <c r="C11" s="151" t="s">
        <v>707</v>
      </c>
      <c r="G11" s="194" t="s">
        <v>708</v>
      </c>
      <c r="I11" s="195" t="s">
        <v>709</v>
      </c>
    </row>
    <row r="12" spans="1:11" ht="29">
      <c r="A12" t="s">
        <v>693</v>
      </c>
      <c r="B12" s="192" t="s">
        <v>710</v>
      </c>
      <c r="C12" s="151" t="s">
        <v>711</v>
      </c>
      <c r="G12" s="194" t="s">
        <v>712</v>
      </c>
      <c r="I12" s="196" t="s">
        <v>713</v>
      </c>
    </row>
    <row r="13" spans="1:11" ht="29">
      <c r="A13" t="s">
        <v>714</v>
      </c>
      <c r="B13" s="192" t="s">
        <v>715</v>
      </c>
      <c r="C13" s="151" t="s">
        <v>716</v>
      </c>
      <c r="G13" s="194" t="s">
        <v>717</v>
      </c>
      <c r="I13" s="195" t="s">
        <v>718</v>
      </c>
    </row>
    <row r="14" spans="1:11" ht="29">
      <c r="A14" t="s">
        <v>714</v>
      </c>
      <c r="B14" s="192" t="s">
        <v>719</v>
      </c>
      <c r="C14" s="151" t="s">
        <v>720</v>
      </c>
      <c r="G14" s="194" t="s">
        <v>721</v>
      </c>
      <c r="I14" s="196" t="s">
        <v>722</v>
      </c>
    </row>
    <row r="15" spans="1:11" ht="29">
      <c r="A15" t="s">
        <v>723</v>
      </c>
      <c r="B15" s="192" t="s">
        <v>723</v>
      </c>
      <c r="C15" s="151" t="s">
        <v>724</v>
      </c>
      <c r="G15" s="194" t="s">
        <v>725</v>
      </c>
      <c r="I15" s="195" t="s">
        <v>726</v>
      </c>
    </row>
    <row r="16" spans="1:11" ht="29">
      <c r="C16" s="151" t="s">
        <v>727</v>
      </c>
      <c r="G16" s="194" t="s">
        <v>728</v>
      </c>
      <c r="I16" s="196" t="s">
        <v>729</v>
      </c>
    </row>
    <row r="17" spans="3:9" ht="29">
      <c r="C17" s="151" t="s">
        <v>730</v>
      </c>
      <c r="G17" s="194" t="s">
        <v>731</v>
      </c>
      <c r="I17" s="195" t="s">
        <v>732</v>
      </c>
    </row>
    <row r="18" spans="3:9" ht="29">
      <c r="C18" s="151" t="s">
        <v>733</v>
      </c>
      <c r="G18" s="194" t="s">
        <v>734</v>
      </c>
      <c r="I18" s="196" t="s">
        <v>735</v>
      </c>
    </row>
    <row r="19" spans="3:9">
      <c r="C19" s="151" t="s">
        <v>723</v>
      </c>
      <c r="G19" s="194" t="s">
        <v>736</v>
      </c>
      <c r="I19" s="195" t="s">
        <v>737</v>
      </c>
    </row>
    <row r="20" spans="3:9">
      <c r="G20" s="194" t="s">
        <v>738</v>
      </c>
      <c r="I20" s="196" t="s">
        <v>739</v>
      </c>
    </row>
    <row r="21" spans="3:9">
      <c r="G21" s="194" t="s">
        <v>740</v>
      </c>
      <c r="I21" s="195" t="s">
        <v>741</v>
      </c>
    </row>
    <row r="22" spans="3:9">
      <c r="G22" s="194" t="s">
        <v>742</v>
      </c>
      <c r="I22" s="196" t="s">
        <v>743</v>
      </c>
    </row>
    <row r="23" spans="3:9">
      <c r="G23" s="194" t="s">
        <v>744</v>
      </c>
      <c r="I23" s="195" t="s">
        <v>745</v>
      </c>
    </row>
    <row r="24" spans="3:9">
      <c r="G24" s="194" t="s">
        <v>746</v>
      </c>
      <c r="I24" s="196" t="s">
        <v>747</v>
      </c>
    </row>
    <row r="25" spans="3:9">
      <c r="G25" s="194" t="s">
        <v>748</v>
      </c>
      <c r="I25" s="195" t="s">
        <v>749</v>
      </c>
    </row>
    <row r="26" spans="3:9">
      <c r="G26" s="194" t="s">
        <v>750</v>
      </c>
      <c r="I26" s="196" t="s">
        <v>751</v>
      </c>
    </row>
    <row r="27" spans="3:9">
      <c r="G27" s="194" t="s">
        <v>752</v>
      </c>
      <c r="I27" s="195" t="s">
        <v>753</v>
      </c>
    </row>
    <row r="28" spans="3:9">
      <c r="G28" s="194" t="s">
        <v>754</v>
      </c>
      <c r="I28" s="196" t="s">
        <v>755</v>
      </c>
    </row>
    <row r="29" spans="3:9">
      <c r="G29" s="194" t="s">
        <v>756</v>
      </c>
      <c r="I29" s="195" t="s">
        <v>757</v>
      </c>
    </row>
    <row r="30" spans="3:9">
      <c r="G30" s="194" t="s">
        <v>758</v>
      </c>
      <c r="I30" s="196" t="s">
        <v>759</v>
      </c>
    </row>
    <row r="31" spans="3:9">
      <c r="G31" s="194" t="s">
        <v>760</v>
      </c>
      <c r="I31" s="195" t="s">
        <v>761</v>
      </c>
    </row>
    <row r="32" spans="3:9">
      <c r="G32" s="194" t="s">
        <v>762</v>
      </c>
      <c r="I32" s="196" t="s">
        <v>763</v>
      </c>
    </row>
    <row r="33" spans="7:9">
      <c r="G33" s="194" t="s">
        <v>764</v>
      </c>
      <c r="I33" s="195" t="s">
        <v>765</v>
      </c>
    </row>
    <row r="34" spans="7:9">
      <c r="G34" s="194" t="s">
        <v>766</v>
      </c>
      <c r="I34" s="196" t="s">
        <v>767</v>
      </c>
    </row>
    <row r="35" spans="7:9">
      <c r="G35" s="194" t="s">
        <v>768</v>
      </c>
      <c r="I35" s="195" t="s">
        <v>769</v>
      </c>
    </row>
    <row r="36" spans="7:9">
      <c r="G36" s="194" t="s">
        <v>770</v>
      </c>
      <c r="I36" s="196" t="s">
        <v>757</v>
      </c>
    </row>
    <row r="37" spans="7:9">
      <c r="G37" s="194" t="s">
        <v>771</v>
      </c>
      <c r="I37" s="195" t="s">
        <v>772</v>
      </c>
    </row>
    <row r="38" spans="7:9">
      <c r="G38" s="194" t="s">
        <v>773</v>
      </c>
      <c r="I38" s="196" t="s">
        <v>774</v>
      </c>
    </row>
    <row r="39" spans="7:9">
      <c r="G39" s="473" t="s">
        <v>1930</v>
      </c>
      <c r="H39" s="474"/>
      <c r="I39" s="195" t="s">
        <v>775</v>
      </c>
    </row>
    <row r="40" spans="7:9">
      <c r="I40" s="196" t="s">
        <v>776</v>
      </c>
    </row>
    <row r="41" spans="7:9">
      <c r="I41" s="195" t="s">
        <v>777</v>
      </c>
    </row>
    <row r="42" spans="7:9">
      <c r="I42" s="196" t="s">
        <v>778</v>
      </c>
    </row>
    <row r="43" spans="7:9">
      <c r="I43" s="195" t="s">
        <v>779</v>
      </c>
    </row>
    <row r="44" spans="7:9">
      <c r="I44" s="196" t="s">
        <v>780</v>
      </c>
    </row>
    <row r="45" spans="7:9">
      <c r="I45" s="195" t="s">
        <v>781</v>
      </c>
    </row>
    <row r="46" spans="7:9">
      <c r="I46" s="196" t="s">
        <v>782</v>
      </c>
    </row>
    <row r="47" spans="7:9">
      <c r="I47" s="195" t="s">
        <v>783</v>
      </c>
    </row>
    <row r="48" spans="7:9">
      <c r="I48" s="196" t="s">
        <v>784</v>
      </c>
    </row>
    <row r="49" spans="9:9">
      <c r="I49" s="195" t="s">
        <v>785</v>
      </c>
    </row>
    <row r="50" spans="9:9">
      <c r="I50" s="196" t="s">
        <v>786</v>
      </c>
    </row>
    <row r="51" spans="9:9">
      <c r="I51" s="195" t="s">
        <v>787</v>
      </c>
    </row>
    <row r="52" spans="9:9">
      <c r="I52" s="196" t="s">
        <v>788</v>
      </c>
    </row>
    <row r="53" spans="9:9">
      <c r="I53" s="195" t="s">
        <v>789</v>
      </c>
    </row>
    <row r="54" spans="9:9">
      <c r="I54" s="196" t="s">
        <v>790</v>
      </c>
    </row>
    <row r="55" spans="9:9">
      <c r="I55" s="195" t="s">
        <v>791</v>
      </c>
    </row>
    <row r="56" spans="9:9">
      <c r="I56" s="196" t="s">
        <v>792</v>
      </c>
    </row>
    <row r="57" spans="9:9">
      <c r="I57" s="195" t="s">
        <v>793</v>
      </c>
    </row>
    <row r="58" spans="9:9">
      <c r="I58" s="196" t="s">
        <v>794</v>
      </c>
    </row>
    <row r="59" spans="9:9">
      <c r="I59" s="195" t="s">
        <v>795</v>
      </c>
    </row>
    <row r="60" spans="9:9">
      <c r="I60" s="196" t="s">
        <v>796</v>
      </c>
    </row>
    <row r="61" spans="9:9">
      <c r="I61" s="195" t="s">
        <v>797</v>
      </c>
    </row>
    <row r="62" spans="9:9">
      <c r="I62" s="196" t="s">
        <v>798</v>
      </c>
    </row>
    <row r="63" spans="9:9">
      <c r="I63" s="195" t="s">
        <v>799</v>
      </c>
    </row>
    <row r="64" spans="9:9">
      <c r="I64" s="196" t="s">
        <v>800</v>
      </c>
    </row>
    <row r="65" spans="9:9">
      <c r="I65" s="195" t="s">
        <v>801</v>
      </c>
    </row>
    <row r="66" spans="9:9">
      <c r="I66" s="196" t="s">
        <v>802</v>
      </c>
    </row>
    <row r="67" spans="9:9">
      <c r="I67" s="195" t="s">
        <v>803</v>
      </c>
    </row>
    <row r="68" spans="9:9">
      <c r="I68" s="196" t="s">
        <v>804</v>
      </c>
    </row>
    <row r="69" spans="9:9">
      <c r="I69" s="195" t="s">
        <v>805</v>
      </c>
    </row>
    <row r="70" spans="9:9">
      <c r="I70" s="196" t="s">
        <v>806</v>
      </c>
    </row>
    <row r="71" spans="9:9">
      <c r="I71" s="195" t="s">
        <v>807</v>
      </c>
    </row>
    <row r="72" spans="9:9">
      <c r="I72" s="196" t="s">
        <v>808</v>
      </c>
    </row>
    <row r="73" spans="9:9">
      <c r="I73" s="195" t="s">
        <v>809</v>
      </c>
    </row>
    <row r="74" spans="9:9">
      <c r="I74" s="196" t="s">
        <v>810</v>
      </c>
    </row>
    <row r="75" spans="9:9">
      <c r="I75" s="195" t="s">
        <v>811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election activeCell="H12" sqref="H12"/>
    </sheetView>
  </sheetViews>
  <sheetFormatPr defaultRowHeight="14.5"/>
  <cols>
    <col min="1" max="1" width="44.7265625" bestFit="1" customWidth="1"/>
    <col min="2" max="2" width="16.7265625" customWidth="1"/>
    <col min="4" max="4" width="11.453125" customWidth="1"/>
    <col min="5" max="5" width="22.26953125" customWidth="1"/>
    <col min="6" max="6" width="24.26953125" customWidth="1"/>
    <col min="7" max="7" width="14.1796875" customWidth="1"/>
    <col min="8" max="8" width="15.7265625" customWidth="1"/>
    <col min="9" max="9" width="18" customWidth="1"/>
    <col min="10" max="10" width="12.7265625" customWidth="1"/>
    <col min="11" max="11" width="18.7265625" customWidth="1"/>
    <col min="12" max="12" width="15.26953125" customWidth="1"/>
    <col min="13" max="13" width="28.7265625" customWidth="1"/>
    <col min="14" max="14" width="46.26953125" customWidth="1"/>
    <col min="15" max="15" width="38.26953125" customWidth="1"/>
    <col min="16" max="16" width="21.7265625" customWidth="1"/>
    <col min="17" max="17" width="16.54296875" customWidth="1"/>
  </cols>
  <sheetData>
    <row r="1" spans="1:17">
      <c r="A1" s="198" t="s">
        <v>22</v>
      </c>
      <c r="B1" s="199" t="s">
        <v>812</v>
      </c>
      <c r="D1" s="197" t="s">
        <v>813</v>
      </c>
      <c r="E1" s="197" t="s">
        <v>814</v>
      </c>
      <c r="F1" s="197" t="s">
        <v>815</v>
      </c>
      <c r="G1" s="197" t="s">
        <v>816</v>
      </c>
      <c r="H1" s="197" t="s">
        <v>817</v>
      </c>
      <c r="I1" s="197" t="s">
        <v>818</v>
      </c>
      <c r="J1" s="197" t="s">
        <v>819</v>
      </c>
      <c r="K1" s="197" t="s">
        <v>820</v>
      </c>
      <c r="L1" s="197" t="s">
        <v>821</v>
      </c>
      <c r="M1" s="197" t="s">
        <v>822</v>
      </c>
      <c r="N1" s="197" t="s">
        <v>823</v>
      </c>
      <c r="O1" s="197" t="s">
        <v>824</v>
      </c>
      <c r="P1" s="197" t="s">
        <v>825</v>
      </c>
      <c r="Q1" s="197" t="s">
        <v>826</v>
      </c>
    </row>
    <row r="2" spans="1:17">
      <c r="A2" s="197" t="s">
        <v>813</v>
      </c>
      <c r="B2" t="s">
        <v>827</v>
      </c>
      <c r="D2" s="197" t="s">
        <v>828</v>
      </c>
      <c r="E2" s="197" t="s">
        <v>829</v>
      </c>
      <c r="F2" s="197" t="s">
        <v>830</v>
      </c>
      <c r="G2" s="197" t="s">
        <v>831</v>
      </c>
      <c r="H2" s="197" t="s">
        <v>832</v>
      </c>
      <c r="I2" s="197" t="s">
        <v>833</v>
      </c>
      <c r="J2" s="197" t="s">
        <v>834</v>
      </c>
      <c r="K2" s="197" t="s">
        <v>835</v>
      </c>
      <c r="L2" s="197" t="s">
        <v>836</v>
      </c>
      <c r="M2" s="197" t="s">
        <v>837</v>
      </c>
      <c r="N2" s="197" t="s">
        <v>838</v>
      </c>
      <c r="O2" s="197" t="s">
        <v>839</v>
      </c>
      <c r="P2" s="197" t="s">
        <v>840</v>
      </c>
      <c r="Q2" s="197" t="s">
        <v>841</v>
      </c>
    </row>
    <row r="3" spans="1:17">
      <c r="A3" s="197" t="s">
        <v>814</v>
      </c>
      <c r="B3" t="s">
        <v>842</v>
      </c>
      <c r="D3" s="197" t="s">
        <v>843</v>
      </c>
      <c r="E3" s="197" t="s">
        <v>844</v>
      </c>
      <c r="F3" s="197" t="s">
        <v>845</v>
      </c>
      <c r="G3" s="197" t="s">
        <v>846</v>
      </c>
      <c r="H3" s="197" t="s">
        <v>847</v>
      </c>
      <c r="I3" s="197" t="s">
        <v>848</v>
      </c>
      <c r="J3" s="197" t="s">
        <v>849</v>
      </c>
      <c r="K3" s="197" t="s">
        <v>850</v>
      </c>
      <c r="L3" s="197" t="s">
        <v>851</v>
      </c>
      <c r="M3" s="197" t="s">
        <v>852</v>
      </c>
      <c r="N3" s="197" t="s">
        <v>853</v>
      </c>
      <c r="O3" s="197" t="s">
        <v>854</v>
      </c>
      <c r="P3" s="197" t="s">
        <v>855</v>
      </c>
      <c r="Q3" s="197" t="s">
        <v>856</v>
      </c>
    </row>
    <row r="4" spans="1:17">
      <c r="A4" s="197" t="s">
        <v>815</v>
      </c>
      <c r="B4" t="s">
        <v>857</v>
      </c>
      <c r="D4" s="197" t="s">
        <v>858</v>
      </c>
      <c r="E4" s="197" t="s">
        <v>859</v>
      </c>
      <c r="F4" s="197" t="s">
        <v>860</v>
      </c>
      <c r="G4" s="197" t="s">
        <v>861</v>
      </c>
      <c r="H4" s="197" t="s">
        <v>862</v>
      </c>
      <c r="I4" s="197" t="s">
        <v>863</v>
      </c>
      <c r="J4" s="197" t="s">
        <v>864</v>
      </c>
      <c r="K4" s="197" t="s">
        <v>865</v>
      </c>
      <c r="L4" s="197" t="s">
        <v>866</v>
      </c>
      <c r="M4" s="197" t="s">
        <v>867</v>
      </c>
      <c r="N4" s="197" t="s">
        <v>868</v>
      </c>
      <c r="O4" s="197" t="s">
        <v>869</v>
      </c>
      <c r="P4" s="197" t="s">
        <v>870</v>
      </c>
      <c r="Q4" s="197" t="s">
        <v>871</v>
      </c>
    </row>
    <row r="5" spans="1:17">
      <c r="A5" s="197" t="s">
        <v>816</v>
      </c>
      <c r="B5" t="s">
        <v>872</v>
      </c>
      <c r="E5" s="197" t="s">
        <v>873</v>
      </c>
      <c r="F5" s="197" t="s">
        <v>874</v>
      </c>
      <c r="G5" s="197" t="s">
        <v>875</v>
      </c>
      <c r="H5" s="197" t="s">
        <v>876</v>
      </c>
      <c r="I5" s="197" t="s">
        <v>877</v>
      </c>
      <c r="J5" s="197" t="s">
        <v>878</v>
      </c>
      <c r="K5" s="197" t="s">
        <v>879</v>
      </c>
      <c r="L5" s="197" t="s">
        <v>880</v>
      </c>
      <c r="M5" s="197" t="s">
        <v>881</v>
      </c>
      <c r="N5" s="197" t="s">
        <v>882</v>
      </c>
      <c r="O5" s="197" t="s">
        <v>883</v>
      </c>
      <c r="P5" s="197" t="s">
        <v>884</v>
      </c>
      <c r="Q5" s="197" t="s">
        <v>885</v>
      </c>
    </row>
    <row r="6" spans="1:17">
      <c r="A6" s="197" t="s">
        <v>817</v>
      </c>
      <c r="B6" t="s">
        <v>886</v>
      </c>
      <c r="E6" s="197" t="s">
        <v>887</v>
      </c>
      <c r="F6" s="197" t="s">
        <v>888</v>
      </c>
      <c r="G6" s="197" t="s">
        <v>889</v>
      </c>
      <c r="H6" s="197" t="s">
        <v>890</v>
      </c>
      <c r="I6" s="197" t="s">
        <v>891</v>
      </c>
      <c r="J6" s="197" t="s">
        <v>892</v>
      </c>
      <c r="K6" s="197" t="s">
        <v>893</v>
      </c>
      <c r="L6" s="197" t="s">
        <v>894</v>
      </c>
      <c r="M6" s="197" t="s">
        <v>895</v>
      </c>
      <c r="N6" s="197" t="s">
        <v>896</v>
      </c>
      <c r="O6" s="197" t="s">
        <v>897</v>
      </c>
      <c r="P6" s="197" t="s">
        <v>898</v>
      </c>
      <c r="Q6" s="197" t="s">
        <v>899</v>
      </c>
    </row>
    <row r="7" spans="1:17">
      <c r="A7" s="197" t="s">
        <v>818</v>
      </c>
      <c r="B7" t="s">
        <v>900</v>
      </c>
      <c r="E7" s="197" t="s">
        <v>901</v>
      </c>
      <c r="F7" s="197" t="s">
        <v>902</v>
      </c>
      <c r="G7" s="197" t="s">
        <v>903</v>
      </c>
      <c r="H7" s="197" t="s">
        <v>904</v>
      </c>
      <c r="I7" s="197" t="s">
        <v>905</v>
      </c>
      <c r="J7" s="197" t="s">
        <v>906</v>
      </c>
      <c r="L7" s="197" t="s">
        <v>907</v>
      </c>
      <c r="M7" s="197" t="s">
        <v>908</v>
      </c>
      <c r="N7" s="197" t="s">
        <v>909</v>
      </c>
      <c r="O7" s="197" t="s">
        <v>910</v>
      </c>
      <c r="P7" s="197" t="s">
        <v>911</v>
      </c>
      <c r="Q7" s="197" t="s">
        <v>912</v>
      </c>
    </row>
    <row r="8" spans="1:17">
      <c r="A8" s="197" t="s">
        <v>819</v>
      </c>
      <c r="B8" t="s">
        <v>913</v>
      </c>
      <c r="F8" s="197" t="s">
        <v>914</v>
      </c>
      <c r="G8" s="197" t="s">
        <v>915</v>
      </c>
      <c r="H8" s="197" t="s">
        <v>916</v>
      </c>
      <c r="I8" s="197" t="s">
        <v>917</v>
      </c>
      <c r="J8" s="197" t="s">
        <v>918</v>
      </c>
      <c r="L8" s="197" t="s">
        <v>919</v>
      </c>
      <c r="M8" s="197" t="s">
        <v>920</v>
      </c>
      <c r="N8" s="197" t="s">
        <v>921</v>
      </c>
      <c r="O8" s="197" t="s">
        <v>922</v>
      </c>
      <c r="P8" s="197" t="s">
        <v>923</v>
      </c>
      <c r="Q8" s="197" t="s">
        <v>924</v>
      </c>
    </row>
    <row r="9" spans="1:17">
      <c r="A9" s="197" t="s">
        <v>820</v>
      </c>
      <c r="B9" t="s">
        <v>925</v>
      </c>
      <c r="F9" s="197" t="s">
        <v>926</v>
      </c>
      <c r="G9" s="197" t="s">
        <v>927</v>
      </c>
      <c r="H9" s="197" t="s">
        <v>928</v>
      </c>
      <c r="I9" s="197" t="s">
        <v>929</v>
      </c>
      <c r="J9" s="197" t="s">
        <v>930</v>
      </c>
      <c r="L9" s="197" t="s">
        <v>931</v>
      </c>
      <c r="M9" s="197" t="s">
        <v>932</v>
      </c>
      <c r="N9" s="197" t="s">
        <v>933</v>
      </c>
      <c r="O9" s="197" t="s">
        <v>934</v>
      </c>
      <c r="P9" s="197" t="s">
        <v>935</v>
      </c>
    </row>
    <row r="10" spans="1:17">
      <c r="A10" s="197" t="s">
        <v>821</v>
      </c>
      <c r="B10" t="s">
        <v>936</v>
      </c>
      <c r="F10" s="197" t="s">
        <v>937</v>
      </c>
      <c r="I10" s="197" t="s">
        <v>938</v>
      </c>
      <c r="J10" s="197" t="s">
        <v>939</v>
      </c>
      <c r="L10" s="197" t="s">
        <v>940</v>
      </c>
      <c r="M10" s="197" t="s">
        <v>941</v>
      </c>
      <c r="O10" s="197" t="s">
        <v>942</v>
      </c>
      <c r="P10" s="197" t="s">
        <v>943</v>
      </c>
    </row>
    <row r="11" spans="1:17">
      <c r="A11" s="197" t="s">
        <v>822</v>
      </c>
      <c r="B11" t="s">
        <v>944</v>
      </c>
      <c r="F11" s="197" t="s">
        <v>945</v>
      </c>
      <c r="I11" s="197" t="s">
        <v>946</v>
      </c>
      <c r="J11" s="197" t="s">
        <v>947</v>
      </c>
      <c r="M11" s="197" t="s">
        <v>948</v>
      </c>
      <c r="O11" s="197" t="s">
        <v>949</v>
      </c>
      <c r="P11" s="197" t="s">
        <v>950</v>
      </c>
    </row>
    <row r="12" spans="1:17">
      <c r="A12" s="197" t="s">
        <v>823</v>
      </c>
      <c r="B12" t="s">
        <v>951</v>
      </c>
      <c r="F12" s="197" t="s">
        <v>952</v>
      </c>
      <c r="I12" s="197" t="s">
        <v>953</v>
      </c>
      <c r="J12" s="197" t="s">
        <v>954</v>
      </c>
      <c r="M12" s="197" t="s">
        <v>955</v>
      </c>
      <c r="O12" s="197" t="s">
        <v>956</v>
      </c>
      <c r="P12" s="197" t="s">
        <v>957</v>
      </c>
    </row>
    <row r="13" spans="1:17">
      <c r="A13" s="197" t="s">
        <v>824</v>
      </c>
      <c r="B13" t="s">
        <v>958</v>
      </c>
      <c r="F13" s="197" t="s">
        <v>959</v>
      </c>
      <c r="I13" s="197" t="s">
        <v>960</v>
      </c>
      <c r="J13" s="197" t="s">
        <v>961</v>
      </c>
      <c r="M13" s="197" t="s">
        <v>962</v>
      </c>
      <c r="O13" s="197" t="s">
        <v>963</v>
      </c>
      <c r="P13" s="197" t="s">
        <v>964</v>
      </c>
    </row>
    <row r="14" spans="1:17">
      <c r="A14" s="197" t="s">
        <v>825</v>
      </c>
      <c r="B14" t="s">
        <v>965</v>
      </c>
      <c r="F14" s="197" t="s">
        <v>966</v>
      </c>
      <c r="I14" s="197" t="s">
        <v>967</v>
      </c>
      <c r="J14" s="197" t="s">
        <v>968</v>
      </c>
      <c r="M14" s="197" t="s">
        <v>969</v>
      </c>
      <c r="P14" s="197"/>
    </row>
    <row r="15" spans="1:17">
      <c r="A15" s="197" t="s">
        <v>826</v>
      </c>
      <c r="B15" t="s">
        <v>970</v>
      </c>
      <c r="F15" s="197" t="s">
        <v>971</v>
      </c>
      <c r="I15" s="197" t="s">
        <v>972</v>
      </c>
      <c r="J15" s="197" t="s">
        <v>973</v>
      </c>
      <c r="M15" s="197" t="s">
        <v>974</v>
      </c>
      <c r="P15" s="197"/>
    </row>
    <row r="16" spans="1:17">
      <c r="F16" s="197" t="s">
        <v>975</v>
      </c>
      <c r="J16" s="197" t="s">
        <v>976</v>
      </c>
      <c r="P16" s="197"/>
    </row>
    <row r="17" spans="6:6">
      <c r="F17" s="197" t="s">
        <v>977</v>
      </c>
    </row>
    <row r="18" spans="6:6">
      <c r="F18" s="197" t="s">
        <v>978</v>
      </c>
    </row>
    <row r="19" spans="6:6">
      <c r="F19" s="197" t="s">
        <v>979</v>
      </c>
    </row>
    <row r="20" spans="6:6">
      <c r="F20" s="197" t="s">
        <v>980</v>
      </c>
    </row>
    <row r="21" spans="6:6">
      <c r="F21" s="197" t="s">
        <v>981</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371413DD-2736-4183-B2AB-EB48E5163B74}"/>
</file>

<file path=customXml/itemProps3.xml><?xml version="1.0" encoding="utf-8"?>
<ds:datastoreItem xmlns:ds="http://schemas.openxmlformats.org/officeDocument/2006/customXml" ds:itemID="{9C3BBD1B-D8EB-4F55-AA85-1B39798B5B8A}">
  <ds:schemaRefs>
    <ds:schemaRef ds:uri="http://purl.org/dc/terms/"/>
    <ds:schemaRef ds:uri="da98c164-a57d-40d4-8901-16c51c954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9a081172-b0b2-43c5-ad2b-9c1cb8f67e0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Instruccions</vt:lpstr>
      <vt:lpstr>PROGRAMA ANUAL</vt:lpstr>
      <vt:lpstr>PLA ESTRATÈGIC PN MONTSANT</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Aymami Ortiz, Noemi</cp:lastModifiedBy>
  <cp:revision/>
  <dcterms:created xsi:type="dcterms:W3CDTF">2015-06-05T18:17:20Z</dcterms:created>
  <dcterms:modified xsi:type="dcterms:W3CDTF">2026-03-03T10:10:01Z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