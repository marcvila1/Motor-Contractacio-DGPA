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mc:AlternateContent xmlns:mc="http://schemas.openxmlformats.org/markup-compatibility/2006">
    <mc:Choice Requires="x15">
      <x15ac:absPath xmlns:x15ac="http://schemas.microsoft.com/office/spreadsheetml/2010/11/ac" url="Z:\317\04476\PN_MONTGRI MEDES I BAIX  TER\UO4500\EIX 3 PLANIFICACIÓ\Pla Estratègic\Programa actuacions\2026\"/>
    </mc:Choice>
  </mc:AlternateContent>
  <bookViews>
    <workbookView xWindow="-28920" yWindow="-120" windowWidth="29040" windowHeight="15720" tabRatio="395" firstSheet="1" activeTab="2"/>
  </bookViews>
  <sheets>
    <sheet name="Instruccions" sheetId="18" r:id="rId1"/>
    <sheet name="PROGRAMA ANUAL" sheetId="14" r:id="rId2"/>
    <sheet name="PLA ESTRATÈGIC" sheetId="16" r:id="rId3"/>
    <sheet name="Llistes" sheetId="5" r:id="rId4"/>
    <sheet name="Gestors" sheetId="19" r:id="rId5"/>
  </sheets>
  <externalReferences>
    <externalReference r:id="rId6"/>
    <externalReference r:id="rId7"/>
    <externalReference r:id="rId8"/>
    <externalReference r:id="rId9"/>
    <externalReference r:id="rId10"/>
  </externalReferences>
  <definedNames>
    <definedName name="_xlnm._FilterDatabase" localSheetId="2" hidden="1">'PLA ESTRATÈGIC'!$A$4:$P$185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6" i="16" l="1"/>
  <c r="X205" i="16"/>
  <c r="U205" i="16" s="1"/>
  <c r="K205" i="16"/>
  <c r="X204" i="16"/>
  <c r="U204" i="16"/>
  <c r="X203" i="16"/>
  <c r="U203" i="16"/>
  <c r="X202" i="16"/>
  <c r="U202" i="16" s="1"/>
  <c r="X201" i="16"/>
  <c r="U201" i="16"/>
  <c r="K201" i="16"/>
  <c r="X200" i="16"/>
  <c r="U200" i="16"/>
  <c r="X199" i="16"/>
  <c r="U199" i="16" s="1"/>
  <c r="K199" i="16"/>
  <c r="X198" i="16"/>
  <c r="U198" i="16"/>
  <c r="K198" i="16"/>
  <c r="X197" i="16"/>
  <c r="U197" i="16"/>
  <c r="K197" i="16"/>
  <c r="X196" i="16"/>
  <c r="U196" i="16" s="1"/>
  <c r="K196" i="16"/>
  <c r="X195" i="16"/>
  <c r="U195" i="16"/>
  <c r="K195" i="16"/>
  <c r="X194" i="16"/>
  <c r="U194" i="16"/>
  <c r="K194" i="16"/>
  <c r="X193" i="16"/>
  <c r="U193" i="16" s="1"/>
  <c r="K193" i="16"/>
  <c r="X192" i="16"/>
  <c r="U192" i="16"/>
  <c r="X191" i="16"/>
  <c r="U191" i="16"/>
  <c r="K191" i="16"/>
  <c r="X190" i="16"/>
  <c r="U190" i="16" s="1"/>
  <c r="T190" i="16"/>
  <c r="S190" i="16"/>
  <c r="U189" i="16"/>
  <c r="X188" i="16"/>
  <c r="U188" i="16"/>
  <c r="K188" i="16"/>
  <c r="X187" i="16"/>
  <c r="U187" i="16" s="1"/>
  <c r="U186" i="16"/>
  <c r="X185" i="16"/>
  <c r="U185" i="16"/>
  <c r="X184" i="16"/>
  <c r="U184" i="16"/>
  <c r="K184" i="16"/>
  <c r="X183" i="16"/>
  <c r="U183" i="16" s="1"/>
  <c r="X182" i="16"/>
  <c r="U182" i="16"/>
  <c r="S182" i="16"/>
  <c r="K182" i="16"/>
  <c r="X181" i="16"/>
  <c r="U181" i="16" s="1"/>
  <c r="K181" i="16"/>
  <c r="X180" i="16"/>
  <c r="U180" i="16"/>
  <c r="X179" i="16"/>
  <c r="U179" i="16"/>
  <c r="K179" i="16"/>
  <c r="X178" i="16"/>
  <c r="U178" i="16" s="1"/>
  <c r="K178" i="16"/>
  <c r="X177" i="16"/>
  <c r="U177" i="16"/>
  <c r="K177" i="16"/>
  <c r="X176" i="16"/>
  <c r="U176" i="16"/>
  <c r="X175" i="16"/>
  <c r="U175" i="16" s="1"/>
  <c r="K175" i="16"/>
  <c r="X174" i="16"/>
  <c r="U174" i="16"/>
  <c r="K174" i="16"/>
  <c r="X173" i="16"/>
  <c r="U173" i="16"/>
  <c r="X172" i="16"/>
  <c r="U172" i="16" s="1"/>
  <c r="X171" i="16"/>
  <c r="U171" i="16" s="1"/>
  <c r="K171" i="16"/>
  <c r="X170" i="16"/>
  <c r="U170" i="16"/>
  <c r="S170" i="16"/>
  <c r="X169" i="16"/>
  <c r="U169" i="16" s="1"/>
  <c r="U168" i="16"/>
  <c r="X167" i="16"/>
  <c r="U167" i="16"/>
  <c r="S167" i="16"/>
  <c r="X166" i="16"/>
  <c r="U166" i="16"/>
  <c r="K166" i="16"/>
  <c r="X165" i="16"/>
  <c r="U165" i="16" s="1"/>
  <c r="X164" i="16"/>
  <c r="U164" i="16"/>
  <c r="S164" i="16"/>
  <c r="X163" i="16"/>
  <c r="U163" i="16"/>
  <c r="S163" i="16"/>
  <c r="S206" i="16" s="1"/>
  <c r="X162" i="16"/>
  <c r="U162" i="16" s="1"/>
  <c r="K162" i="16"/>
  <c r="X161" i="16"/>
  <c r="U161" i="16"/>
  <c r="X160" i="16"/>
  <c r="U160" i="16"/>
  <c r="K160" i="16"/>
  <c r="X159" i="16"/>
  <c r="U159" i="16" s="1"/>
  <c r="K159" i="16"/>
  <c r="X158" i="16"/>
  <c r="U158" i="16"/>
  <c r="X157" i="16"/>
  <c r="U157" i="16"/>
  <c r="U156" i="16"/>
  <c r="K156" i="16"/>
  <c r="X155" i="16"/>
  <c r="U155" i="16" s="1"/>
  <c r="X154" i="16"/>
  <c r="U154" i="16"/>
  <c r="X152" i="16"/>
  <c r="U152" i="16" s="1"/>
  <c r="U151" i="16"/>
  <c r="K151" i="16"/>
  <c r="U150" i="16"/>
  <c r="U149" i="16"/>
  <c r="K149" i="16"/>
  <c r="X148" i="16"/>
  <c r="U148" i="16"/>
  <c r="U147" i="16"/>
  <c r="X146" i="16"/>
  <c r="U146" i="16" s="1"/>
  <c r="X145" i="16"/>
  <c r="U145" i="16"/>
  <c r="U144" i="16"/>
  <c r="K144" i="16"/>
  <c r="U143" i="16"/>
  <c r="X142" i="16"/>
  <c r="U142" i="16" s="1"/>
  <c r="X141" i="16"/>
  <c r="U141" i="16"/>
  <c r="X140" i="16"/>
  <c r="U140" i="16"/>
  <c r="X139" i="16"/>
  <c r="U139" i="16"/>
  <c r="X138" i="16"/>
  <c r="U138" i="16" s="1"/>
  <c r="X137" i="16"/>
  <c r="U137" i="16"/>
  <c r="X136" i="16"/>
  <c r="U136" i="16"/>
  <c r="X135" i="16"/>
  <c r="U135" i="16"/>
  <c r="X134" i="16"/>
  <c r="U134" i="16" s="1"/>
  <c r="X133" i="16"/>
  <c r="U133" i="16"/>
  <c r="U132" i="16"/>
  <c r="X131" i="16"/>
  <c r="U131" i="16"/>
  <c r="K131" i="16"/>
  <c r="X130" i="16"/>
  <c r="U130" i="16" s="1"/>
  <c r="K130" i="16"/>
  <c r="X129" i="16"/>
  <c r="U129" i="16"/>
  <c r="X128" i="16"/>
  <c r="U128" i="16"/>
  <c r="X127" i="16"/>
  <c r="U127" i="16" s="1"/>
  <c r="U126" i="16"/>
  <c r="U125" i="16"/>
  <c r="U124" i="16"/>
  <c r="U123" i="16"/>
  <c r="X122" i="16"/>
  <c r="U122" i="16"/>
  <c r="X121" i="16"/>
  <c r="U121" i="16" s="1"/>
  <c r="X120" i="16"/>
  <c r="U120" i="16" s="1"/>
  <c r="U119" i="16"/>
  <c r="X118" i="16"/>
  <c r="U118" i="16"/>
  <c r="U117" i="16"/>
  <c r="U116" i="16"/>
  <c r="U115" i="16"/>
  <c r="X114" i="16"/>
  <c r="U114" i="16" s="1"/>
  <c r="X113" i="16"/>
  <c r="U113" i="16"/>
  <c r="U112" i="16"/>
  <c r="U111" i="16"/>
  <c r="X110" i="16"/>
  <c r="U110" i="16" s="1"/>
  <c r="X108" i="16"/>
  <c r="K108" i="16"/>
  <c r="U106" i="16"/>
  <c r="K106" i="16"/>
  <c r="X105" i="16"/>
  <c r="U105" i="16"/>
  <c r="K105" i="16"/>
  <c r="X104" i="16"/>
  <c r="U104" i="16" s="1"/>
  <c r="U103" i="16"/>
  <c r="X102" i="16"/>
  <c r="U102" i="16"/>
  <c r="U101" i="16"/>
  <c r="X100" i="16"/>
  <c r="U100" i="16"/>
  <c r="K100" i="16"/>
  <c r="X99" i="16"/>
  <c r="U99" i="16" s="1"/>
  <c r="K99" i="16"/>
  <c r="X98" i="16"/>
  <c r="U98" i="16"/>
  <c r="X97" i="16"/>
  <c r="U97" i="16"/>
  <c r="X96" i="16"/>
  <c r="U96" i="16" s="1"/>
  <c r="K96" i="16"/>
  <c r="X95" i="16"/>
  <c r="U95" i="16"/>
  <c r="K95" i="16"/>
  <c r="X94" i="16"/>
  <c r="U94" i="16"/>
  <c r="X93" i="16"/>
  <c r="U93" i="16" s="1"/>
  <c r="S93" i="16"/>
  <c r="X92" i="16"/>
  <c r="U92" i="16"/>
  <c r="U91" i="16"/>
  <c r="K91" i="16"/>
  <c r="U90" i="16"/>
  <c r="K90" i="16"/>
  <c r="U89" i="16"/>
  <c r="K89" i="16"/>
  <c r="U88" i="16"/>
  <c r="K88" i="16"/>
  <c r="X87" i="16"/>
  <c r="U87" i="16"/>
  <c r="K87" i="16"/>
  <c r="X86" i="16"/>
  <c r="U86" i="16" s="1"/>
  <c r="K86" i="16"/>
  <c r="X85" i="16"/>
  <c r="U85" i="16"/>
  <c r="K85" i="16"/>
  <c r="U84" i="16"/>
  <c r="X83" i="16"/>
  <c r="U83" i="16" s="1"/>
  <c r="X82" i="16"/>
  <c r="U82" i="16" s="1"/>
  <c r="K82" i="16"/>
  <c r="X81" i="16"/>
  <c r="U81" i="16"/>
  <c r="X80" i="16"/>
  <c r="U80" i="16"/>
  <c r="S80" i="16"/>
  <c r="X79" i="16"/>
  <c r="U79" i="16" s="1"/>
  <c r="K79" i="16"/>
  <c r="U78" i="16"/>
  <c r="X77" i="16"/>
  <c r="U77" i="16"/>
  <c r="K77" i="16"/>
  <c r="X76" i="16"/>
  <c r="U76" i="16" s="1"/>
  <c r="K76" i="16"/>
  <c r="X75" i="16"/>
  <c r="U75" i="16"/>
  <c r="X74" i="16"/>
  <c r="U74" i="16"/>
  <c r="X73" i="16"/>
  <c r="U73" i="16" s="1"/>
  <c r="K73" i="16"/>
  <c r="X72" i="16"/>
  <c r="U72" i="16"/>
  <c r="X71" i="16"/>
  <c r="U71" i="16"/>
  <c r="K71" i="16"/>
  <c r="U70" i="16"/>
  <c r="X69" i="16"/>
  <c r="U69" i="16" s="1"/>
  <c r="K69" i="16"/>
  <c r="X68" i="16"/>
  <c r="U68" i="16"/>
  <c r="K68" i="16"/>
  <c r="X67" i="16"/>
  <c r="U67" i="16"/>
  <c r="K67" i="16"/>
  <c r="X66" i="16"/>
  <c r="U66" i="16" s="1"/>
  <c r="U65" i="16"/>
  <c r="U64" i="16"/>
  <c r="X63" i="16"/>
  <c r="U63" i="16"/>
  <c r="K63" i="16"/>
  <c r="X62" i="16"/>
  <c r="U62" i="16" s="1"/>
  <c r="U61" i="16"/>
  <c r="K61" i="16"/>
  <c r="X60" i="16"/>
  <c r="U60" i="16"/>
  <c r="K60" i="16"/>
  <c r="X59" i="16"/>
  <c r="U59" i="16" s="1"/>
  <c r="S59" i="16"/>
  <c r="K59" i="16"/>
  <c r="U58" i="16"/>
  <c r="S58" i="16"/>
  <c r="T58" i="16" s="1"/>
  <c r="T206" i="16" s="1"/>
  <c r="X57" i="16"/>
  <c r="U57" i="16"/>
  <c r="X56" i="16"/>
  <c r="U56" i="16" s="1"/>
  <c r="K56" i="16"/>
  <c r="X55" i="16"/>
  <c r="U55" i="16"/>
  <c r="K55" i="16"/>
  <c r="U54" i="16"/>
  <c r="K54" i="16"/>
  <c r="X53" i="16"/>
  <c r="U53" i="16" s="1"/>
  <c r="U52" i="16"/>
  <c r="X51" i="16"/>
  <c r="U51" i="16"/>
  <c r="X50" i="16"/>
  <c r="U50" i="16"/>
  <c r="K50" i="16"/>
  <c r="X49" i="16"/>
  <c r="U49" i="16" s="1"/>
  <c r="K49" i="16"/>
  <c r="U48" i="16"/>
  <c r="U47" i="16"/>
  <c r="X46" i="16"/>
  <c r="U46" i="16"/>
  <c r="X45" i="16"/>
  <c r="U45" i="16" s="1"/>
  <c r="X44" i="16"/>
  <c r="U44" i="16" s="1"/>
  <c r="X43" i="16"/>
  <c r="U43" i="16"/>
  <c r="K43" i="16"/>
  <c r="U42" i="16"/>
  <c r="K42" i="16"/>
  <c r="U41" i="16"/>
  <c r="K41" i="16"/>
  <c r="U40" i="16"/>
  <c r="X39" i="16"/>
  <c r="U39" i="16"/>
  <c r="K39" i="16"/>
  <c r="U38" i="16"/>
  <c r="X37" i="16"/>
  <c r="U37" i="16" s="1"/>
  <c r="K37" i="16"/>
  <c r="X36" i="16"/>
  <c r="U36" i="16" s="1"/>
  <c r="K36" i="16"/>
  <c r="X35" i="16"/>
  <c r="U35" i="16"/>
  <c r="K35" i="16"/>
  <c r="X34" i="16"/>
  <c r="U34" i="16" s="1"/>
  <c r="K34" i="16"/>
  <c r="U33" i="16"/>
  <c r="K33" i="16"/>
  <c r="U32" i="16"/>
  <c r="K32" i="16"/>
  <c r="X31" i="16"/>
  <c r="U31" i="16" s="1"/>
  <c r="U30" i="16"/>
  <c r="X29" i="16"/>
  <c r="U29" i="16" s="1"/>
  <c r="K29" i="16"/>
  <c r="X28" i="16"/>
  <c r="U28" i="16"/>
  <c r="X27" i="16"/>
  <c r="U27" i="16" s="1"/>
  <c r="K26" i="16"/>
  <c r="X23" i="16"/>
  <c r="X26" i="16" s="1"/>
  <c r="U26" i="16" s="1"/>
  <c r="U23" i="16"/>
  <c r="K23" i="16"/>
  <c r="X22" i="16"/>
  <c r="U22" i="16" s="1"/>
  <c r="X21" i="16"/>
  <c r="U21" i="16" s="1"/>
  <c r="X20" i="16"/>
  <c r="U20" i="16"/>
  <c r="K20" i="16"/>
  <c r="X19" i="16"/>
  <c r="U19" i="16"/>
  <c r="K19" i="16"/>
  <c r="X18" i="16"/>
  <c r="U18" i="16" s="1"/>
  <c r="X17" i="16"/>
  <c r="U17" i="16"/>
  <c r="K17" i="16"/>
  <c r="X16" i="16"/>
  <c r="U16" i="16"/>
  <c r="K16" i="16"/>
  <c r="X15" i="16"/>
  <c r="U15" i="16" s="1"/>
  <c r="X14" i="16"/>
  <c r="U14" i="16"/>
  <c r="X13" i="16"/>
  <c r="U13" i="16"/>
  <c r="K13" i="16"/>
  <c r="X12" i="16"/>
  <c r="U12" i="16" s="1"/>
  <c r="X10" i="16"/>
  <c r="U10" i="16"/>
  <c r="K10" i="16"/>
  <c r="X9" i="16"/>
  <c r="U9" i="16" s="1"/>
  <c r="X7" i="16"/>
  <c r="U7" i="16"/>
  <c r="X6" i="16"/>
  <c r="U6" i="16"/>
  <c r="X5" i="16"/>
  <c r="U5" i="16" s="1"/>
  <c r="X153" i="16" l="1"/>
  <c r="U153" i="16" s="1"/>
  <c r="X11" i="16"/>
  <c r="U11" i="16" s="1"/>
  <c r="X8" i="16"/>
  <c r="U8" i="16" s="1"/>
  <c r="X206" i="16" l="1"/>
  <c r="U206" i="16" s="1"/>
  <c r="J102" i="14" l="1"/>
  <c r="J101" i="14"/>
  <c r="D101" i="14"/>
  <c r="J95" i="14"/>
  <c r="J68" i="14"/>
  <c r="J45" i="14"/>
  <c r="J44" i="14"/>
  <c r="J33" i="14"/>
  <c r="J31" i="14"/>
  <c r="J28" i="14"/>
  <c r="J19" i="14"/>
  <c r="D8" i="14"/>
</calcChain>
</file>

<file path=xl/comments1.xml><?xml version="1.0" encoding="utf-8"?>
<comments xmlns="http://schemas.openxmlformats.org/spreadsheetml/2006/main">
  <authors>
    <author>Parpal Servole, Jordi</author>
  </authors>
  <commentList>
    <comment ref="G4" authorId="0" shapeId="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<sst xmlns="http://schemas.openxmlformats.org/spreadsheetml/2006/main" count="4382" uniqueCount="1803">
  <si>
    <t>Codi:</t>
  </si>
  <si>
    <t>Un codi correlatiu segons l'any, l'Eix i l'acrònim del Parc (25_NA_PNAE_01) Es posen les dues primeres lletres de l'eix, en majúscules.</t>
  </si>
  <si>
    <t>Codi RAE:</t>
  </si>
  <si>
    <t>En el cas de ser una actuació del RAE, posar-hi el codi corresponent.</t>
  </si>
  <si>
    <t>Actuació:</t>
  </si>
  <si>
    <t>El nom de l'actuació concreta que realitzareu en l'any. Pot ser el mateix redactat que el del Pla estratègic o una mica més concret però, cal que provingui d'alguna actuació prevista al Pla estratègic.</t>
  </si>
  <si>
    <t>Codi Obj Operatiu:</t>
  </si>
  <si>
    <t>El Codi de l'Objectiu Operatiu que considereu que està més relacionat amb l'execució de l'actuació.</t>
  </si>
  <si>
    <t>Codis altres Oj. Oper.:</t>
  </si>
  <si>
    <t>En el cas que es consideri que l'actuació a executar també està relacionada amb d'altres Objectius Operatius</t>
  </si>
  <si>
    <t>Eix.</t>
  </si>
  <si>
    <t>Segons els set Eixos del Pla estratègic</t>
  </si>
  <si>
    <t>Tipus act. segons model de despesa:</t>
  </si>
  <si>
    <t>Posar a quin tipus de despesa correspon (RAE, PEA, Contracte Programa,...). Llista desplegable tancada</t>
  </si>
  <si>
    <t>Tipus d'actuació segons MAP:</t>
  </si>
  <si>
    <t>Posar a quina de les tipologies d'actuacions previstes al MAP correspon la mesura. Llista desplegable amb una opció d'Altres al final. Si correspon a més d'una, posar la tipologia principal</t>
  </si>
  <si>
    <t>Import:</t>
  </si>
  <si>
    <t>Posar l'import previst per a la realització de l'actuació</t>
  </si>
  <si>
    <t>Grau de compliment de l'indicador:</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</si>
  <si>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</si>
  <si>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</si>
  <si>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</si>
  <si>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Espai natural</t>
  </si>
  <si>
    <t>Codi</t>
  </si>
  <si>
    <t>Codi RAE, si s'escau</t>
  </si>
  <si>
    <t>Actuació</t>
  </si>
  <si>
    <t>Codi de l'OBJECTIU OPERATIU principal a què fa referència</t>
  </si>
  <si>
    <t>Codis d'altres OBJECTIU OPERATIUS relacionats</t>
  </si>
  <si>
    <t>Eix del Pla estratègic</t>
  </si>
  <si>
    <t>Tipus d'actuació segons model de despesa</t>
  </si>
  <si>
    <t>Partida RAE</t>
  </si>
  <si>
    <t>Tipus d'actuació segons MAP</t>
  </si>
  <si>
    <t>Import</t>
  </si>
  <si>
    <t>Grau de compliment de l'indicador definit al Pla estratègic</t>
  </si>
  <si>
    <t>Observacions</t>
  </si>
  <si>
    <t>Gestor responsable</t>
  </si>
  <si>
    <t>Actuació recurrent</t>
  </si>
  <si>
    <t>01.2.3</t>
  </si>
  <si>
    <t>Encàrrec directe CREAF</t>
  </si>
  <si>
    <t>2. Cultura</t>
  </si>
  <si>
    <t>3. Coneixement</t>
  </si>
  <si>
    <t>4. Desenvolupament local</t>
  </si>
  <si>
    <t>5. Ús públic i social</t>
  </si>
  <si>
    <t>6. Educació, voluntariat i comunicació</t>
  </si>
  <si>
    <t>7. Gestió i Administració</t>
  </si>
  <si>
    <t>Espai natural protegit:</t>
  </si>
  <si>
    <t>EIXOS</t>
  </si>
  <si>
    <t>OBJECTIUS Generals (PP)</t>
  </si>
  <si>
    <t>OBJECTIUS Estratègics</t>
  </si>
  <si>
    <t>Comú / Específic</t>
  </si>
  <si>
    <t>Obligatori / Optatiu</t>
  </si>
  <si>
    <t>Explicació de la decisió presa en el cas de canvis respecte al llistat inicial (columna G)</t>
  </si>
  <si>
    <t>Objectiu amb mesures incorporables a la planificació anual de la gestió de l'espai?</t>
  </si>
  <si>
    <t>Prioritat</t>
  </si>
  <si>
    <t>Propostes genèriques d'accions</t>
  </si>
  <si>
    <t>Marc de referència</t>
  </si>
  <si>
    <t>Resultats derivats</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</si>
  <si>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</si>
  <si>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</si>
  <si>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</si>
  <si>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</si>
  <si>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</si>
  <si>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Comú</t>
  </si>
  <si>
    <t xml:space="preserve">Obligatori </t>
  </si>
  <si>
    <t>MAP</t>
  </si>
  <si>
    <t>SFF: Elaboració de plans de gestió específics per a espècies de conservació prioritària i directrius de gestió d'hàbitats.
SFF/SENP: Definir a nivell de cluster quins son els que es poden elaborar conjuntament.</t>
  </si>
  <si>
    <t>01.1.2</t>
  </si>
  <si>
    <t>Adaptar i executar plans de gestió específics per a elements geològics de conservació prioritària dins l'ENP</t>
  </si>
  <si>
    <t>01.2</t>
  </si>
  <si>
    <t>Executar les mesures de gestió directa previstes en els intruments de planificació per la conservació i la gestió adaptativa dels elements clau de l'ENP</t>
  </si>
  <si>
    <t>01.2.1</t>
  </si>
  <si>
    <t>Obligatori</t>
  </si>
  <si>
    <t>ESNATURA</t>
  </si>
  <si>
    <t>SENP: Elaboració d'un manual per la implementació dels OSAM</t>
  </si>
  <si>
    <t>01.2.2</t>
  </si>
  <si>
    <t>Executar les mesures previstes en els plans de conservació o recuperació d'espècies amenaçades de forma coordinada amb el Servei de Flora i Fauna en l'àmbit de l'ENP</t>
  </si>
  <si>
    <t>MAP
Catàlegs</t>
  </si>
  <si>
    <t>SFF: Elaboració de plans de conservació o recuperació d'espècies protegides</t>
  </si>
  <si>
    <t>ESNATURA
MAP</t>
  </si>
  <si>
    <t>SFF: Elaboració de plans de control i erradicació d'espècies exòtiques</t>
  </si>
  <si>
    <t>01.2.4</t>
  </si>
  <si>
    <t xml:space="preserve">Desplegar els objectius i tasques recollits en els instruments de referència i compromisos internacionals  </t>
  </si>
  <si>
    <t>Específic</t>
  </si>
  <si>
    <t xml:space="preserve">Optatiu </t>
  </si>
  <si>
    <t>01.3</t>
  </si>
  <si>
    <t>Crear ecosistemes complexes, resilients, i d'alta biodiversitat per garantir la recuperació dels processos ecosistèmics</t>
  </si>
  <si>
    <t>01.3.1</t>
  </si>
  <si>
    <t>SENP/SFF: Definir criteris metodològics</t>
  </si>
  <si>
    <t>01.3.2</t>
  </si>
  <si>
    <t>Afavorir la maduresa dels sistemes forestals</t>
  </si>
  <si>
    <t>01.3.3</t>
  </si>
  <si>
    <t>Generar pertorbacions controlades</t>
  </si>
  <si>
    <t>01.3.4</t>
  </si>
  <si>
    <t xml:space="preserve">Restaurar la dinàmica natural dels rius </t>
  </si>
  <si>
    <t>01.3.5</t>
  </si>
  <si>
    <t>Fomentar el paisatge en mosaïc</t>
  </si>
  <si>
    <t>01.3.6</t>
  </si>
  <si>
    <t>Gestionar i intervenir en la dinàmica de poblacions de fauna que no tenen depredador natural</t>
  </si>
  <si>
    <t>01.4</t>
  </si>
  <si>
    <t>Alinear l'activitat de propietaris i gestors del territori amb la conservació, millora i restauració dels valors de l'ENP</t>
  </si>
  <si>
    <t>01.4.1</t>
  </si>
  <si>
    <t>Fomentar acords de custòdia en espais d'alt valor dins l'ENP per a la gestió dels elements prioritaris</t>
  </si>
  <si>
    <t>SENP/SENP: Dissenyar el protocol i elaborar un model d'acord</t>
  </si>
  <si>
    <t>01.4.2</t>
  </si>
  <si>
    <t>Fomentar bones pràctiques entre els col·lectius de propietaris i gestors del territori</t>
  </si>
  <si>
    <t>01.4.3</t>
  </si>
  <si>
    <t>Impulsar la coordinació amb els ens locals en la gestió finques públiques situades dins d’ENP</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</si>
  <si>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</si>
  <si>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</si>
  <si>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</si>
  <si>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</si>
  <si>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</si>
  <si>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 xml:space="preserve">OCCC/SENP: Elaboració del model de Pla d'adaptació dels ENP al canvi climàtic </t>
  </si>
  <si>
    <t>02.1.2</t>
  </si>
  <si>
    <t>Gestionar i planificar els recursos hídrics de l'ENP</t>
  </si>
  <si>
    <t>02.1.3</t>
  </si>
  <si>
    <t>Participar en la redacció i execució dels instruments d'ordenació forestal sostenible i per la conservació en finques públiques</t>
  </si>
  <si>
    <t>DGEFMN: Redacció d'IOF en finques públiques</t>
  </si>
  <si>
    <t>02.1.4</t>
  </si>
  <si>
    <t>Promoure la redacció d'instruments d'ordenació forestal per reduir la sensibilitat i vulnerabilitat dels boscos al canvi climàtic en finques privades</t>
  </si>
  <si>
    <t>Optatiu</t>
  </si>
  <si>
    <t>02.2</t>
  </si>
  <si>
    <t xml:space="preserve">Planificar la prevenció i extinció d’incendis forestals i la gestió del foc de forma coordinada amb els diferents agents del territori </t>
  </si>
  <si>
    <t>02.2.1</t>
  </si>
  <si>
    <t xml:space="preserve">Redactar i implementar el Pla de Prevenció d'Incendis </t>
  </si>
  <si>
    <t>Equip de PPI: Disseny del protocol de treball</t>
  </si>
  <si>
    <t>02.2.2</t>
  </si>
  <si>
    <t>Definir i planificar la gestió del foc per a la millora de l'ENP</t>
  </si>
  <si>
    <t>SPEN: Elaboració d'un model de pla de gestió</t>
  </si>
  <si>
    <t>02.2.3</t>
  </si>
  <si>
    <t>Treballar per a la prevenció d'incendis juntament amb els propietaris, ajuntaments, protecció civil, ADF i bombers.</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</si>
  <si>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</si>
  <si>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</si>
  <si>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</si>
  <si>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</si>
  <si>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</si>
  <si>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</si>
  <si>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</si>
  <si>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</si>
  <si>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</si>
  <si>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</si>
  <si>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</si>
  <si>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</si>
  <si>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SPEN: Elaboració del Pla rector d'usos i gestió.
SPEN: Elaboració del Pla rector d'usos i gestió</t>
  </si>
  <si>
    <t>03.3</t>
  </si>
  <si>
    <t>03.3.1</t>
  </si>
  <si>
    <t>Vetllar pel manteniment del cabal ecològic dels rius definit al Pla sectorial corresponent</t>
  </si>
  <si>
    <t>ACA/CHE: Determinar els cabals ecològics en espais naturals protegits</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</si>
  <si>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</si>
  <si>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</si>
  <si>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</si>
  <si>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</si>
  <si>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03.3.4</t>
  </si>
  <si>
    <t>03.4</t>
  </si>
  <si>
    <t>Incrementar el patrimoni públic destinat a la conservació i millora del patrimoni natural</t>
  </si>
  <si>
    <t>03.4.1</t>
  </si>
  <si>
    <t xml:space="preserve">Identificar espais prioritaris per a la compra de terrenys de més valor dins l'ENP </t>
  </si>
  <si>
    <t>SENP/SPEN: Facilitar els criteris a seguir</t>
  </si>
  <si>
    <t>03.4.2</t>
  </si>
  <si>
    <t>Identificar espais prioritaris per a la gestió directa</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</si>
  <si>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</si>
  <si>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</si>
  <si>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</si>
  <si>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</si>
  <si>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</si>
  <si>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</si>
  <si>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</si>
  <si>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</si>
  <si>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</si>
  <si>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</si>
  <si>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</si>
  <si>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</si>
  <si>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</si>
  <si>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</si>
  <si>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</si>
  <si>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</si>
  <si>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</si>
  <si>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04.2.4</t>
  </si>
  <si>
    <t>Disposar de personal especialitzat en patrimoni cultural</t>
  </si>
  <si>
    <t>04.3</t>
  </si>
  <si>
    <t>Potenciar la conservació i recuperació del patrimoni cultural material i immaterial de l'ENP</t>
  </si>
  <si>
    <t>04.3.1</t>
  </si>
  <si>
    <t>04.3.2</t>
  </si>
  <si>
    <t>Recuperar i conservar el patrimoni cultural rural vinculat específicament a construccions de pedra en sec</t>
  </si>
  <si>
    <t>04.3.3</t>
  </si>
  <si>
    <t>04.3.4</t>
  </si>
  <si>
    <t>Identificar i conservar la diversitat domesticada de varietats agrícoles i ramaderes locals</t>
  </si>
  <si>
    <t>04.4</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</si>
  <si>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</si>
  <si>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</si>
  <si>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</si>
  <si>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</si>
  <si>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</si>
  <si>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</si>
  <si>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</si>
  <si>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05.1</t>
  </si>
  <si>
    <t>Identificar els elements d'interès paisatgístic de l'espai</t>
  </si>
  <si>
    <t>05.1.1</t>
  </si>
  <si>
    <t xml:space="preserve">Elaborar un inventari d'elements d'interès paisatgístic de l'ENP d'acord amb el Catàleg de paisatge de la zona </t>
  </si>
  <si>
    <t>05.2</t>
  </si>
  <si>
    <t>Millorar la qualitat paisatgística</t>
  </si>
  <si>
    <t>05.2.1</t>
  </si>
  <si>
    <t>Desplegar actuacions de restauració dels elements d'interès paisatgístic degradats</t>
  </si>
  <si>
    <t>05.2.2</t>
  </si>
  <si>
    <t>05.2.3</t>
  </si>
  <si>
    <t>Minimitzar la brutícia, deixalles, vandalisme i males praxis dins l'ENP</t>
  </si>
  <si>
    <t>05.3</t>
  </si>
  <si>
    <t>Protegir la qualitat acústica i lumínica de l'ENP</t>
  </si>
  <si>
    <t>05.3.1</t>
  </si>
  <si>
    <t>Promoure la certificació de qualitat del cel nocturn</t>
  </si>
  <si>
    <t>05.3.2</t>
  </si>
  <si>
    <t>Promoure la certificació de zones d'especial protecció de la qualitat acústica</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</si>
  <si>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</si>
  <si>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</si>
  <si>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</si>
  <si>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</si>
  <si>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</si>
  <si>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</si>
  <si>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Directriva Habitats
Carta emplaçament
ESNATURA
Catàlegs</t>
  </si>
  <si>
    <t>UIC/SFF/SPEN: Definir criteris d'identificació d'elements interès.
UIC/SFF/SPEN: Definició dels objectes de conservació clau comuns a nivell de Xarxa d'ENP o clúster territorial</t>
  </si>
  <si>
    <t>06.1.2</t>
  </si>
  <si>
    <t>SPEN: Inventari i cartografia d'espais fràgils i zones d'especial atenció</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</si>
  <si>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</si>
  <si>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</si>
  <si>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</si>
  <si>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</si>
  <si>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UIC: Coordinar i contractar l'elaboració de la cartografia</t>
  </si>
  <si>
    <t>06.2.2</t>
  </si>
  <si>
    <t>Conèixer i estudiar els processos naturals propis de l’espai, la seva funcionalitat, i ecologia en referència als ecosistemes</t>
  </si>
  <si>
    <t>06.2.3</t>
  </si>
  <si>
    <t>Conèixer els usos i factors de canvi rellevants en l'evolució dels elements de conservació, i avaluar els efectes que generen en l’espai (pressions i amenaces)</t>
  </si>
  <si>
    <t xml:space="preserve">SENP/UIC: Elaborar la classificació i cartografia de les pressions o factors de canvi sobre el medi natural </t>
  </si>
  <si>
    <t>06.2.4</t>
  </si>
  <si>
    <t>Conèixer l'impacte de les gestió de l'aigua, sobre la biodiversitat.</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</si>
  <si>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</si>
  <si>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</si>
  <si>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</si>
  <si>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</si>
  <si>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06.2.7</t>
  </si>
  <si>
    <t>Coneixer com millorar la connectivitat de forma coordinada amb altres ENP</t>
  </si>
  <si>
    <t>06.3</t>
  </si>
  <si>
    <t xml:space="preserve">Estandaritzar els seguiments periòdics dels grups clau </t>
  </si>
  <si>
    <t>06.3.1</t>
  </si>
  <si>
    <t>Participar en la definició del sistema estàndard de seguiment de flora, fauna i hàbitats de la DG</t>
  </si>
  <si>
    <t>UIC/SFF/SENP: Crear espais de participació
UIC/SFF: Definir el sistema estàndard de seguiment i el protocol d'aplicació</t>
  </si>
  <si>
    <t>06.3.2</t>
  </si>
  <si>
    <t>Adequar i executar el sistema de seguiment periòdic dels grups clau de l'ENP al sistema estàndard de seguiment</t>
  </si>
  <si>
    <t>UIC/SFF: Definir el sistema estàndard de seguiment i el protocol d'aplicació
UIC: Elaborar el protocol d'informació i coneixement</t>
  </si>
  <si>
    <t>06.3.3</t>
  </si>
  <si>
    <t xml:space="preserve">Mantenir una base de dades de seguiment de patrimoni natural de l'ENP actualitzada i ordenada </t>
  </si>
  <si>
    <t>06.3.4</t>
  </si>
  <si>
    <t>UIC/SENP: Crear i coordinar una metodologia participativa per a la definició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</si>
  <si>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</si>
  <si>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</si>
  <si>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</si>
  <si>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</si>
  <si>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SENP: Elaborar un mapa d'agents de referència</t>
  </si>
  <si>
    <t>06.4.2</t>
  </si>
  <si>
    <t>Establir acords amb les institucions de recerca i naturalistes per al desenvolupament d'estudis i inventaris dins l'ENP en el marc de les seves línies de recerca</t>
  </si>
  <si>
    <t>SENP: Elaborar un mapa d'agents de referècia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</si>
  <si>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</si>
  <si>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</si>
  <si>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</si>
  <si>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</si>
  <si>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SENP: Suport en l'organització de les jornades</t>
  </si>
  <si>
    <t>06.4.5</t>
  </si>
  <si>
    <t>Posar a disposició de la recerca, equipaments i serveis de l'ENP</t>
  </si>
  <si>
    <t>06.4.6</t>
  </si>
  <si>
    <t xml:space="preserve">Crear l'Observatori de recerca de l'ENP vinculat a l'Observatori del Patrimoni natural i la biodiversitat </t>
  </si>
  <si>
    <t>UIC: Suport en la creació de l'Observatori de reserca</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</si>
  <si>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</si>
  <si>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</si>
  <si>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</si>
  <si>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</si>
  <si>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</si>
  <si>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t>06.5.2</t>
  </si>
  <si>
    <t xml:space="preserve">Disposar de dades de freqüentació i perfil d'usuari en l'ENP i en especial en equipaments i en zones d'alta freqüentació segons el model de DG </t>
  </si>
  <si>
    <t>SENP: Disseny i elaboració del sistema estandaritzat de presa de dades i seguiment de la freqüentació en ENP</t>
  </si>
  <si>
    <t>06.5.3</t>
  </si>
  <si>
    <t>Identificar les activitats i actors de l’espai.</t>
  </si>
  <si>
    <t>06.5.4</t>
  </si>
  <si>
    <t>Identificar en cartografia les males praxis i punts de massificació</t>
  </si>
  <si>
    <t>06.5.5</t>
  </si>
  <si>
    <t>Adaptar i mantenir un registre d'activitats, actors i inciències en ús públic (curses, conflictes, queixes, etc)</t>
  </si>
  <si>
    <t>UIC: Disseny d'un model de registre d'activitats, actors i inciències en ús públic</t>
  </si>
  <si>
    <t>06.5.6</t>
  </si>
  <si>
    <t>Identificar els impactes (positius i negatius) que generen les activitats d'ús públic dins l'ENP</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</si>
  <si>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</si>
  <si>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</si>
  <si>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</si>
  <si>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</si>
  <si>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</si>
  <si>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APROFITAR ELS RECURSOS NATURALS DE FORMA SOSTENIBLE mitjançant desenvolupament dels aprofitaments tradicionals de forma compatible amb la conservació de l'espai </t>
  </si>
  <si>
    <t>08.1</t>
  </si>
  <si>
    <t>08.1.1</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</si>
  <si>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</si>
  <si>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</si>
  <si>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</si>
  <si>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</si>
  <si>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</si>
  <si>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</si>
  <si>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</si>
  <si>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</si>
  <si>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</si>
  <si>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</si>
  <si>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</si>
  <si>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</si>
  <si>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SENP: Crear una marca que identifiqui els productes agroalimentaris generats en els ENP</t>
  </si>
  <si>
    <t>08.3.2</t>
  </si>
  <si>
    <t>Integrar els productes i activitats locals de qualitat en l'oferta d'activitats d'informació i turístiques de l'ENP</t>
  </si>
  <si>
    <t>ESNATURA
CETS</t>
  </si>
  <si>
    <t>08.3.3</t>
  </si>
  <si>
    <t>Promoure fires d'artesania i productes locals de l'ENP</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</si>
  <si>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</si>
  <si>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</si>
  <si>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</si>
  <si>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</si>
  <si>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08.3.6</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</si>
  <si>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</si>
  <si>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</si>
  <si>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</si>
  <si>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</si>
  <si>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</si>
  <si>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</si>
  <si>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</si>
  <si>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</si>
  <si>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</si>
  <si>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</si>
  <si>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</si>
  <si>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</si>
  <si>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</si>
  <si>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</si>
  <si>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</si>
  <si>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</si>
  <si>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</si>
  <si>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</si>
  <si>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</si>
  <si>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</si>
  <si>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</si>
  <si>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</si>
  <si>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</si>
  <si>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10.1</t>
  </si>
  <si>
    <t>10.1.1</t>
  </si>
  <si>
    <t>Establir un model de construcció a l'ENP en base al model de Pla de protecció</t>
  </si>
  <si>
    <t>SPEN: Elaborar model</t>
  </si>
  <si>
    <t>ORDENAR L'ÚS PÚBLIC I SOCIAL per a la protecció dels hàbitats, espècies i elements geològics</t>
  </si>
  <si>
    <t>11.1</t>
  </si>
  <si>
    <t>Estandaritzar regulació de l’ús públic i social en base al model acordat per govern</t>
  </si>
  <si>
    <t>11.1.1</t>
  </si>
  <si>
    <t>11.1.2</t>
  </si>
  <si>
    <t>11.1.3</t>
  </si>
  <si>
    <t>11.1.4</t>
  </si>
  <si>
    <t>11.1.5</t>
  </si>
  <si>
    <t>Regular els enregistraments i l'observació de fauna i natura en base al model de Pla de protecció</t>
  </si>
  <si>
    <t>11.1.6</t>
  </si>
  <si>
    <t>11.1.7</t>
  </si>
  <si>
    <t>11.1.8</t>
  </si>
  <si>
    <t>11.1.9</t>
  </si>
  <si>
    <t>11.1.10</t>
  </si>
  <si>
    <t>11.1.11</t>
  </si>
  <si>
    <t>11.1.12</t>
  </si>
  <si>
    <t>11.2</t>
  </si>
  <si>
    <t>11.2.1</t>
  </si>
  <si>
    <t xml:space="preserve">Identificar i classificar la xarxa viària bàsica, secundària, senders i itineraris senyalitzats d'acord amb els ajuntaments </t>
  </si>
  <si>
    <t>Persones i natura: concretar criteris</t>
  </si>
  <si>
    <t>11.2.2</t>
  </si>
  <si>
    <t>Treballar conjuntament amb els principals canals d’informació de rutes  per prioritzar itineraris oficials dins l’ENP</t>
  </si>
  <si>
    <t>Persones i natura: Coordinació</t>
  </si>
  <si>
    <t>11.3</t>
  </si>
  <si>
    <t>11.3.1</t>
  </si>
  <si>
    <t>11.3.2</t>
  </si>
  <si>
    <t>11.3.3</t>
  </si>
  <si>
    <t>11.3.4</t>
  </si>
  <si>
    <t>Aplicar limitacions temporals d'accés o circulació</t>
  </si>
  <si>
    <t>11.3.5</t>
  </si>
  <si>
    <t>11.4</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</si>
  <si>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</si>
  <si>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</si>
  <si>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</si>
  <si>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</si>
  <si>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</si>
  <si>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11.5</t>
  </si>
  <si>
    <t>Mantenir i millorar la senyalització de l'ENP</t>
  </si>
  <si>
    <t>11.5.1</t>
  </si>
  <si>
    <t>Realitzar l'inventari de senyalètica de l'ENP</t>
  </si>
  <si>
    <t>11.5.2</t>
  </si>
  <si>
    <t xml:space="preserve">Implantar el programa de senyalització i manteniment </t>
  </si>
  <si>
    <t>Persones i natura: Revisió del manual de senyalització</t>
  </si>
  <si>
    <t>11.6</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</si>
  <si>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</si>
  <si>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</si>
  <si>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</si>
  <si>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</si>
  <si>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</si>
  <si>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</si>
  <si>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</si>
  <si>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</si>
  <si>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</si>
  <si>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</si>
  <si>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11.7.3</t>
  </si>
  <si>
    <t>Desenvolupar el Pla d'acollida als visitants en base al model de la DG</t>
  </si>
  <si>
    <t>Persones i natura: model de protocol d'acollida</t>
  </si>
  <si>
    <t>11.7.4</t>
  </si>
  <si>
    <t>Adaptar els missatges a donar des d'oficines d’informació, pròpies i alienes, d'acord amb el model de la DG</t>
  </si>
  <si>
    <t>Persones i natura: Unifica missatges que s'incorporen en el model de protocol d'acollida</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</si>
  <si>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</si>
  <si>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</si>
  <si>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</si>
  <si>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</si>
  <si>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11.8.2</t>
  </si>
  <si>
    <t>Millorar la coordinació amb els cossos de seguretat per efectuar accions de control i vigilància</t>
  </si>
  <si>
    <t>11.8.3</t>
  </si>
  <si>
    <t>Vetllar pel compliment d'informes i la vigilància tècnica de l'espai</t>
  </si>
  <si>
    <t>GESTIONAR ELS RISCOS NATURALS per a l'autoprotecció de la població local</t>
  </si>
  <si>
    <t>12.1</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</si>
  <si>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</si>
  <si>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</si>
  <si>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</si>
  <si>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</si>
  <si>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</si>
  <si>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</si>
  <si>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</si>
  <si>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13.1</t>
  </si>
  <si>
    <t>13.1.1</t>
  </si>
  <si>
    <t>Definir el model de Xarxa d'Escoles de l'Espai Natural (XEEN) a l'ENP amb els agents educatius del territori</t>
  </si>
  <si>
    <t>PEEVA
ESNATURA</t>
  </si>
  <si>
    <t>13.1.2</t>
  </si>
  <si>
    <t>Desplegar el model de Xarxa d'Escoles de l'Espai Natural (XEEN) a l'ENP d'acord amb el model general</t>
  </si>
  <si>
    <t>SEA: Elabora model de xarxa</t>
  </si>
  <si>
    <t>13.1.3</t>
  </si>
  <si>
    <t xml:space="preserve">Formar i capacitar al professorat de la XEEN </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</si>
  <si>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</si>
  <si>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</si>
  <si>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</si>
  <si>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</si>
  <si>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SEA: Comparteix models de situcions d'aprenentatge i de projects.</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</si>
  <si>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</si>
  <si>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</si>
  <si>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</si>
  <si>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</si>
  <si>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</si>
  <si>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</si>
  <si>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13.3</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</si>
  <si>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</si>
  <si>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</si>
  <si>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</si>
  <si>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</si>
  <si>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</si>
  <si>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</si>
  <si>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</si>
  <si>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SEA: Elabora propostes MODEL de programes de formació</t>
  </si>
  <si>
    <t>13.4</t>
  </si>
  <si>
    <t>Desplegar un programa de divulgació i sensibilització per a visitants</t>
  </si>
  <si>
    <t>13.4.1</t>
  </si>
  <si>
    <t>Desplegar en el territori les campanyes de sensibilització i bones pràctiques que s'impulsin des de la DG</t>
  </si>
  <si>
    <t>SEA: Elabora un document marc per unificar missatges i coordinar la difusió</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</si>
  <si>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</si>
  <si>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</si>
  <si>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</si>
  <si>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</si>
  <si>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</si>
  <si>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</si>
  <si>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13.5</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</si>
  <si>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</si>
  <si>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</si>
  <si>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</si>
  <si>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</si>
  <si>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</si>
  <si>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</si>
  <si>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</si>
  <si>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</si>
  <si>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</si>
  <si>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</si>
  <si>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</si>
  <si>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13.6</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</si>
  <si>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</si>
  <si>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</si>
  <si>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</si>
  <si>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</si>
  <si>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</si>
  <si>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ESNATURA
PEEVA</t>
  </si>
  <si>
    <t xml:space="preserve">SEA: Elabora Model de Taula de Voluntariat Ambiental </t>
  </si>
  <si>
    <t>13.7</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</si>
  <si>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</si>
  <si>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</si>
  <si>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</si>
  <si>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</si>
  <si>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</si>
  <si>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</si>
  <si>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</si>
  <si>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13.8</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</si>
  <si>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</si>
  <si>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</si>
  <si>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</si>
  <si>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</si>
  <si>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</si>
  <si>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</si>
  <si>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</si>
  <si>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</si>
  <si>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</si>
  <si>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</si>
  <si>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</si>
  <si>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</si>
  <si>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Pla de comunicació</t>
  </si>
  <si>
    <t>SENP: Elaborar els productes comunicatius</t>
  </si>
  <si>
    <t>14.1.2</t>
  </si>
  <si>
    <t>Garantir l'accessibilitat i gestió del coneixement disponible sobre l'ENP</t>
  </si>
  <si>
    <t>14.2</t>
  </si>
  <si>
    <t>Conscienciar sobre els valors de l'ENP als diferents públics objectiu</t>
  </si>
  <si>
    <t>14.2.1</t>
  </si>
  <si>
    <t>Sensibilitzar als diferents agents sobre els valors de l'ENP</t>
  </si>
  <si>
    <t>SEA: Crear material divulgatiu</t>
  </si>
  <si>
    <t>14.3</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</si>
  <si>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</si>
  <si>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</si>
  <si>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</si>
  <si>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</si>
  <si>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</si>
  <si>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</si>
  <si>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</si>
  <si>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</si>
  <si>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</si>
  <si>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</si>
  <si>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</si>
  <si>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</si>
  <si>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</si>
  <si>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</si>
  <si>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</si>
  <si>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</si>
  <si>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</si>
  <si>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SENP: Elaborar una proposta de model de governança dels espais naturals protegits</t>
  </si>
  <si>
    <t>MILLORAR L'EFICIÈNCIA de la gestió administrativa</t>
  </si>
  <si>
    <t>16.1</t>
  </si>
  <si>
    <t>Optimitzar l'aplicació pressupostaria</t>
  </si>
  <si>
    <t>16.1.1</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</si>
  <si>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</si>
  <si>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</si>
  <si>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Planificar i optimitzar els processos de contractació, concessió d'ajuts, i les col·laboracions amb ens públics i privats</t>
  </si>
  <si>
    <t>16.2.1</t>
  </si>
  <si>
    <t>SENP: Crear espais de coordinació entre ENP per detectar necessitats conjuntes.</t>
  </si>
  <si>
    <t>16.2.2</t>
  </si>
  <si>
    <t>16.2.3</t>
  </si>
  <si>
    <t>Establir i renovar en temps i forma convenis de col·laboració, convenis marc, acords, protocols i altres instruments de col·laboració.</t>
  </si>
  <si>
    <t>UGA: Coordinar l'elaboració dels catàlegs col·lectius amb ENP, universitats i centres documentació</t>
  </si>
  <si>
    <t>16.3</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</si>
  <si>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</si>
  <si>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</si>
  <si>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</si>
  <si>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</si>
  <si>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</si>
  <si>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UGA: Simplificació i optimització de formularis. Tipificació de peticions (tràmits específics)</t>
  </si>
  <si>
    <t>16.3.3</t>
  </si>
  <si>
    <t>Augmentar el coneixement de l'equip de treball en matèria de procediment administratiu</t>
  </si>
  <si>
    <t>16.3.4</t>
  </si>
  <si>
    <t>Garantir la transparència administrativa</t>
  </si>
  <si>
    <t>16.3.5</t>
  </si>
  <si>
    <t>16.4</t>
  </si>
  <si>
    <t>Ordenar l'estat dels béns patrimonials</t>
  </si>
  <si>
    <t>16.4.1</t>
  </si>
  <si>
    <t>Revisar l’estat dels béns patrimonials i la situació administrativa-legal dels equipaments del parc</t>
  </si>
  <si>
    <t>UGA: tramitar els expedients de cessió de titularitat, declaracions d'obra nova, compra, lloguer, etc.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</si>
  <si>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</si>
  <si>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</si>
  <si>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UGA: Tramitar les assegurances dels béns patrimonials.</t>
  </si>
  <si>
    <t>16.5</t>
  </si>
  <si>
    <t>Estructurar la gestió documental</t>
  </si>
  <si>
    <t>16.5.1</t>
  </si>
  <si>
    <t>SENP: Disseny d'una metodologia de treball conjunta</t>
  </si>
  <si>
    <t>16.6</t>
  </si>
  <si>
    <t>Gestionar recursos humans</t>
  </si>
  <si>
    <t>16.6.1</t>
  </si>
  <si>
    <t>16.6.2</t>
  </si>
  <si>
    <t>Model despesa</t>
  </si>
  <si>
    <t>Llistat tipologies MAP</t>
  </si>
  <si>
    <t>Eix</t>
  </si>
  <si>
    <t>Partides RAE despeses</t>
  </si>
  <si>
    <t>Partides</t>
  </si>
  <si>
    <t>Contractes</t>
  </si>
  <si>
    <t>Contracte menor a càrrec del RAE</t>
  </si>
  <si>
    <t>1.1 Planificació de la gestió i designació del lloc</t>
  </si>
  <si>
    <t>1. Natura</t>
  </si>
  <si>
    <t>Sí</t>
  </si>
  <si>
    <t>Contracte menor des de la DG</t>
  </si>
  <si>
    <t>1.2 Administració del lloc i comunicació amb les parts interessades</t>
  </si>
  <si>
    <t>201.0001  - Lloguers i cànons de material de transport</t>
  </si>
  <si>
    <t>120 0001 00/5510_Despeses de personal</t>
  </si>
  <si>
    <t>No</t>
  </si>
  <si>
    <t>Contracte obert (licitació des de la DG)</t>
  </si>
  <si>
    <t>1.3 Seguiment, vigilància i notificació</t>
  </si>
  <si>
    <t>203.0001 - Lloguers i cànons d'altre immobilitzat material</t>
  </si>
  <si>
    <t>200 0002 00/5510_Altres lloguers i cànons de terrenys, béns naturals, edificis i altres construccions</t>
  </si>
  <si>
    <t>Pla econòmic actuacions</t>
  </si>
  <si>
    <t>PEA Infraestructures</t>
  </si>
  <si>
    <t xml:space="preserve">1.4 Buits de coneixement i necessitats de recerca </t>
  </si>
  <si>
    <t>210.0001 - Conservació, reparació i manteniment de terrenys</t>
  </si>
  <si>
    <t>204 0001 00/5510_Altres lloguers i cànons</t>
  </si>
  <si>
    <t>PEA Forestal Catalana</t>
  </si>
  <si>
    <t>1.5 Mesures de comunicació i sensibilització, educació i accés de visitants relacionades amb Natura 2000</t>
  </si>
  <si>
    <t>213.0001 - Conservació, reparació i manteniment d'altre immobilitzat material</t>
  </si>
  <si>
    <t>210 0001 00/5510_Conservació, reparació i manteniment de terrenys, béns naturals, edificis i altres construccions</t>
  </si>
  <si>
    <t>Encomanes</t>
  </si>
  <si>
    <t>Encomana Forestal Catalana</t>
  </si>
  <si>
    <t>2.1 Mesures de manteniment i restauració d'aigües marines i costeres (inclou llacunes litorals)</t>
  </si>
  <si>
    <t>214.0001 - Altres despeses de conservació, reparació i manteniment</t>
  </si>
  <si>
    <t>211 0001 00/5510_Conservació, reparació i manteniment en material de transport</t>
  </si>
  <si>
    <t>Encàrrecs directes</t>
  </si>
  <si>
    <t>Encàrrec directe Infraestructures</t>
  </si>
  <si>
    <t>2.2 Mesures de manteniment i restauració de matollars</t>
  </si>
  <si>
    <t>7. Gestió i administració</t>
  </si>
  <si>
    <t>215.0001 - Farmaciola</t>
  </si>
  <si>
    <t>212 0001 00/5510_Manteniment d'aplicacions informàtiques</t>
  </si>
  <si>
    <t>Encàrrec directe Forestal Catalana</t>
  </si>
  <si>
    <t>2.3 Mesures de manteniment i restauració de torberes</t>
  </si>
  <si>
    <t>220.0001 - Material ordinari no inventariable</t>
  </si>
  <si>
    <t>213 0001 00/5510_Conservació, reparació i manteniment d'altre inmobilitzat material</t>
  </si>
  <si>
    <t>2.4 Mesures de manteniment i restauració de prats i pastures</t>
  </si>
  <si>
    <t>220.0002 - Premsa, revistes, llibres i altres publicacions</t>
  </si>
  <si>
    <t>214 0001 00/5510_Altres despeses de conservació, reparació i manteniment</t>
  </si>
  <si>
    <t>Encàrrec directe CTFC</t>
  </si>
  <si>
    <t>2.5 Mesures de manteniment i restauració d'altres agroecosistemes (inclosos els conreus)</t>
  </si>
  <si>
    <t>221.0001 - Aigua i energia</t>
  </si>
  <si>
    <t>221 0001 00/5510_Aigua i electricitat</t>
  </si>
  <si>
    <t>Encàrrec directe TRAGSA</t>
  </si>
  <si>
    <t>2.6 Mesures de manteniment i restauració de boscos i superfícies forestals</t>
  </si>
  <si>
    <t>221.0002 - Combustible per a mitjans de transport</t>
  </si>
  <si>
    <t>221 0002 00/5510_Combustible per mitjans de transport</t>
  </si>
  <si>
    <t>Contractre programa</t>
  </si>
  <si>
    <t>Contracte programa CTFC</t>
  </si>
  <si>
    <t>2.7 Mesures de conservació i restauració d'hàbitats rocosos, dunes i terres de vegetació esparsa</t>
  </si>
  <si>
    <t>221.0003 - Vestuari</t>
  </si>
  <si>
    <t>221 0089 00/5510_Altres subministraments</t>
  </si>
  <si>
    <t>Contracte programa CREAF</t>
  </si>
  <si>
    <t>2.8 Mesures de manteniment i restauració d'hàbitats d'aigua dolça (rius, llacs i zones humides no litorals)</t>
  </si>
  <si>
    <t>221.0005 - Farmaciola</t>
  </si>
  <si>
    <t>222 0001 00/5510_Despeses postals, telèfon i altres</t>
  </si>
  <si>
    <t>Altres</t>
  </si>
  <si>
    <t>2.9 Mesures de conservación i restauración de coves i altres no inclosos als anteriors</t>
  </si>
  <si>
    <t>221.0007 - Queviures</t>
  </si>
  <si>
    <t>223 0001 00/5510_Transports</t>
  </si>
  <si>
    <t xml:space="preserve">2.B Mesures adicionals d'«infraestructura verda» més enllà de Natura 2000 </t>
  </si>
  <si>
    <t>221.0089 - Altres subministraments</t>
  </si>
  <si>
    <t>227 0001 00/5510_Neteja i sanejament</t>
  </si>
  <si>
    <t>3.1 Mesures i programes específics de conservació d'espècies no incloses en altres apartats</t>
  </si>
  <si>
    <t>222.0001 - Despeses postals, missatgeria i altres similars</t>
  </si>
  <si>
    <t>227 0002 00/5510_Seguretat</t>
  </si>
  <si>
    <t>3.2 Prevenció, mitigació o compensació dels danys ocasionats per les espècies protegides</t>
  </si>
  <si>
    <t>223.0001 - Transports</t>
  </si>
  <si>
    <t>227 0005 00/5510_Estudis</t>
  </si>
  <si>
    <t>225.0001 - Tributs i taxes</t>
  </si>
  <si>
    <t>227 0007 00/5510Gestió de centres i serveis</t>
  </si>
  <si>
    <t>226.0003 -  Publicitat, difusió i campanyes institucionals</t>
  </si>
  <si>
    <t>227 0012 00/5510Auditories externes de programes europeus</t>
  </si>
  <si>
    <t>226.0005 - Organització de reunions, conferències i cursos</t>
  </si>
  <si>
    <t>227 0013 00/5510Treballs tècnics</t>
  </si>
  <si>
    <t>226.0010 - Premis</t>
  </si>
  <si>
    <t>227 0089 00/5510Altres treballs realitzats per persones físiques o jurídiques</t>
  </si>
  <si>
    <t>226.0011 - Formació del personal propi</t>
  </si>
  <si>
    <t>230 0001 00/5510Dietes locomoció i trasllats</t>
  </si>
  <si>
    <t>226.0039 - Despeses per serveis bancàris</t>
  </si>
  <si>
    <t>220 0002 00/5510Premsa, revistes, llibres i altres publicacions</t>
  </si>
  <si>
    <t>226.0089 - Altres despeses diverses</t>
  </si>
  <si>
    <t>226 0001 00/5510Exposicions, certàmens i altres activitats de promoció</t>
  </si>
  <si>
    <t>227.0001 - Neteja i sanejament</t>
  </si>
  <si>
    <t>226 0002 00/5510Atencions protocolàries i representatives</t>
  </si>
  <si>
    <t>227.0003 - Valoracions i peritatges</t>
  </si>
  <si>
    <t>226 0003 00/5510Publicitat, difusió i campanyes institucionals</t>
  </si>
  <si>
    <t>227.0007 - Gestió dels centres i serveis</t>
  </si>
  <si>
    <t>226 0004 00/5510Jurídics i contenciosos</t>
  </si>
  <si>
    <t>227.0013 - Treballs tècnics</t>
  </si>
  <si>
    <t>226 0005 00/5510Organització de reunions, conferències i cursos</t>
  </si>
  <si>
    <t>227.0089 - Altres treballs realitzats per persones físiques o jurídiques</t>
  </si>
  <si>
    <t>226 0005 00/5530Organització de reunions, conferències i cursos</t>
  </si>
  <si>
    <t>230.0001 - Dietes, locomoció i trasllats</t>
  </si>
  <si>
    <t>226 0007 00/5510Publicacions i edictes als diaris oficials</t>
  </si>
  <si>
    <t>240.0001 - Despeses de publicacions</t>
  </si>
  <si>
    <t>226 0008 00/5510Funcionament de centres i serveis propis amb gestió autònoma</t>
  </si>
  <si>
    <t>610.0001 - Inversions en edificis i altres construccions per compte propi</t>
  </si>
  <si>
    <t>226 0010 00/5510Premis</t>
  </si>
  <si>
    <t>620.0001 - Inversions en maquinària, instal·lacions i utillatge</t>
  </si>
  <si>
    <t>226 0040 00/5510Inscripció com a soci o altra figura o organisme o a entitats de caràcter associatiu</t>
  </si>
  <si>
    <t>640.0001 - Inversions en mobiliari i estris</t>
  </si>
  <si>
    <t>226 0089 00/5510Altres despeses diverses</t>
  </si>
  <si>
    <t>650.0002 - Inversions en telecomunicacions</t>
  </si>
  <si>
    <t>660.0001 - Inversions en béns destinats a l'ús general</t>
  </si>
  <si>
    <t>240 0001 00/5510Despeses de publicacions</t>
  </si>
  <si>
    <t>670.0001 - Inversions en altre immobilitzat material</t>
  </si>
  <si>
    <t>430 6000 00/5510Al Patronat de la Muntanya de Montserrat (5510: 59.040 i 5530: 19.680)</t>
  </si>
  <si>
    <t>442 8520 00/5510Al CREAF</t>
  </si>
  <si>
    <t>442 8570 00/5510Al Centre Tecnològic Forestal de Catalunya (5510: 255.700 i 5530: 24.900)</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</si>
  <si>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</si>
  <si>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</si>
  <si>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</si>
  <si>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</si>
  <si>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</si>
  <si>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</si>
  <si>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</si>
  <si>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</si>
  <si>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</si>
  <si>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</si>
  <si>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</si>
  <si>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</si>
  <si>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</si>
  <si>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</si>
  <si>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</si>
  <si>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</si>
  <si>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</si>
  <si>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</si>
  <si>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</si>
  <si>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</si>
  <si>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</si>
  <si>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</si>
  <si>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</si>
  <si>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</si>
  <si>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</si>
  <si>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</si>
  <si>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</si>
  <si>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</si>
  <si>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</si>
  <si>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</si>
  <si>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</si>
  <si>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</si>
  <si>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</si>
  <si>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</si>
  <si>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</si>
  <si>
    <t>Referència Taula</t>
  </si>
  <si>
    <t>Paratge Natural d'Interès Nacional de l'Albera</t>
  </si>
  <si>
    <t>Paratge Natural d'Interès Nacional de Poblet</t>
  </si>
  <si>
    <t>Parc Nacional d'Aigüestortes i Estany de Sant Maurici</t>
  </si>
  <si>
    <t>Parc Natural de Cap de Creus</t>
  </si>
  <si>
    <t>Parc Natural de la Serra de Montsant</t>
  </si>
  <si>
    <t>Parc Natural de la Zona Volcànica de la Garrotxa</t>
  </si>
  <si>
    <t>Parc Natural de l'Alt Pirineu</t>
  </si>
  <si>
    <t>Parc Natural de les Capçaleres del Ter i el Freser</t>
  </si>
  <si>
    <t>Parc Natural del Cadí-Moixeró</t>
  </si>
  <si>
    <t>Parc Natural del Delta de l'Ebre</t>
  </si>
  <si>
    <t>Parc Natural del Montgrí, les Illes Medes i el Baix Ter</t>
  </si>
  <si>
    <t>Parc Natural dels Aiguamolls de l'Empordà</t>
  </si>
  <si>
    <t>Parc Natural dels Ports</t>
  </si>
  <si>
    <t>Secans de Lleida</t>
  </si>
  <si>
    <t>ALB</t>
  </si>
  <si>
    <t>Gerard Carrion Salip</t>
  </si>
  <si>
    <t>David Bove Jordana</t>
  </si>
  <si>
    <t>Alba Jordana Lapedra</t>
  </si>
  <si>
    <t>Danae Garcia Sanagustin</t>
  </si>
  <si>
    <t>Alexandre Español Poblet</t>
  </si>
  <si>
    <t>Andreu del Rio i Vilatge</t>
  </si>
  <si>
    <t>Elisenda Montserrat Freixa</t>
  </si>
  <si>
    <t>Anna Planella Bosch</t>
  </si>
  <si>
    <t>Carmen Alcantara Guirado</t>
  </si>
  <si>
    <t>Alícia Bo Mauri</t>
  </si>
  <si>
    <t>Ana Maria Ortiz Velasco</t>
  </si>
  <si>
    <t>Albert Burgas Riera</t>
  </si>
  <si>
    <t>Ana Avila Aguila</t>
  </si>
  <si>
    <t>ADRIA URREA MORA</t>
  </si>
  <si>
    <t>POB</t>
  </si>
  <si>
    <t>Mªpilar Sanllehi Puig</t>
  </si>
  <si>
    <t>Eloy Josa Cos</t>
  </si>
  <si>
    <t>Albert Petit Saludes</t>
  </si>
  <si>
    <t>Francesc Xavier Turra Caussa</t>
  </si>
  <si>
    <t>Berta Navarro Bertran</t>
  </si>
  <si>
    <t>Arnau Dorca Tomas</t>
  </si>
  <si>
    <t>Eva Jorda Affonso</t>
  </si>
  <si>
    <t>Elena Julia Alsina</t>
  </si>
  <si>
    <t>Gisela Picañol Vall</t>
  </si>
  <si>
    <t>Clara Franch Fosch</t>
  </si>
  <si>
    <t>Ariadna Purroy Albet</t>
  </si>
  <si>
    <t>Cecilia Cano Navarro</t>
  </si>
  <si>
    <t>Antoni Curco Masip</t>
  </si>
  <si>
    <t>JOEL PEREZ VIDAL</t>
  </si>
  <si>
    <t>AES</t>
  </si>
  <si>
    <t>Sergio Romero de Tejada Martinez</t>
  </si>
  <si>
    <t>Ester Trullols Sanchez</t>
  </si>
  <si>
    <t>Andrea Benabarre Felez</t>
  </si>
  <si>
    <t>Francesc Xavier Vilabella Pecondon</t>
  </si>
  <si>
    <t>David Iturria March</t>
  </si>
  <si>
    <t>Bernat Perramon Ramos</t>
  </si>
  <si>
    <t>JORDI GUILLEN CUESTA</t>
  </si>
  <si>
    <t>Fatima Rebollo Domingo</t>
  </si>
  <si>
    <t>Joan Casoliva Armengou</t>
  </si>
  <si>
    <t>Fermin Morales Subirats</t>
  </si>
  <si>
    <t>Daniel Salvador Carretero</t>
  </si>
  <si>
    <t>Glòria Rosas Carrion</t>
  </si>
  <si>
    <t>Claudio Baiges Casanova</t>
  </si>
  <si>
    <t>Jordi Parpal Servole</t>
  </si>
  <si>
    <t>CRE</t>
  </si>
  <si>
    <t>Montserrat Sancho Blasco</t>
  </si>
  <si>
    <t>Carlos Gonzalez Farrando</t>
  </si>
  <si>
    <t>Joan Bech Sabat</t>
  </si>
  <si>
    <t>David Martra Colomes</t>
  </si>
  <si>
    <t>Emili Bassols Isamat</t>
  </si>
  <si>
    <t>Josep Pique Palacin</t>
  </si>
  <si>
    <t>Jaume Farriol Rafel</t>
  </si>
  <si>
    <t>Joana Canals Ribó</t>
  </si>
  <si>
    <t>Helena Fanlo Lopez</t>
  </si>
  <si>
    <t>Joaquin Aragones Rabassa</t>
  </si>
  <si>
    <t>Ivan Bustamante Galera</t>
  </si>
  <si>
    <t>Erica Bel Queralt</t>
  </si>
  <si>
    <t>JORDI RODERO PAU</t>
  </si>
  <si>
    <t>MON</t>
  </si>
  <si>
    <t>Ricardo Jesus Collado Tortosa</t>
  </si>
  <si>
    <t>Francesca Gil Gomez</t>
  </si>
  <si>
    <t>Montserrat Pascual Manich</t>
  </si>
  <si>
    <t>Montserrat Bonet Porcel</t>
  </si>
  <si>
    <t>Eva Calm Puig</t>
  </si>
  <si>
    <t>Juan Fernandez Gil</t>
  </si>
  <si>
    <t>Xavier Grive Isern</t>
  </si>
  <si>
    <t>Lorena Dominguez Pons</t>
  </si>
  <si>
    <t>Inmaculada Juan Franch</t>
  </si>
  <si>
    <t>Maria Pilar Carabus Saballs</t>
  </si>
  <si>
    <t>Jorge Planella Santias</t>
  </si>
  <si>
    <t>Joan Mestre Querol</t>
  </si>
  <si>
    <t>Lluis Cullere Garcia</t>
  </si>
  <si>
    <t>ZVG</t>
  </si>
  <si>
    <t>Salvador Nogues Feliu</t>
  </si>
  <si>
    <t>Gerard Giménez Pérez</t>
  </si>
  <si>
    <t>Patricia Hebrard Gras</t>
  </si>
  <si>
    <t>Montserrat Sola Rivera</t>
  </si>
  <si>
    <t>Gerard Roca Canal</t>
  </si>
  <si>
    <t>Marc Garriga Lujan</t>
  </si>
  <si>
    <t>Maria Carme Orriols Alsina</t>
  </si>
  <si>
    <t>Joan Francesc Vidal Esquerre</t>
  </si>
  <si>
    <t>Monica Matencio Cardenas</t>
  </si>
  <si>
    <t>Maria Antonia Rojas Gonzalez</t>
  </si>
  <si>
    <t>Josep Maria Forcadell Roig</t>
  </si>
  <si>
    <t>Oliana Carrasco Aparicio</t>
  </si>
  <si>
    <t>API</t>
  </si>
  <si>
    <t>Jordi Vicente Canillas</t>
  </si>
  <si>
    <t>Ponç Feliu Latorre</t>
  </si>
  <si>
    <t>Noemi Aymami Ortiz</t>
  </si>
  <si>
    <t>Javier Oliver Martinez-Fornes</t>
  </si>
  <si>
    <t>Maria de las Merce Frade Palau</t>
  </si>
  <si>
    <t>Marina Vergés Sánchez</t>
  </si>
  <si>
    <t>Jose Maria Queral Casanova</t>
  </si>
  <si>
    <t>Ramon Alberto Alturo Monne</t>
  </si>
  <si>
    <t>MARTA REIXACH ESTRAGUES</t>
  </si>
  <si>
    <t>Josep Sabate Balsells</t>
  </si>
  <si>
    <t>Sebastia Camarasa Arbos</t>
  </si>
  <si>
    <t>TFR</t>
  </si>
  <si>
    <t>Jose Luis Gomez Bringue</t>
  </si>
  <si>
    <t>Susana Vilares Rubio</t>
  </si>
  <si>
    <t>RAFEL GUARDIA MIQUEL</t>
  </si>
  <si>
    <t>Joan Montserrat Reig</t>
  </si>
  <si>
    <t>Maria Teresa Bel Bauza</t>
  </si>
  <si>
    <t>Montserrat Raurell Sola</t>
  </si>
  <si>
    <t>Juan Carlos Garrido Lomeña</t>
  </si>
  <si>
    <t>Santiago Ramos Lopez</t>
  </si>
  <si>
    <t>Mireia Jimenez Monegal</t>
  </si>
  <si>
    <t>Marc Aixarch Curto</t>
  </si>
  <si>
    <t>CMO</t>
  </si>
  <si>
    <t>Jose Maria Rispa Pifarre</t>
  </si>
  <si>
    <t>Joan Pijoan Coromina</t>
  </si>
  <si>
    <t>Moises Villanueva Coello</t>
  </si>
  <si>
    <t>Queralt Tor Guitart</t>
  </si>
  <si>
    <t>Julia Piccardo Valdemarin</t>
  </si>
  <si>
    <t>Oscar Palou Teixidor</t>
  </si>
  <si>
    <t>Maria Merce San Jose Amat</t>
  </si>
  <si>
    <t>DEB</t>
  </si>
  <si>
    <t>Lluís F. Florit Molina</t>
  </si>
  <si>
    <t>Jordi Giro Quer</t>
  </si>
  <si>
    <t>Natàlia Amores López</t>
  </si>
  <si>
    <t>Maria Lurdes Fontanet Paga</t>
  </si>
  <si>
    <t>Rosa Llinàs Viola</t>
  </si>
  <si>
    <t>Miriam Ralda Albiol</t>
  </si>
  <si>
    <t>MMB</t>
  </si>
  <si>
    <t>Luis Pifarre Marti</t>
  </si>
  <si>
    <t>Josep Riera Massegur</t>
  </si>
  <si>
    <t>Nuria Canals Sangra</t>
  </si>
  <si>
    <t>Maria Lurdes Queral Castells</t>
  </si>
  <si>
    <t>Salvi Ruiz Cruset</t>
  </si>
  <si>
    <t>Salomé Mulet Muria</t>
  </si>
  <si>
    <t>AEM</t>
  </si>
  <si>
    <t>Marc Plans Farrero</t>
  </si>
  <si>
    <t>Marta Ledesma i Bruch</t>
  </si>
  <si>
    <t>Olga Nicolas De Francisco</t>
  </si>
  <si>
    <t>Miquel Angel Franch Casanova</t>
  </si>
  <si>
    <t>Sonia Blanco Esparza</t>
  </si>
  <si>
    <t>Veronica Perez Peña</t>
  </si>
  <si>
    <t>POR</t>
  </si>
  <si>
    <t>Marcel Elias Sanllehy</t>
  </si>
  <si>
    <t>Montserrat Grabolosa Sellabona</t>
  </si>
  <si>
    <t>Oriol Grau Fernandez</t>
  </si>
  <si>
    <t>Natividad Franch Ventura</t>
  </si>
  <si>
    <t>SEC</t>
  </si>
  <si>
    <t>Maria Isabel Sebastia Urbano</t>
  </si>
  <si>
    <t>Nuria Cruset Tonietti</t>
  </si>
  <si>
    <t>Ricard Valls i Fígols</t>
  </si>
  <si>
    <t>Xavier Abril Ferrer</t>
  </si>
  <si>
    <t>Maria Pou Palau</t>
  </si>
  <si>
    <t>XAVIER GARRETA PUYOL</t>
  </si>
  <si>
    <t>Mari-Sol Garcia Ardanuy</t>
  </si>
  <si>
    <t>Miriam Aznar Galan</t>
  </si>
  <si>
    <t>Rosana Senis Garrido</t>
  </si>
  <si>
    <t>Silvia Mara Martins Bazzo</t>
  </si>
  <si>
    <t>Xavier Llimiñana Sabate</t>
  </si>
  <si>
    <t>Posar els Obj. Operatius tal i com surten al Pla estratègic i les actuacions previstes en ell amb la concreció pel 2026.</t>
  </si>
  <si>
    <t>26_NA_01</t>
  </si>
  <si>
    <t>Manteniment d'hàbitats de regs i d'altres espais agraris d'alt valor biològic</t>
  </si>
  <si>
    <t>26_NA_02</t>
  </si>
  <si>
    <t>Manteniment d'hàbitats dunars, HIC i/o singulars</t>
  </si>
  <si>
    <t>01.1.1b</t>
  </si>
  <si>
    <t>Si</t>
  </si>
  <si>
    <t>26_NA_03</t>
  </si>
  <si>
    <t>Manteniment de la xarxa de sensors de control de l'aigua</t>
  </si>
  <si>
    <t>26_NA_04</t>
  </si>
  <si>
    <t>Projectes, avaluacions i plans</t>
  </si>
  <si>
    <t>01.1.1a</t>
  </si>
  <si>
    <t>no</t>
  </si>
  <si>
    <t>26_NA_06</t>
  </si>
  <si>
    <t>Manteniment de sensors de la xarxa oceanogràfica</t>
  </si>
  <si>
    <t>26_NA_07</t>
  </si>
  <si>
    <t>Treballs de prevenció d'incendis forestals</t>
  </si>
  <si>
    <t>26_NA_08</t>
  </si>
  <si>
    <t>Seguiment del corn marí</t>
  </si>
  <si>
    <t>26_NA_09</t>
  </si>
  <si>
    <t xml:space="preserve">Prova pilot de reducció d'accidents amb el corb marí emplomallat per part de xarxes de pesca artesanal </t>
  </si>
  <si>
    <t>01.4.2b</t>
  </si>
  <si>
    <t>26_NA_10</t>
  </si>
  <si>
    <t>Seguiment de flora de conservació prioritària</t>
  </si>
  <si>
    <t>26_NA_11</t>
  </si>
  <si>
    <r>
      <t xml:space="preserve">Estudi genètic </t>
    </r>
    <r>
      <rPr>
        <i/>
        <sz val="9"/>
        <color rgb="FF000000"/>
        <rFont val="Arial"/>
        <family val="2"/>
      </rPr>
      <t>Limonium revolutum</t>
    </r>
  </si>
  <si>
    <t>26_NA_12</t>
  </si>
  <si>
    <t>Seguiment abelles</t>
  </si>
  <si>
    <t>26_NA_13</t>
  </si>
  <si>
    <t>Seguiment de peixos continentals</t>
  </si>
  <si>
    <t>26_NA_14</t>
  </si>
  <si>
    <t>Seguiment de briofits</t>
  </si>
  <si>
    <t>26_NA_15</t>
  </si>
  <si>
    <t>Seguiment de nàiades</t>
  </si>
  <si>
    <t>26_NA_16</t>
  </si>
  <si>
    <r>
      <t xml:space="preserve">Estudi genètic de </t>
    </r>
    <r>
      <rPr>
        <i/>
        <sz val="9"/>
        <color rgb="FF000000"/>
        <rFont val="Arial"/>
        <family val="2"/>
      </rPr>
      <t>Polygonum robertii</t>
    </r>
  </si>
  <si>
    <t>26_NA_17</t>
  </si>
  <si>
    <t>Seguiment ocells</t>
  </si>
  <si>
    <t>26_NA_18</t>
  </si>
  <si>
    <t>Seguiment d'hàbitats dunars</t>
  </si>
  <si>
    <t>26_NA_19</t>
  </si>
  <si>
    <r>
      <t xml:space="preserve">Seguiment </t>
    </r>
    <r>
      <rPr>
        <i/>
        <sz val="9"/>
        <color rgb="FF000000"/>
        <rFont val="Arial"/>
        <family val="2"/>
      </rPr>
      <t>Emys</t>
    </r>
  </si>
  <si>
    <t>26_NA_20</t>
  </si>
  <si>
    <t xml:space="preserve">Seguiment sargantana cendrosa </t>
  </si>
  <si>
    <t>26_NA_21</t>
  </si>
  <si>
    <t>Treballs de control de la canya americana</t>
  </si>
  <si>
    <t>01.2.3a</t>
  </si>
  <si>
    <t>26_CU_01</t>
  </si>
  <si>
    <t>Projecte Restauració Ter Vell PMM22225.F1</t>
  </si>
  <si>
    <t>01.3.4; 05.2.1</t>
  </si>
  <si>
    <t>26_CU_02</t>
  </si>
  <si>
    <t>Delimitacio dels espais de cel nocturn de qualitat</t>
  </si>
  <si>
    <t>26_CU_03</t>
  </si>
  <si>
    <t>Treballs de recuperació amb pedra seca</t>
  </si>
  <si>
    <t>26_CU_04</t>
  </si>
  <si>
    <t xml:space="preserve">Avaluació de l'estat de conservació del patrimoni cultural a les Illes Medes </t>
  </si>
  <si>
    <t>26_CU_05</t>
  </si>
  <si>
    <t>Restauració parcial pedreres al Montgrí</t>
  </si>
  <si>
    <t>26_CU_06</t>
  </si>
  <si>
    <t xml:space="preserve">Premis </t>
  </si>
  <si>
    <t>226.0010- Premis</t>
  </si>
  <si>
    <t>26_CU_07</t>
  </si>
  <si>
    <t>Inventari biodiversitat cultivada</t>
  </si>
  <si>
    <t>26_CO_01</t>
  </si>
  <si>
    <t>Projecte instal·lacions i senyalitzacions espais marins. ENP-2372</t>
  </si>
  <si>
    <t>26_CO_02</t>
  </si>
  <si>
    <t>Projecte Espai de recerca MedLAB: Espai Medes</t>
  </si>
  <si>
    <t>26_CO_03</t>
  </si>
  <si>
    <t>Espai de recerca MedLAB: Espai Medes</t>
  </si>
  <si>
    <t>26_CO_04</t>
  </si>
  <si>
    <t>Revistes, llibres i altres publicacions</t>
  </si>
  <si>
    <t>26_CO_05</t>
  </si>
  <si>
    <t>Seguiment de cetacis mitjançant acústica</t>
  </si>
  <si>
    <t>06.1.3</t>
  </si>
  <si>
    <t>26_CO_06</t>
  </si>
  <si>
    <t>Ànalisis sobre els microplàstics a l'àmbit marí del Parc</t>
  </si>
  <si>
    <t>26_CO_07</t>
  </si>
  <si>
    <t>Treball tècnic de delimitació i redacció d'un pla específic de mesures per a la zona d'especial protecció de la qualitat acústica</t>
  </si>
  <si>
    <t>26_CO_08</t>
  </si>
  <si>
    <t>Seguiment de l'activitat del submarinisme</t>
  </si>
  <si>
    <t>26_CO_09</t>
  </si>
  <si>
    <t>Seguiment marí, vinculat parcialment al PRUG</t>
  </si>
  <si>
    <t>1.1.1b</t>
  </si>
  <si>
    <t>26_CO_10</t>
  </si>
  <si>
    <t>Realitzar una enquesta sobre els visitants del Parc</t>
  </si>
  <si>
    <t>26_CO_11</t>
  </si>
  <si>
    <t>Estudi de freqüentació: litoral</t>
  </si>
  <si>
    <t>26_DE_01</t>
  </si>
  <si>
    <t>Suport a la CETS, incloent fases II i III i dinamització renovació</t>
  </si>
  <si>
    <t>7.1.1; 8.3.2; 8.3.4; 9.1.2; 9.1.3; 9.2.1; 9.2.2; 11.4.1; 11.4.2; 11.6.1; 11.7.4; 13.3.3; 13.4.1; 13.5.2; 15.1.1</t>
  </si>
  <si>
    <t>26_DE_02</t>
  </si>
  <si>
    <t>Secretaria de la CETS</t>
  </si>
  <si>
    <t>227.0013- Treballs tècnics</t>
  </si>
  <si>
    <t>26_DE_03</t>
  </si>
  <si>
    <t>Gestió acreditacions empreses en turisme sostenible</t>
  </si>
  <si>
    <t>26_DE_04</t>
  </si>
  <si>
    <t>Creació de paquets de turisme sostenible</t>
  </si>
  <si>
    <t>26_DE_05</t>
  </si>
  <si>
    <t>Seguiment de la pesca recreativa</t>
  </si>
  <si>
    <t>26_DE_06</t>
  </si>
  <si>
    <t>Unifiicació de boies de senyalització dels pescadors artesanals</t>
  </si>
  <si>
    <t>08.1.1b</t>
  </si>
  <si>
    <t>221.0089- Altres subministraments</t>
  </si>
  <si>
    <t>26_DE_07</t>
  </si>
  <si>
    <t>Assessoria tècnica per al conreu de l'olivera al Montgrí</t>
  </si>
  <si>
    <t>08.1.1a</t>
  </si>
  <si>
    <t>26_DE_08</t>
  </si>
  <si>
    <t>Assaig de productes per al control de la mosca de l'olivera</t>
  </si>
  <si>
    <t>26_DE_09</t>
  </si>
  <si>
    <t>Treballs de recuperació d'un oliverar al Montgrí</t>
  </si>
  <si>
    <t>26_DE_10</t>
  </si>
  <si>
    <t>Seguiment d'afectacions de cabra salvatge</t>
  </si>
  <si>
    <t>26_DE_11</t>
  </si>
  <si>
    <t>Seguiment de ramats amb collars nofence</t>
  </si>
  <si>
    <t>228.0002- Serveis informàtics realitzats per altres entitats</t>
  </si>
  <si>
    <t>26_DE_12</t>
  </si>
  <si>
    <t>Creació d'un catàleg d'experiències d'ecoturisme. Fase III</t>
  </si>
  <si>
    <t>26_DE_13</t>
  </si>
  <si>
    <t xml:space="preserve">Seguiment anònim empreses CETS </t>
  </si>
  <si>
    <t>26_US_01</t>
  </si>
  <si>
    <t>Informació, control i cobrament usuaris de boies</t>
  </si>
  <si>
    <t>26_US_02</t>
  </si>
  <si>
    <t>Vigilants rurals èpoques màxima afluència</t>
  </si>
  <si>
    <t>26_US_03</t>
  </si>
  <si>
    <t>Manteniment i actualització app Natura Local</t>
  </si>
  <si>
    <t>212.0001- Conserv. Repar. Imantenent equips per a procés de dades</t>
  </si>
  <si>
    <t>26_US_04</t>
  </si>
  <si>
    <t>26_US_05</t>
  </si>
  <si>
    <t>Manteniment dels canals de comunicació del conveni dels 8 municipis</t>
  </si>
  <si>
    <t>26_US_06</t>
  </si>
  <si>
    <t>Organització d'activitats formatives per a guies i informadors</t>
  </si>
  <si>
    <t>226.0005- Organització de reunions i conferències</t>
  </si>
  <si>
    <t>26_US_07</t>
  </si>
  <si>
    <t>Organització d'activitats formatives per a empreses CETS</t>
  </si>
  <si>
    <t>26_US_08</t>
  </si>
  <si>
    <t>Contracte de vigilància temporada mitja</t>
  </si>
  <si>
    <t>227.0002- Vigilància i informació a usuaris litoral</t>
  </si>
  <si>
    <t>26_US_09</t>
  </si>
  <si>
    <t>Retolació i senyalètica dins del pla de senyalització</t>
  </si>
  <si>
    <t>240.0001- Despeses de publicacions</t>
  </si>
  <si>
    <t>26_US_10</t>
  </si>
  <si>
    <t>Millora infraestructures marines</t>
  </si>
  <si>
    <t>26_US_11</t>
  </si>
  <si>
    <t>Millora infraestructures terrestres</t>
  </si>
  <si>
    <t>26_US_12</t>
  </si>
  <si>
    <t>Millora de la senyalització exterior de les oficines del Parc</t>
  </si>
  <si>
    <t>26_US_13</t>
  </si>
  <si>
    <t>11.2.3</t>
  </si>
  <si>
    <t>226.0003- Publicitat, difusió i promoció de l'espai</t>
  </si>
  <si>
    <t>26_US_14</t>
  </si>
  <si>
    <t>Disseny de senyals per a la renovació</t>
  </si>
  <si>
    <t>26_ED_01</t>
  </si>
  <si>
    <t>Serveis d'informació, educació ambiental i voluntariat</t>
  </si>
  <si>
    <t>26_ED_02</t>
  </si>
  <si>
    <t>Material d'educació ambiental</t>
  </si>
  <si>
    <t>26_ED_03</t>
  </si>
  <si>
    <t>Activitats d'educació ambiental per a escoles</t>
  </si>
  <si>
    <t>26_ED_04</t>
  </si>
  <si>
    <t>Activitats d'educació ambiental per a voluntaris</t>
  </si>
  <si>
    <t>26_ED_05</t>
  </si>
  <si>
    <t>Activitats d'educació ambiental per als residents</t>
  </si>
  <si>
    <t>26_ED_06</t>
  </si>
  <si>
    <t>Organització d'activitats formatives per a educadors i tècnics del parc</t>
  </si>
  <si>
    <t>26_ED_07</t>
  </si>
  <si>
    <t>Manteniment de les xarxes socials</t>
  </si>
  <si>
    <t>26_ED_08</t>
  </si>
  <si>
    <t>Disseny de materials per a xarxes socials</t>
  </si>
  <si>
    <t>26_ED_09</t>
  </si>
  <si>
    <t>Manteniment de la web i plataformes de participació</t>
  </si>
  <si>
    <t>26_ED_10</t>
  </si>
  <si>
    <t>Reedició de publicacions de difusió</t>
  </si>
  <si>
    <t>26_ED_11</t>
  </si>
  <si>
    <t>Disseny de materials per a publicacions</t>
  </si>
  <si>
    <t>26_ED_12</t>
  </si>
  <si>
    <t>Edició de publicacions de difusió</t>
  </si>
  <si>
    <t>26_ED_13</t>
  </si>
  <si>
    <t>Conte marí</t>
  </si>
  <si>
    <t>26_ED_14</t>
  </si>
  <si>
    <t>Recull d'imatges de programa el Parc a l'Escola</t>
  </si>
  <si>
    <t>26_ED_15</t>
  </si>
  <si>
    <t>Recull d'il·lustaracions de flora i hàbitats representatiu</t>
  </si>
  <si>
    <t>26_ED_16</t>
  </si>
  <si>
    <t>Videos subaquàtics 360º</t>
  </si>
  <si>
    <t>680.0001-  Inversions en immobilitzat intangible</t>
  </si>
  <si>
    <t>26_ED_17</t>
  </si>
  <si>
    <t>Creació d'un espai web de visió del niu de duc de les Medes</t>
  </si>
  <si>
    <t>26_GE_01</t>
  </si>
  <si>
    <t>Pupilatges</t>
  </si>
  <si>
    <t>16.3.5b</t>
  </si>
  <si>
    <t>201.0001- Lloguers i cànons de material de transport</t>
  </si>
  <si>
    <t>26_GE_02</t>
  </si>
  <si>
    <t>Lloguer magatzem</t>
  </si>
  <si>
    <t>16.3.5a</t>
  </si>
  <si>
    <t>26_GE_03</t>
  </si>
  <si>
    <t>Manteniment d'infrastructures d'ús públic marí</t>
  </si>
  <si>
    <t>11.1.9; 11.1.10</t>
  </si>
  <si>
    <t>26_GE_04</t>
  </si>
  <si>
    <t>Manteniment d'embarcacions</t>
  </si>
  <si>
    <t>16.6.1b</t>
  </si>
  <si>
    <t>16.3.5b; 16.6.15</t>
  </si>
  <si>
    <t>211.0001- Conserv. Repar i mateniment material de transport</t>
  </si>
  <si>
    <t>26_GE_05</t>
  </si>
  <si>
    <t>Manteniment i conservació d'equipaments</t>
  </si>
  <si>
    <t>26_GE_06</t>
  </si>
  <si>
    <t>Carburant</t>
  </si>
  <si>
    <t>221.0002- Combustible per a mitjans de transport</t>
  </si>
  <si>
    <t>26_GE_07</t>
  </si>
  <si>
    <t>Vestuari, EPI, equipament específic i altres</t>
  </si>
  <si>
    <t>221.0003- Vestuari</t>
  </si>
  <si>
    <t>26_GE_08</t>
  </si>
  <si>
    <t>Material sanitari especific activitats marines</t>
  </si>
  <si>
    <t>221.0005 Productes farmacèutics específics</t>
  </si>
  <si>
    <t>26_GE_09</t>
  </si>
  <si>
    <t>Queviures</t>
  </si>
  <si>
    <t>16.6.3</t>
  </si>
  <si>
    <t>221.0007- Queviures</t>
  </si>
  <si>
    <t>26_GE_10</t>
  </si>
  <si>
    <t>Material per a manteniments diversos</t>
  </si>
  <si>
    <t>26_GE_11</t>
  </si>
  <si>
    <t>Despeses postals</t>
  </si>
  <si>
    <t>222.0001- Despeses postals, missatgeria i altres similars</t>
  </si>
  <si>
    <t>26_GE_12</t>
  </si>
  <si>
    <t>Transport materials diversos</t>
  </si>
  <si>
    <t>223.0001- Transport</t>
  </si>
  <si>
    <t>26_GE_13</t>
  </si>
  <si>
    <t>Tributs</t>
  </si>
  <si>
    <t>225.0001- Tributs</t>
  </si>
  <si>
    <t>26_GE_14</t>
  </si>
  <si>
    <t>Taules de participació</t>
  </si>
  <si>
    <t>15.1.5</t>
  </si>
  <si>
    <t>26_GE_15</t>
  </si>
  <si>
    <t>Suport als treballs dels patrons/cabussadors del Parc</t>
  </si>
  <si>
    <t>26_GE_16</t>
  </si>
  <si>
    <t>Renovació embarcacions del Parc</t>
  </si>
  <si>
    <t>26_GE_17</t>
  </si>
  <si>
    <t>Despeses de personal</t>
  </si>
  <si>
    <t>Santi Ramos</t>
  </si>
  <si>
    <t>Oscar Palou</t>
  </si>
  <si>
    <t>Ramon Alturo</t>
  </si>
  <si>
    <t>Mapi Carabús</t>
  </si>
  <si>
    <t>Modificació itineraris app Natura Local</t>
  </si>
  <si>
    <t>Disseny fulletó itineraris marins</t>
  </si>
  <si>
    <t>Dani Salvador</t>
  </si>
  <si>
    <t>Mónica Matencio</t>
  </si>
  <si>
    <t>Ana Ortíz</t>
  </si>
  <si>
    <t>Fita a assolir en 4 anys</t>
  </si>
  <si>
    <t>Gestió interna (escenari actual)</t>
  </si>
  <si>
    <t>Gestió interna (escenari ideal)</t>
  </si>
  <si>
    <t>MM</t>
  </si>
  <si>
    <t>OBJECTIUS operatius / Línia estratègica</t>
  </si>
  <si>
    <t>Objectiu operatiu concret a l'espai</t>
  </si>
  <si>
    <t>indicadors</t>
  </si>
  <si>
    <t>Mínima</t>
  </si>
  <si>
    <t>Màxim (Desitjable)</t>
  </si>
  <si>
    <t>Hores de dedicació</t>
  </si>
  <si>
    <t>Àrea responsable</t>
  </si>
  <si>
    <t>Persona responsable</t>
  </si>
  <si>
    <t>SR</t>
  </si>
  <si>
    <t>Implementar i executar plans de gestió específics per a hàbitats i espècies de conservació prioritària dins l'àmbit terrestre i marí de l'ENP</t>
  </si>
  <si>
    <t>Elaborar plans de gestió específics per a hàbitats i espècies de conservació prioritària dins de l'àmbit terrestre de l'ENP</t>
  </si>
  <si>
    <t>Objectiu centrat en la planificació. L''execució s'inclou a l'OP 1.2.2 (plans d'espècies).</t>
  </si>
  <si>
    <t>MÀXIMA</t>
  </si>
  <si>
    <t>*Elaboració de plans de gestió per elements prioritzats a l'espai d'acord amb la visió del global del Servei de Planificació i dels Servei de Fauna i Flora dels Serveis Centrals.
*Elaborar un pla de conservació dels sistemes dunars
*Elaborar un pla de gestió dels hàbitats terrestres de les illes Medes. 
* Elaborar un pla de gestió dels sistemes de zones humides i de la xarxa de recs i drenatges.
*Implicació i participació en la redacció dels plans de conservació /recuperació d'espècies amenaçades.</t>
  </si>
  <si>
    <t>Nombre de plans</t>
  </si>
  <si>
    <t>Biodiversitat terrestre</t>
  </si>
  <si>
    <t>SR
OP
AB</t>
  </si>
  <si>
    <t>AB</t>
  </si>
  <si>
    <t>Albert Burgas</t>
  </si>
  <si>
    <t>Elaborar plans de gestió específics per a hàbitats i espècies de conservació prioritària dins de l'àmbit marí de l'ENP</t>
  </si>
  <si>
    <t>*Continuar amb el pla de gestió adaptativa de la reserva natural parcial marina
*Elaboració de plans de gestió per elements marins prioritzats a l'espai d'acord amb la visió del global del Servei de Planificació i dels Servei de Fauna i Flora dels Serveis Centrals.
*Implicació i participació en la redacció dels plans de conservació /recuperació d'espècies marines amenaçades.</t>
  </si>
  <si>
    <t>Biodiversitat marina</t>
  </si>
  <si>
    <t>AP
RA</t>
  </si>
  <si>
    <t>OP</t>
  </si>
  <si>
    <t>Oscar Palol</t>
  </si>
  <si>
    <t>Mantenir i seguir executant les mesures de gestió específiques per a elements geològics de conservació prioritària dins l'ENP</t>
  </si>
  <si>
    <t>Ja es disposen d'instruments vigents</t>
  </si>
  <si>
    <t>* Aplicació de les directrius de gestió de l'inventari de patrimoni geològic (ICGC)</t>
  </si>
  <si>
    <t>Fitxes noves/actualitzades</t>
  </si>
  <si>
    <t>IB</t>
  </si>
  <si>
    <t>Ivan Bustamante</t>
  </si>
  <si>
    <t>Implementar la metodologia de gestió adaptativa (Estàndards Oberts de Gestió Adaptativa a Catalunya) en tots els processos del medi terrestre i marí de l'ENP</t>
  </si>
  <si>
    <t>01.2.1a</t>
  </si>
  <si>
    <t>Implementar la metodologia de gestió adaptativa (Estàndards Oberts de Gestió Adaptativa a Catalunya) en alguns processos de l'àmbit terrestre de l'ENP</t>
  </si>
  <si>
    <t>És inviable aplicar-ho en tots els processos</t>
  </si>
  <si>
    <t>ALTA</t>
  </si>
  <si>
    <t>*Identificar els processos més rellevants per a la conservació a l'espai terrestre per tal d'adaptar-los a la metodologia dels Estàndards Oberts</t>
  </si>
  <si>
    <t>Nombre OP adaptats</t>
  </si>
  <si>
    <t>SR
AB</t>
  </si>
  <si>
    <t>MC</t>
  </si>
  <si>
    <t>Maria Pilar Carabús</t>
  </si>
  <si>
    <t>01.2.1b</t>
  </si>
  <si>
    <t>Implementar la metodologia de gestió adaptativa (Estàndards Oberts de Gestió Adaptativa a Catalunya) en alguns processos de l'àmbit marí l'ENP</t>
  </si>
  <si>
    <t>*Identificar els processos més rellevants per a la conservació a l'espai marí i litoral per tal d'adaptar-los a la metodologia dels Estàndards Oberts</t>
  </si>
  <si>
    <t>AP
SR
RA</t>
  </si>
  <si>
    <t>AP</t>
  </si>
  <si>
    <t>Ariadna Purroy</t>
  </si>
  <si>
    <r>
      <t xml:space="preserve">*Executar les mesures previstes als plans de recuperació del bitó i el fartet
* Implicació i participació en la redacció dels plans de conservació /recuperació d'espècies amenaçades
* Execució de les accions que acabaran incloses en els futurs plans de conservació i recuperació (corriol camanegre, nàiades, àguila cuabarrada, </t>
    </r>
    <r>
      <rPr>
        <i/>
        <sz val="11"/>
        <rFont val="Calibri"/>
        <family val="2"/>
        <scheme val="minor"/>
      </rPr>
      <t>Hydrocotyle vulgaris</t>
    </r>
    <r>
      <rPr>
        <sz val="11"/>
        <rFont val="Calibri"/>
        <family val="2"/>
        <scheme val="minor"/>
      </rPr>
      <t xml:space="preserve">, </t>
    </r>
    <r>
      <rPr>
        <i/>
        <sz val="11"/>
        <rFont val="Calibri"/>
        <family val="2"/>
        <scheme val="minor"/>
      </rPr>
      <t>Butomus umbellatus</t>
    </r>
    <r>
      <rPr>
        <sz val="11"/>
        <rFont val="Calibri"/>
        <family val="2"/>
        <scheme val="minor"/>
      </rPr>
      <t>)</t>
    </r>
  </si>
  <si>
    <t>Nombre mesures/accions implantades</t>
  </si>
  <si>
    <t>RA</t>
  </si>
  <si>
    <t>Executar les mesures de gestió previstes en els plans de control i erradicació d'espècies exòtiques terrestres i marines de forma coordinada amb el Servei de Flora i Fauna en l'àmbit de l'ENP</t>
  </si>
  <si>
    <t>Executar les mesures de gestió previstes en els plans de control i erradicació d'espècies exòtiques terrestres de forma coordinada amb el Servei de Flora i Fauna en l'àmbit de l'ENP</t>
  </si>
  <si>
    <t>* Implicació  i participació en la redacció (cal identificar els plans que estan ja en marxa o previstos i posar les mesures concretes) 
* Seguir executant les accions del Pla d'actuacions per a la gestió de la flora exòtica invasora del PNMMBT 
* Col·laborar en l'execució dels programes d'eradicació de fauna invasora promogudes des dels serveis centrals (coipú i visó americà)</t>
  </si>
  <si>
    <t>Nombre de noves espècies exòtiques erradicades /Nombre de noves espècies exòtiques establertes</t>
  </si>
  <si>
    <t>01.2.3b</t>
  </si>
  <si>
    <t>Executar les mesures de gestió previstes en els plans de control i erradicació d'espècies exòtiques marines de forma coordinada amb el Servei de Flora i Fauna en l'àmbit de l'ENP</t>
  </si>
  <si>
    <t xml:space="preserve">* Implicació  i participació en la redacció (cal identificar els plans que estan ja en marxa o previstos i posar les mesures concretes) 
* Seguir executant les accions del Pla d'actuacions per a la gestió de la flora exòtica invasora del PNMMBT a les Medes
* Col·laborar en l'execució dels programes referents a espècies invasores marines promogudes des dels serveis centrals </t>
  </si>
  <si>
    <t xml:space="preserve">* Desplegament dels objectius i les mesures de l'Estratègia de la Xarxa d'àrees marines protegides del Mediterrani (MedPAN network)
* Desplegament dels objectius i les mesures recollits en la xarxa SPAMIs (hi estan incloses les illes Medes, de moment, i es voldria incloure altres del sectors de l'ENP)
</t>
  </si>
  <si>
    <t>Accions/mesures implantades</t>
  </si>
  <si>
    <t>Identificar espais terrestres i marins pel foment de la dinàmica natural i l'aprofitament no extractiu</t>
  </si>
  <si>
    <t>01.3.1a</t>
  </si>
  <si>
    <t>Identificar i promoure espais terrestres pel foment de la dinàmica natural i l'aprofitament no extractiu</t>
  </si>
  <si>
    <t>S'afegeix la promoció ja que no es tracta només d'indentificar-los. L'OE parlar de creació d'espais.</t>
  </si>
  <si>
    <t>*Participar en la identificació d'espais pel foment de la dinàmica natural i l'aprofitament no extractiu dins de l'àmbit terrestre de l'ENP durant el procés de redacció del nou Pla de protecció (duna continental, maresmes, sistemes dunars litorals, etc.)
* Incloure aquests espais en la zonificació normativa del Pla de protecció</t>
  </si>
  <si>
    <t>Proposta de pla redactada</t>
  </si>
  <si>
    <t>Direcció</t>
  </si>
  <si>
    <t>SR
OP
AB
RA
MC</t>
  </si>
  <si>
    <t>01.3.1b</t>
  </si>
  <si>
    <t>Identificar i promoure espais marins pel foment de la dinàmica natural i l'aprofitament no extractiu</t>
  </si>
  <si>
    <t>*Participar en la identificació d'espais pel foment de la dinàmica natural i l'aprofitament no extractiu dins de l'àmbit marí de l'ENP durant el procés de redacció del nou Pla de protecció (hàbitats marins d'especial interes, sistemes litorals, zones de desembocadura, etc.)
* Incloure aquests espais en la zonificació normativa del Pla de protecció</t>
  </si>
  <si>
    <t>AP
RA
SR
MC</t>
  </si>
  <si>
    <t>*Mantenir les accions d'acceleració de la maduresa forestal en zones boscoses dins les forests públiques l'ENP (duna continental, Muntanya Gran, etc.)</t>
  </si>
  <si>
    <t>Nombre actuacions</t>
  </si>
  <si>
    <t>*Mantenir les cremes controlades amb els Bombers i l'adevesament dels boscos dins l'ENP.
* Elaboració de clarianes per potenciar la recuperació de pi pinyer
* Mantenir la reintroducció espontànea de la cabra salvatge 
* Potenciar les explotacions ramaderes extensives (vaques, cabres, etc.) per mantenir espais oberts</t>
  </si>
  <si>
    <t>Nombre parcel·les tractades</t>
  </si>
  <si>
    <t>SR
OP</t>
  </si>
  <si>
    <t>Restaurar i conservar la dinàmica i estructura natural dels rius, recs i llacunes</t>
  </si>
  <si>
    <t>Redactat adaptat per a tot tipus de masses d'aigua</t>
  </si>
  <si>
    <t>*Executar els dos projectes de creació de zones de laminació dins l'ENP i a la zona d'influència
* Establir cabals ecològics a tota la xarxa de recs
* Gestionar el riu Ter i els recs principals del sistema com un delta
* Evitar que s'obri de manera il·legal la gola del Daró
* Impulsar o col·laborar en projecte de recirculació de l'aigua com a eïna per al control de la salinitat
* Cal la col·laboració de l'ACA i els Serveis Centrals</t>
  </si>
  <si>
    <t>Projectes o plans implantats</t>
  </si>
  <si>
    <t>SR
AB
OP
RA</t>
  </si>
  <si>
    <t>MITJANA</t>
  </si>
  <si>
    <t>* Potenciar les explotacions ramaderes extensives i ecològiques (vaques, cabres, etc.) per mantenir espais oberts
* Potenciar els sistemes agraris d'alt valor natural (oliverars, closes, etc.)
* Preservar els marges arbrats i arbustius dels camps, i les parets de pedra seca
*Incloure els elements de pedra seca com part d'aquest paisatge i fer difusió i formació als gestors del territori</t>
  </si>
  <si>
    <t>ha mantinguda</t>
  </si>
  <si>
    <t>OP
SR</t>
  </si>
  <si>
    <t xml:space="preserve">*Realització d'acords amb societats de caçadors i amb els gestors de la zona de caça controlada del Montgró per al control del senglar i la cabra salvatge.
* Continuar participant activament en els controls a la Reserva Natural Parcial del Ter Vell
</t>
  </si>
  <si>
    <t>Nombre d'informes PTGC
Nombre actuacions a la Reserva</t>
  </si>
  <si>
    <t>4
8</t>
  </si>
  <si>
    <t>6
16</t>
  </si>
  <si>
    <t>01.3.7</t>
  </si>
  <si>
    <t>Afavorir la connectivitat ecològica terrestre i marina del territori</t>
  </si>
  <si>
    <t>01.3.7a</t>
  </si>
  <si>
    <t>Afavorir la connectivitat ecològica terrestre del territori</t>
  </si>
  <si>
    <t>* En el marc de la redacció del Pla de protecció, proposar zones de connexió entre PNMMBT i el PNAE i amb altres ENP (Cap de Creus i Muntanyes de Begur). També zones dins el propi PNMMBT a través del sistema fluvial.</t>
  </si>
  <si>
    <t>Nombre zones proposades</t>
  </si>
  <si>
    <t>SR
OP
AB
RA</t>
  </si>
  <si>
    <t>01.3.7b</t>
  </si>
  <si>
    <t>Afavorir la connectivitat ecològica marina del territori</t>
  </si>
  <si>
    <t>* En el marc de la redacció del Pla de protecció, proposar zones de connexió entre el medi marí del PNMMBT i altres ENP (Cap de Creus i Muntanyes de Begur). També zones dins el propi PNMMBT entre l'àmbit marí i els sistemes fluvials.</t>
  </si>
  <si>
    <t>AP
RA
SR</t>
  </si>
  <si>
    <t>*Realització d'acords de custòdia per part dels Serveis Centrals atès que a l'òrgan gestor no se li permet fer aquest tipus d'acords.
* Identificar finques amb potencialitat de recuperació i on seria adequat fer-hi acords (arrossars, closes, pastures extensives, etc.)</t>
  </si>
  <si>
    <t>Nombre acords de custòdia duts a terme</t>
  </si>
  <si>
    <t>01.4.2a</t>
  </si>
  <si>
    <t>Fomentar bones pràctiques entre els col·lectius de propietaris i gestors del territori (àmbit terrestre)</t>
  </si>
  <si>
    <t>* Fomentar bones pràctiques en cultius de secà i en oliverars (mesures agroambientals amb el suport del DARP)
* Fomentar el cultiu ecològic en arrossars via incentius (mesures agroambientals amb el suport del DARP)
* Adequar les mesures agroambientals de l'arròs a les necessitats específiques de l'ENP
* Fomentar la reducció d'antiparasitaris ecotòxics en bestiar i animals domèstics</t>
  </si>
  <si>
    <t>Nombre accions demostratives</t>
  </si>
  <si>
    <t>Biodiversitat terrestre i marina</t>
  </si>
  <si>
    <t>OP
SR
AP
RA
AB</t>
  </si>
  <si>
    <t>Fomentar bones pràctiques entre els col·lectius de propietaris i gestors del territori (àmbit marí)</t>
  </si>
  <si>
    <t>*Fomentar bones pràctiques en la pesca artesanal amb el suport de confraries i del GALP</t>
  </si>
  <si>
    <t>AP
SR
RA
AB</t>
  </si>
  <si>
    <t>* Impulsar convenis amb els ens locals perquè cedeixin part de la gestió de les seves finques públiques a l'òrgan gestor de l'ENP (CUP Muntanya Gran, Ter Vell, etc.)</t>
  </si>
  <si>
    <t>Nombre de convenis</t>
  </si>
  <si>
    <t>RA
SR</t>
  </si>
  <si>
    <t>Elaborar i implementar els Plans d'adaptació de l'ENP al canvi climàtic en el medi terrestre i en el medi marí</t>
  </si>
  <si>
    <t>Primer cal elaborar aquests Plans</t>
  </si>
  <si>
    <t>* Dimensionar els plecs de contractació per a l'elaboració d'aquests Plans (per part de l'òrgan gestor)
* Encarregar l'elaboració d'aquests plans per part dels Serveis Centrals</t>
  </si>
  <si>
    <t>Nombre plans tramitats</t>
  </si>
  <si>
    <t xml:space="preserve">RA
SR
AP 
</t>
  </si>
  <si>
    <t>Ajustar la gestió i planificació els recursos hídrics a les necessitats de l'ENP</t>
  </si>
  <si>
    <t>BAIXA</t>
  </si>
  <si>
    <t>* Ajustar el Pla de Conca del riu Ter a les necessitats de conservació de l'ENP (cabals ecològics, derivació d'aigua, etc.)
* Mantenir i ampliar el sistema de sensors de conductivitat i nivell d'aigua situats en diversos punts estratègics de l'ENP
* Instal·lació de piezòmetres per conèixer l'estat i l'evolució dels aqüífers de l'ENP
* Sistematitzar la gestió de l'aigua a les reserves tenint en compte els cabals de manteniment del Ter, el nivell dels aqüífers, els espais d'inundació temporal i les nàiades</t>
  </si>
  <si>
    <t xml:space="preserve">Pla modificat
Nombre sensors actius
Nombre piezómetres instal·lats
</t>
  </si>
  <si>
    <t>1
7
2</t>
  </si>
  <si>
    <t xml:space="preserve">1
12
4
</t>
  </si>
  <si>
    <t>OP
SR
RA</t>
  </si>
  <si>
    <t xml:space="preserve">*Participació en la redacció d'IOF de finques públiques
*Realització de tractaments silvícoles i tallades selectives
</t>
  </si>
  <si>
    <t>Nombre de IOF amb participació activa
ha executades</t>
  </si>
  <si>
    <t>1
20</t>
  </si>
  <si>
    <t>2
40</t>
  </si>
  <si>
    <t>NA</t>
  </si>
  <si>
    <t>Les finques forestals privades són molt petites i els intents de planificació no han fructificat.</t>
  </si>
  <si>
    <t xml:space="preserve">Implementar el Pla de Prevenció d'Incendis </t>
  </si>
  <si>
    <t>*Col·laborar en la implementació del Pla de Prevenció d'Incendis vigent al Montgrí: disminució de biomassa en franges, desbrossades, cremes controlades, pastures, aclarides.</t>
  </si>
  <si>
    <t>Ha executades</t>
  </si>
  <si>
    <t>*Aplicar les mesures indicades als OP1.3.3. i OP2.2.1</t>
  </si>
  <si>
    <t>PROTEGIR LA BIODIVERSITAT i especialment els elements fràgils i amenaçats, d'interès comunitari o de major interès natural</t>
  </si>
  <si>
    <t>*Mantenir la implicació de l'òrgan gestor en l'informe previ que ajuda a decidir si un projecte s'ha de sotmetre al tràmit d'avaluació ambiental
* En els tràmits d'avaluació ambiental, emetre els informes preceptius corresponents, basats en les normatives existents</t>
  </si>
  <si>
    <t>Nombre informes preceptius d'AIA</t>
  </si>
  <si>
    <t>100% dels que requereixen informe</t>
  </si>
  <si>
    <t>SR
AP  
AB
RA</t>
  </si>
  <si>
    <t>* És un objectiu necessari, però l'ENP no té personal amb capacitat inspectora i caldria habilitar-lo amb aquesta funció.</t>
  </si>
  <si>
    <t>Nombre d'actes o informes de visites</t>
  </si>
  <si>
    <t>10% dels que requereixen visita</t>
  </si>
  <si>
    <t>100% dels que requereixen visita</t>
  </si>
  <si>
    <t>*Es proposen mesures compensatòries segons el projecte i la capacitat de l'ens promotor i de l'impacte generat.
* Proposta de mesures compensatòries en els projectes de modernitació dels regadius</t>
  </si>
  <si>
    <t>Nombre de mesures compensatòries informades</t>
  </si>
  <si>
    <t>*Participació en l'elaboració del Pla de Protecció (PP) juntament amb l'SPEN.
*Participació el sistema de gestió adaptativa (per a les immersions) previst en el Pla Rector d'usos i Gestió (PRUG) de les Medes, juntament amb l'SPEN.</t>
  </si>
  <si>
    <t>Participació realitzada</t>
  </si>
  <si>
    <t>RA
SR
AP 
OP
AB
MC</t>
  </si>
  <si>
    <t>Vetllar pel manteniment dels cabals ecològics, la bona qualitat dels cursos fluvials i de les aigües marines de l'ENP de forma coordinada amb l'administració competent</t>
  </si>
  <si>
    <t>Vetllar pel manteniment del cabal ecològic dels rius i dels recs històrics definit al Pla sectorial corresponent</t>
  </si>
  <si>
    <t>* Mesures ja indicades en l'OP 02.1.2.</t>
  </si>
  <si>
    <t>* Redacció d'informes preceptiu hi ha dragatges en el DPH
* En recs privats, mantenir la comunicació i els acords amb les Comunitats de Regants, aplicant el protocol de neteja de recs</t>
  </si>
  <si>
    <t>informes realitzats
km de recs on s'actua</t>
  </si>
  <si>
    <t>100% dels demanats
2</t>
  </si>
  <si>
    <t>Avaluar i controlar les actuacions que produeixin drenatges, captacions o que puguin afectar la hidrologia de l'espai</t>
  </si>
  <si>
    <t>* Informar les actuacions que afectin a la hidrologia de l'espai</t>
  </si>
  <si>
    <t>intormes realitzats</t>
  </si>
  <si>
    <t>Vetllar pel compliment de la normativa de depuració dels efluents agroramaders, urbans i industrials que s'aboquen als cursos fluvials i d'aquí al mar</t>
  </si>
  <si>
    <t>*És molt important per a l'ENP, però no depèn de l'òrgan gestor</t>
  </si>
  <si>
    <t>03.3.5</t>
  </si>
  <si>
    <t>Col·laborar amb l'òrgan competent per la conservació del domini públic d'acord amb les delimitacions i la normativa d'ús vigent</t>
  </si>
  <si>
    <t>*Col·laborar amb l'òrgan competent per la conservació del domini públic d'acord amb les delimitacions i la normativa d'ús vigent</t>
  </si>
  <si>
    <t>Nombre reunions</t>
  </si>
  <si>
    <t>tots els necessaris</t>
  </si>
  <si>
    <t>RA
SR
AP</t>
  </si>
  <si>
    <t>03.3.6</t>
  </si>
  <si>
    <t>Vetllar per a fomentar el control de la qualitat de les aigües marines</t>
  </si>
  <si>
    <t>*Mantenir l'estació de control de la turbidessa a la Reserva natural parcial marina quan estigui en marxa</t>
  </si>
  <si>
    <t>%de dies de funcionament</t>
  </si>
  <si>
    <t>Identificar espais prioritaris per a la compra de terrenys de més valor dins l'ENP i avançar en la seva adquisició</t>
  </si>
  <si>
    <t>La identificació ja està feta, el que cal és avançar en l'adquisició</t>
  </si>
  <si>
    <t>* Les finques ja estan identificades i en algun cas valorades (terrenys privats dins la RNP dels aiguamolls del Baix Ter, base militar Loran, finques de Sobresestany, retalls de closes a Griells-Pletera, etc.)
* Agilitzar els processos de compra per part de la Generalitat de Catalunya</t>
  </si>
  <si>
    <t xml:space="preserve">Nombre finques informades </t>
  </si>
  <si>
    <t>RA
SR
OP</t>
  </si>
  <si>
    <t>Avançar en l'adquisició i facilitar acords en espais prioritaris per a la gestió directa</t>
  </si>
  <si>
    <t>La identificació ja està feta, el que cal és avançar en l'adquisició o acords de custòdia</t>
  </si>
  <si>
    <t>* Agilitzar els processos de compra per part de la Generalitat de Catalunya
* Facilitar els acords de custòdia per part de l'òrgan gestor per poder fer gestió directa</t>
  </si>
  <si>
    <t>Nombre acords</t>
  </si>
  <si>
    <t>Ampliar l'inventari i cartografia de patrimoni cultural de l'ENP per tal que inclogui el patrimoni etnològic i immaterial</t>
  </si>
  <si>
    <t>L'ENP ja disposa d'un inventari de patrimoni cultural material (amb cartografia Instamaps pública)</t>
  </si>
  <si>
    <t>* Elaborar l'inventari de patrimoni etnològic en el marc del conveni amb el Museu de la Mediterrània (2028)
* Elaborar l'inventari de patrimoni cultural immaterial (metodologia de l'inventari de la unesco) &gt; fora de termini
*Recopilació de la informació dels inventaris dels ajuntaments de l'ENP
* Actualitzar l'inventari de patrimoni cultural material, incloent més informació d'interès per a la gestió en els elements que es defineixin com prioritaris
* Un cop es disposi d'aquests inventaris, elaborar un pla de gestió integral de patrimoni cultural
*Establir un protocol per actuar en funció del cas i grau de protecció</t>
  </si>
  <si>
    <t>Noves fitxes o de fitxes actualitzades</t>
  </si>
  <si>
    <t>RA
MC</t>
  </si>
  <si>
    <t>La riquesa lingüística de la zona no és prou significativa per elaborar un catàleg</t>
  </si>
  <si>
    <t>Identicar i cartografiar els camins amb valor històric o divulgatiu de l'ENP</t>
  </si>
  <si>
    <t>Des de l'ENP no hi ha capacitat per cartografiar els camins tradicionals</t>
  </si>
  <si>
    <t>FORA DEL TERMINI DEL PLA</t>
  </si>
  <si>
    <t>* Elaborar cartografia amb camins d'interès històric i incorporar la informació a l'inventari del patrimoni material</t>
  </si>
  <si>
    <t>*Elaboració d'un mapa d'entitats, associacions, museus, ecomuseus, etc.</t>
  </si>
  <si>
    <t>Nombre entitats identificades</t>
  </si>
  <si>
    <t>Ús públic</t>
  </si>
  <si>
    <t>MC
IB
RA</t>
  </si>
  <si>
    <t>* Actualitzar el conveni amb el Museu de la Mediterrània
*Tenir en compte la experiència del Museu de la Mediterrània i cerca intensificar el seu paper en aquests temes
* Cercar acords (formals o informals, segons el cas) amb propietaris d'elements patrimonials d'interès cultural o equipaments culturals per fer accions de manteniment i restauració</t>
  </si>
  <si>
    <t>Nombre convenis o acords</t>
  </si>
  <si>
    <t>Impulsar i/o participar dels treballs de restauració arquitectònica, arqueològica i del patrimoni cultural</t>
  </si>
  <si>
    <t>Col·laborar en els treballs de restauració arquitectònica i del patrimoni cultural</t>
  </si>
  <si>
    <t>*Col·laboració de l'equip tècnic (propi) amb els responsables dels treballs de restauració arquitectònica i del patrimoni cultural (Museu de la Mediterrània i ens locals)</t>
  </si>
  <si>
    <t>RA
MC
OP</t>
  </si>
  <si>
    <t>Abans de disposar de personal en aquest àmbit, cal consolidar el personal d'altres àmbits més prioritaris.</t>
  </si>
  <si>
    <t>Recuperar i conservar el patrimoni cultural immaterial (associat a les activitats i aprofitaments rurals tradicionals) i els valors espirituals</t>
  </si>
  <si>
    <t xml:space="preserve">Recuperar i conservar el patrimoni material i immaterial associat a la fotografia i gravacions històriques de les primeres immersions </t>
  </si>
  <si>
    <t>Enlloc de patrimoni rural, més estudiat, s'aposta per un altre tipus de patrimoni molt singular a Catalunya i molt associat a l'ENP</t>
  </si>
  <si>
    <t>* Com a patrimoni hi ha la recopilació de l'arxiu d'imatges, les càmeres, les tècniques d'immersió, les sensacions, etc.
* Hi ha un primer avanç d'aquesta acció que és el documental "Caçadors d'imatges"</t>
  </si>
  <si>
    <t>Núm elements documentats</t>
  </si>
  <si>
    <t>* Mantenir les accions de mínims que ja es fan en elements prioritaris (per vandalisme, per evitar que caiguin) perquè és un àmbit d'acció específic i costós i no es disposa de terrenys amb aquest tipus de construccions</t>
  </si>
  <si>
    <t>Nombre elements reparats</t>
  </si>
  <si>
    <t xml:space="preserve">Fomentar la recuperació i conservació de l'arquitectura tradicional d'interès de les edificacions i construccions </t>
  </si>
  <si>
    <t>*Crear un document definint les característiques tradicionals i aprovar-ho per Junta
* En el marc dels informes preceptius, introduir criteris per mantenir l'estètica tradicional</t>
  </si>
  <si>
    <t>Document de criteris aprovat
Nombre informes incloent criteris</t>
  </si>
  <si>
    <t>1
0</t>
  </si>
  <si>
    <t>1
tots els necessaris</t>
  </si>
  <si>
    <t>SR
AB
OP</t>
  </si>
  <si>
    <t>* Donar suport a iniciatives que puguin aparèixer d'identificació i conservació d'aquestes varietats</t>
  </si>
  <si>
    <t>Nombre iniciatives recolzades</t>
  </si>
  <si>
    <t>Mantenir els itineraris i cartelleria de l'ENP que integren el patrimoni cultural, i considerar-los en  l'actualització dels nous cartells.</t>
  </si>
  <si>
    <t>* Són accions que es van fent periòdicament
* Itineraris sobre el patrimoni submergit per esnòrquel i submarinistes
*Posar en valor el patrimoni de la pedra seca als itineraris</t>
  </si>
  <si>
    <t>Rètols actualitzats o nous</t>
  </si>
  <si>
    <t>Incorporar el patrimoni cultural en els plans d'educació ambiental per fomentar-ne la seva conservació i divulgació.</t>
  </si>
  <si>
    <t>* En el marc de la revisió del programa educatiu "El Parc a l'escola", es valorarà introduir activitats o continguts relacionats amb el patrimoni cultural i fer-ho també a la resta de programes d'educació ambiental, incloent activitats tradicionals com l'agricultura, la pesca i la cacera</t>
  </si>
  <si>
    <t>Nombre activitats realitzades</t>
  </si>
  <si>
    <t>* Incorporar més continguts de patrimoni cultural en el curs d'informadors del PN</t>
  </si>
  <si>
    <t>* Elaborar l'inventari o catàleg (via encàrrec), posant especial relleu a aquells elements que defineixen l'estructura del paisatge i que són d'interès per a la conservació. Incloure en aquest catàleg les panoràmiques característiques de l'ENP.
* Valorar d'elaborar aquest inventari en el marc de la redacció del Pla de protecció.</t>
  </si>
  <si>
    <t>Catàleg redactat</t>
  </si>
  <si>
    <t>* Aquestes actuacions estan supeditades a disposar de l'inventari previ d'elements d'interès paisatgístic</t>
  </si>
  <si>
    <t>Actuacions realitzades</t>
  </si>
  <si>
    <t>Gestionar l'abandonament d'infraestructures i instal·lacions amb impactes sobre els valors de l'espai</t>
  </si>
  <si>
    <t>Promoure i gestionar l'eliminació i reducció d'impactes generats per les activitats existents i abandonades en l'entorn de l'espai</t>
  </si>
  <si>
    <t>Creiem que s'entén millor així</t>
  </si>
  <si>
    <t xml:space="preserve">* Restaurar l'antic abocador del Ter Vell (2025)
* Promoure el sotarrement de línies elèctriques en col·laboració amb els ajuntaments
</t>
  </si>
  <si>
    <t>SR
AB
RA</t>
  </si>
  <si>
    <t>* Mantenir la col·laboració amb els ajuntaments i altres entitats
* Aprofitar els informadors ambientals per fer aquestes tasques
* Continuar amb el programa Fonsnet de neteja dels fons marins</t>
  </si>
  <si>
    <t>MC
AP
RA</t>
  </si>
  <si>
    <t>Treballar per la millora de la qualitat lumínica de l'ENP</t>
  </si>
  <si>
    <t>Obtenir la certificació no és viable, però via informes preceptius es poden posar condicions o fins i tot prohibir certes activitats</t>
  </si>
  <si>
    <t>* En el moment d'elaborar informes preceptius, considerar el vector de la qualitat lumínica
* Considerar el vector de la qualitat lumínica en la redacció del Pla de protecció
*Encarregar mapa de contaminació lumínica del Parc</t>
  </si>
  <si>
    <t>Informes realitzats o regulacions on s'ha  tingut en compte</t>
  </si>
  <si>
    <t>Els que sigui necessari</t>
  </si>
  <si>
    <t>Treballar per la millora de la qualitat acústica de l'ENP</t>
  </si>
  <si>
    <t>* En el moment d'elaborar informes preceptius, considerar el vector de la qualitat acústica
* Considerar el vector de la qualitat acústica en la redacció del Pla de protecció
*Encarregar mapa de contaminació sonora del Parc</t>
  </si>
  <si>
    <t>Avançar en la identificació i priorització dels elements clau i d'interès per la gestió de la biodiversitat i geodiversitat de Catalunya es troben dins l'ENP (especies amenaçades, espècies exòtiques invasores,.. )</t>
  </si>
  <si>
    <t xml:space="preserve">
*Participació en la definició dels objectes de conservació clau (hàbitats, espècies, processos i elements d’interès geològic) comuns a nivell de Xarxa d'ENP o clúster territorial
* Elaborar els inventaris d'invertebrats, líquens, fongs (aprofundir) i, al medi marí, algues
* Completar el mapeig de plantes invasores</t>
  </si>
  <si>
    <t>Núm d'espècies o hàbitats treballats</t>
  </si>
  <si>
    <t>Biodiversitat terrestre
Biodiversitat marina</t>
  </si>
  <si>
    <t>SR
AP
AB
RA
OP</t>
  </si>
  <si>
    <t>Definir espais fràgils i zones d'especial atenció terrestres</t>
  </si>
  <si>
    <t>* Identificar les zones fràgils en el Pla de protecció: zones humides, ambients dunars i plana al·luvial (en risc de salinització) 
*Mantenir un seguiment anual d'algunes zones que poden anar variant</t>
  </si>
  <si>
    <t>Nombre de zones definides i/o amb seguiment</t>
  </si>
  <si>
    <t>SR
AP
AB
RA</t>
  </si>
  <si>
    <t>Definir espais fràgils i zones d'especial atenció marines</t>
  </si>
  <si>
    <t>* Identificar les zones fràgils en el Pla de protecció marí: coral·lígen, praderies de fanerògames marines, zones de trottoir, coves, zones de cetacis, etc.
*Mantenir un seguiment anual d'algunes zones que poden anar variant</t>
  </si>
  <si>
    <t>*Participació des de l'equip gestor en la programació de la realització de la cartografia d'hàbitats en el contracte plurienal que existeix amb GeoVeg-UB</t>
  </si>
  <si>
    <t>Nombre reunions realitzades</t>
  </si>
  <si>
    <t>Millorar el coneixement dels processos naturals propis de l’espai</t>
  </si>
  <si>
    <t>* Ajustar el coneixement dels processos ecològics a l'evolució del canvi climàtic</t>
  </si>
  <si>
    <t>Nombre d'estudis realitzats</t>
  </si>
  <si>
    <t xml:space="preserve">* Estudiar la intensificació agrícola de regadiu (pomeres, arrossarars, blat de moro) dins i fora de l'ENP.
* Millorar el coneixement sobre la contaminació acústica
*Continuar amb els estudis de l'impacte de submarinisme sobre la biodiversitat
* Estudiar l'impacte de la pesca tradicional i recreativa sobre la conservació del corb marí emplomallat
* Continuar amb el seguiment marí de la biodiversitat
</t>
  </si>
  <si>
    <t>SR
OP
AP
AB
RA</t>
  </si>
  <si>
    <t>Conèixer l'impacte de la gestió de l'aigua continental i el medi marí, sobre la biodiversitat.</t>
  </si>
  <si>
    <t>Afegim el medi marí</t>
  </si>
  <si>
    <t>*Implementar un programa de seguiment de l’estat hidrològic de les masses d’aigua
*Ampliació de la xarxa automatitzada de control (sensors).
*Recollidar dades sobre els microplàstics
* Instal·lació d'una xarxa de piezòmetre
* Instal·lació de sensors de terbolesa a les boies marines</t>
  </si>
  <si>
    <t>Nombre accions realitzades</t>
  </si>
  <si>
    <t>*Participació en dels estudis de les autoritats competents (senglar, mosquits, algues mucilaginoses, gats, etc.)</t>
  </si>
  <si>
    <t>Nombre estudis en que s'ha participat</t>
  </si>
  <si>
    <t>Participar en el coneixement de la tendència d'espècies invasores amb afectacions sobre ecosistemes o activitats econòmiques dins l'ENP</t>
  </si>
  <si>
    <r>
      <t xml:space="preserve">* Realització i foment d'estudis de forma coordinada amb el SFF
* Participació en dels estudis de les autoritats competents (coipú, gambúsia, visó americà, cranc de riu americà, </t>
    </r>
    <r>
      <rPr>
        <i/>
        <sz val="11"/>
        <rFont val="Calibri"/>
        <family val="2"/>
        <scheme val="minor"/>
      </rPr>
      <t>Caulerpa cylindracea</t>
    </r>
    <r>
      <rPr>
        <sz val="11"/>
        <rFont val="Calibri"/>
        <family val="2"/>
        <scheme val="minor"/>
      </rPr>
      <t xml:space="preserve"> i altres algues invasores, peix conill, etc.)</t>
    </r>
  </si>
  <si>
    <t>Actualitzar el coneixement de com millorar la connectivitat de forma coordinada amb altres ENP</t>
  </si>
  <si>
    <t>* Incloure una cartografia detallada i actualitzada de connectors ecològics en el nou Pla de protecció de l'ENP que s'està elaborant
* Coordinar-se amb la resta d'ENP empordanesos</t>
  </si>
  <si>
    <t>Connectors definits</t>
  </si>
  <si>
    <t>*Suport a la UIC, al SFF i altres unitats en la definició dels sistemes de seguiment 
* Integrar els programes de seguiment propis en el sistema estàndard de seguiment</t>
  </si>
  <si>
    <t>* Seguiment de les directrius del sistema de seguiment establerts segons la versió més recent aportada per la UIC
*Aplicació del protocol establert de compartir informació per al seguiment global d’indicadors de l’estat de la natura</t>
  </si>
  <si>
    <t>Nombre de grups adaptats</t>
  </si>
  <si>
    <t xml:space="preserve">Crear una base de dades de seguiment de patrimoni natural de l'ENP actualitzada i ordenada </t>
  </si>
  <si>
    <t>No existeix base de dades unitària, però seria interessant tenir-la</t>
  </si>
  <si>
    <t>*Crear una base de dades unitària (caldria una contractació externa)</t>
  </si>
  <si>
    <t>Participar en la deficniciaó, organització i bolcatge de dades del SINATCAT</t>
  </si>
  <si>
    <t>* Participació en les formacions per a l'ús del SINATCAT
* Integrar la informació generada per l'ENP en el SINATCAT</t>
  </si>
  <si>
    <t>Núm de formacions i/reunions participades</t>
  </si>
  <si>
    <t>Col·laborar amb museus i equipaments de referència per definir línies d'actuació conjunta entre patrimoni cultural i natural</t>
  </si>
  <si>
    <t>* Renovar el conveni amb el Museu de la Mediterrània - Càtedra d'Ecosistemes litorals
* Continuar amb el sistema de premis a la recerca 
* Continuar amb la col·laboració en publicacions de recerca i territori
* Continuar amb les accions conjuntes amb el museu (5000€ anuals)
* Mantenir la col·laboració amb l'Ajuntament de Torroella per al nou Espai Medes i signar un conveni que ho reculli</t>
  </si>
  <si>
    <t>Mantenir acords amb les institucions de recerca i naturalistes per al desenvolupament d'estudis i inventaris dins l'ENP en el marc de les seves línies de recerca</t>
  </si>
  <si>
    <t>Mantenir perquè ja hi ha acords informals vigents</t>
  </si>
  <si>
    <t>* Mantenir els acords (informals) amb institucions com ara UdG, UB, ICM-CSIC, CEAB-CSIC, UVIC, etc.</t>
  </si>
  <si>
    <t>*Reforçar la col·laboració de l'ENP amb projectes de ciència ciutana existents per generar dades en l'ENP: Bioblitz, iNaturalist, Ornitho, projecte Rex, projecte Minka, Observadores del Mar, CBMS, etc.</t>
  </si>
  <si>
    <t>Nombre actuacions realitzades</t>
  </si>
  <si>
    <t>MC
SR
OP
AP
AB
RA</t>
  </si>
  <si>
    <t xml:space="preserve">Mantenir jornades de recerca de l'ENP de forma anual on els diferents centres, entitats, empreses i professionals mostrin els estudis realizats en l'ENP </t>
  </si>
  <si>
    <t>*Identificar els experts i els centres de recerca d'interès
*Organitzar les jornades</t>
  </si>
  <si>
    <t>Nombre jornades realitzades</t>
  </si>
  <si>
    <t>Crear equipaments i serveis de l'ENP a disposició de la recerca</t>
  </si>
  <si>
    <t>No existeixen pràcticament equipaments per a la recerca i els que hi ha no són adequats</t>
  </si>
  <si>
    <t>* Continuar donant suport amb l'embarcació i patrons capbussadors de l'ENP
* Crear una seu, un laboratori, un espai de magatzem, embarcacions adequades i altres equipaments per a la recerca</t>
  </si>
  <si>
    <t>Nombre dies barca de suport
Equipament creat</t>
  </si>
  <si>
    <t>80
0</t>
  </si>
  <si>
    <t>120
1</t>
  </si>
  <si>
    <t>RA
AP</t>
  </si>
  <si>
    <t>*Impuls de la creació de l'Observatori de recerca de l'ENP en col·laboració amb la Càtedra d'Ecosistemes Litorals</t>
  </si>
  <si>
    <t>RA
AP
SR</t>
  </si>
  <si>
    <t>* Participar en els grups de treball d'ús públic coordinats pel SENP</t>
  </si>
  <si>
    <t>*Implementació del sistema estandaritzat de presa de dades i seguiment de la freqüentació definit per la UdL en 3 àmbits de l'ENP: Montgrí (2026), la plana (2025) i àmbit marí (2027)
* Mantenir i revisar la ubicació dels comptadors de visitants repartits arreu de l'ENP.
NOTA: Es desconeix el model estandarditzat de la DG, malgrat que es participa en el grup de treball d'ús públic.
*Realitzar enquestes periòdiques sobre els visitants i tenint en compte singularitats (per exemple, gent que navega, fa esnòrquel, submarinisme o va en bicicleta...), també si és en reserva o en el Parc</t>
  </si>
  <si>
    <t xml:space="preserve">Zona estudiada
Comptador avaluat
Enquesta realitzada
</t>
  </si>
  <si>
    <t>2
11
1</t>
  </si>
  <si>
    <t>3
14
2</t>
  </si>
  <si>
    <t>* Elaborar un mapa d'actors i d'activitats</t>
  </si>
  <si>
    <t>Mapa realitzat</t>
  </si>
  <si>
    <t>MC
RA
OP
AP</t>
  </si>
  <si>
    <t>* En el marc de la redacció del Pla de protecció, elaborar aquesta cartografia de males praxis i punts de massificació (aparcaments de caravanes, zones de festa nocturna a les platges, punts on s'incompleix la normativa de gossos lligats, entrades de platges, cales, itinerari del castell, etc.)</t>
  </si>
  <si>
    <t>MC
RA
OP
AP
SR</t>
  </si>
  <si>
    <t>És un objectiu interessant però que requereix de més personal dedicat a l'ús públic.</t>
  </si>
  <si>
    <t>* Aquesta informació es coneix des de l'equip gestor, però no està escrita en cap document. 
* En el marc de la redacció de la diagnosi del Pla de protecció, identificar aquests impactes.</t>
  </si>
  <si>
    <t>Redactar un recull dels diferents impactes</t>
  </si>
  <si>
    <t xml:space="preserve">Promoure i/o col·laborar en l'aplicació de Plans de Desenvolupament Local Sostenible </t>
  </si>
  <si>
    <t>Col·laborar en l'aplicació del Pla de Promoció turística i  Desenvolupament Local dels municipis de l'ENP</t>
  </si>
  <si>
    <t>Existeix un conveni vigent entre els municipis del Parc i l'ENP per a la promoció turística i el desenvolupament local</t>
  </si>
  <si>
    <t>* Renovar la participació de l'ENP en el conveni amb els 8 ajuntaments per fomentar la promoció turística i el desenvolupament local
* Col·laborar en les accions previstes en el conveni, coordinant-les amb les del Pla d'acció de la CETS</t>
  </si>
  <si>
    <t>Conveni signat
Nombre accions en que es col·labora</t>
  </si>
  <si>
    <t>1
6</t>
  </si>
  <si>
    <t xml:space="preserve">1
12
</t>
  </si>
  <si>
    <t>MC
RA</t>
  </si>
  <si>
    <t>Impulsar models productius agraris, pesquers i forestals per tal d'afavorir la conservació dels hàbitats i els paisatges modelats per aquestes, i contribuir a la millora socioeconòmica de les persones que la fan possible</t>
  </si>
  <si>
    <t xml:space="preserve">Acompanyar i assessorar els productors agraris i als pescadors artesanals per millorar les tècniques productives agràries i les de pesca i així afavorir la conservació dels hàbitats i paisatges </t>
  </si>
  <si>
    <t xml:space="preserve">Acompanyar i assessorar els productors agraris per millorar les tècniques productives agràries i així afavorir la conservació dels hàbitats i paisatges </t>
  </si>
  <si>
    <t xml:space="preserve">* Assessorament tècnic a productors per a producció ecològica
* Promoció i assessorament sobre l'adhesió als distintius de qualitat ambiental existents
</t>
  </si>
  <si>
    <t xml:space="preserve">Acompanyar i assessorar els pescadors artesanals per millorar les tècniques de pesca i així afavorir la conservació dels hàbitats i paisatges </t>
  </si>
  <si>
    <t xml:space="preserve">* Acompanyar i assessorar els pescadors artesanals per millorar les tècniques de pesca i així afavorir la conservació dels hàbitats i paisatges, col·laborant amb les confraries i el GALP
* Afavorir la creació d'imatge de pescador artesanal responsable
* Promoció i assessorament sobre l'adhesió als distintius de qualitat ambiental existents
</t>
  </si>
  <si>
    <t>08.1.2a</t>
  </si>
  <si>
    <t>* Mantenir el programa anual de formació al sector primari (arròs, olivera, ramaderia extensiva), sempre a través del PATT del Departament d'Agricultura, i adaptat a les demandes dels propis productors i de les necessitats de l'equip tècnic del PNMMBT
* Incloure novetats sobre producció agrària en les jornades anuals de recerca del PNMMBT</t>
  </si>
  <si>
    <t>Jornades realitzades</t>
  </si>
  <si>
    <t xml:space="preserve">Oferir formació als pescadors artesanals per millorar el seu coneixement sobre tècniques eficients i respectuoses amb la conservació del patrimoni natural i cultural </t>
  </si>
  <si>
    <t>08.1.2b</t>
  </si>
  <si>
    <t>* Incloure novetats sobre pesca artesanal en les jornades anuals de recerca del PNMMBT</t>
  </si>
  <si>
    <t>Promoure la recuperació i conservació de recs i punts d'aigua associats a la ramaderia i l'agricultura i d'interès per la biodiversitat</t>
  </si>
  <si>
    <t>* Manteniment i naturalització de recs vinculats al cultiu d'arròs
* Millora de conduccions d'aigua vinculades a la ramaderia extensiva
* Millora del rec del Molí fins a les basses d'en Coll i la desembocadura al mar
* Gestió i control de la salinitat dels entorns de les basses d'en Coll</t>
  </si>
  <si>
    <t>Accions realitzades</t>
  </si>
  <si>
    <t>Establir una relació contínua amb agents socioeconòmics del territori i crear una Taula de desenvolupament local</t>
  </si>
  <si>
    <t>Apostem per crear la Taula</t>
  </si>
  <si>
    <t>*Actualització periòdica del mapa de productors agraris i ramaders
* Mantenir (amb la comunitat de regants i amb els productors d'oli ecològic) i ampliar canals de comunicació i coordinació amb els agents socioeconòmics clau del territori.
*Estudiar la idoneïtat de crear una Taula de desenvolupament local del sector primari PNMMBT
*Convocar la Taula de desenvolupament local del sector primari del PNMMBT
*Participació en la definició i desplegament dels plans de treball de la Taula de desenvolupament local del sector primari PNMMBT</t>
  </si>
  <si>
    <t>OP
SR
MC</t>
  </si>
  <si>
    <t>* Generació d'un segell comú per a tota la xarxa de Parcs (responsabilitat de SENP)
* Cessió del logotip del PNMMBT als productors agraris i als pescadors que apliquin els criteris del PNMMBT</t>
  </si>
  <si>
    <t>Nombre de cessions</t>
  </si>
  <si>
    <t>MC
OP
RA</t>
  </si>
  <si>
    <t>* Inclusió de visites a productors o artesans en el nou catàleg d'experiències turístiques singulars (en el marc de la CETS)
* Donar suport a petits productors agraris per gestionar visites a les seves explotacions
* Fomentar l'adhesió dels productors amb visites turístiques a la CETS
* Promocionar el producte local a les fires dels municipis</t>
  </si>
  <si>
    <t>Nombre productors incorporats</t>
  </si>
  <si>
    <t>Promoure punts d'informació del Parc amb presència de producte local</t>
  </si>
  <si>
    <t>És inviable perquè els productors van massa enfeinats</t>
  </si>
  <si>
    <t>*Promoure punts d'informació del Parc amb presència de producte local</t>
  </si>
  <si>
    <t>Nombre de punts creats</t>
  </si>
  <si>
    <t xml:space="preserve">Mantenir i enfortir aliances entre el sector primari, el turisme, la restauració i altres per fomentar la gastronomia local </t>
  </si>
  <si>
    <t xml:space="preserve">* Treballar per aconseguir que els productes de l'ENP es puguin vendre en restaurants locals i botigues (seria viable amb més personal)
* Existeix una iniciativa paradigmàtica en aquest sentit, el projecte Sèpia, que ha consolidat una relació entre l'ENP i els pescadors, però cal anar més enllà per donar-li una projecció turística (creació de productes turístics)
</t>
  </si>
  <si>
    <t>Nombre productes turístics creats</t>
  </si>
  <si>
    <t>La diagnosi ja està feta, i es treballa en aquest àmbit.</t>
  </si>
  <si>
    <t>Promoure els agents del territori que potencien i difonen els productes locals i de qualitat (artesanies, allotjaments, restaurants, cellers, establiments, elaboradors i productors) que afavoreixin la conservació</t>
  </si>
  <si>
    <t>Mantenir la promoció dels productes alimentaris locals i de qualitat (cellers, establiments, elaboradors i productors)</t>
  </si>
  <si>
    <t>Més que una guia, es fa promoció via una web</t>
  </si>
  <si>
    <t>* Col·laborar amb el catàleg de productors i pescadors a la pàgina web www.parcanaturaldelmontgri.cat elaborada en el marc del conveni amb els 8 ajuntaments per al desenvolupament local, tenint en compte i de manera coordinada amb les associacions de productors i pescadors
* Fomentar la venda on line de cistelles de producte dels ENP de l'Empordà ("Parcs de tramuntana") (pendent dels Serveis Centrals)
* Fomentar l'ús de producte de proximitat per part de la població local</t>
  </si>
  <si>
    <t>Nombre empreses incorporades</t>
  </si>
  <si>
    <t xml:space="preserve">*Mantenir la redacció d'informes preceptius dels plans tècnics de gestió cinegètica de les APC (Àrees Privades de Caça) i de la ZCC del Montgrí que hi ha dins el territori de l'ENP
</t>
  </si>
  <si>
    <t>Nombre plans revissats</t>
  </si>
  <si>
    <t>*Col·laboracions amb les Societats de Caçadors i amb la Generalitat (ZCC del Montgrí) per a millores d'hàbitats d'espècies cinegètiques, per a la recuperació d'espècies (instal·lació de vadrunes, pex) i per als censos d'espècies cinegètiques. També espacten zones d'exclusió de batudes (per a àguila cuabarrada)
* Regular l'accés per a la pesca de l'angula per a ambients dunars
* Aprofitar la redacció del Pla de protecció per a la regulació de la pesca marítima.
* Identificar l'activitat de la pesca recreativa dins el Parc per tal d'ordenar l'activitat
* Establir regulacions per a la pesca recreativa i zones d'exclusió
* Regular arts i usos de la pesca artesanal al litoral del Montgrí i a la zona perifèrica de la reserva
*Treballar amb els pescadors per reduir el risc d'afectació d'elements clau objecte de conservació (aus marines)</t>
  </si>
  <si>
    <t xml:space="preserve">• Gestió d'espècies (senglars, coipú, ànec collverd, gats, etc.) amb col·laboració amb els agents competents en caça i amb el SFF
• Assessorament a centres d'immersió per a la retirada d'algues mucilaginoses
</t>
  </si>
  <si>
    <t>08.4.4</t>
  </si>
  <si>
    <t>Fomentar l'ordenació, regulació i bones pràctiques de la pesca marítima</t>
  </si>
  <si>
    <t>• Aprofitar la redacció del Pla de protecció per a la regulació de la pesca marítima.
• Identificar l'activitat de la pesca recreativa dins el Parc per tal d'ordenar l'activitat
• Establir regulacions per a la pesca recreativa i zones d'exclusió
• Regular arts i usos de la pesca artesanal al litoral del Montgrí i a la zona perifèrica de la reserva
• Treballar amb els pescadors per reduir el risc d'afectació d'elements clau objecte de conservació (aus marines)</t>
  </si>
  <si>
    <t>Nombre regulacions legals o no implantades</t>
  </si>
  <si>
    <t xml:space="preserve">
Biodiversitat marina</t>
  </si>
  <si>
    <t>Renovar de la Carta Europea de Turisme Sostenible (CETS), aplicar la nova programació  i desplegar la fase III</t>
  </si>
  <si>
    <t>L'ENP fa anys que hi treballa i al 2025 ha de renovar la CETS</t>
  </si>
  <si>
    <t>* Elaborar els documents d'avaluació del Pla 2021-2025
* Fer el procés participatiu per a la redacció del nou Pla 2026-2030
* Gestionar l'auditoria per aconseguir la renovació
* Executar les accions del nou Pla (a partir del 2026)
* Enllestir les accions del Pla vigent 2021-2025</t>
  </si>
  <si>
    <t>Renovació aconseguida
Nombre accions executades</t>
  </si>
  <si>
    <t>1
30</t>
  </si>
  <si>
    <t>1
40</t>
  </si>
  <si>
    <t>*Equiparar a la CETS per aconseguir-la</t>
  </si>
  <si>
    <t>Certificació aconseguida</t>
  </si>
  <si>
    <t>09.1.3</t>
  </si>
  <si>
    <t>Fomentar la creació d'allotjaments i altres recursos turístics d'acord amb les necessitats i els agents turístics del territori que es vinculin als valors naturals de l'espai</t>
  </si>
  <si>
    <t>L'ENP ja disposa de la CETS, que permet aquestes accions</t>
  </si>
  <si>
    <t>*Inclòs dins de les accions de l'objectiu 9 connectades amb la CETS</t>
  </si>
  <si>
    <t>Continuar i reforçar l'acompanyament als agents turístics (empreses, oficines d'informació, equipaments, etc.) per desplegar les seves estratègies de canvi de cap un model de turisme més sostenible i responsable</t>
  </si>
  <si>
    <t>El treball va més enllà de les empreses</t>
  </si>
  <si>
    <t>* Mantenir el suport als agents turístics acreditats amb la CETS
* Incorporar nous agents turístics en el procés de canvi
* Renovar la participació de l'ENP en el conveni amb els 8 ajuntaments per fomentar la promoció turística i el desenvolupament local</t>
  </si>
  <si>
    <t xml:space="preserve">Nombre agents acreditats
Nombre reunions conveni
</t>
  </si>
  <si>
    <t>45
16</t>
  </si>
  <si>
    <t>60
20</t>
  </si>
  <si>
    <t>Fomentar la creació de productes, experiències i paquets singulars amb agents turístics en el marc de la fase III de la CETS</t>
  </si>
  <si>
    <t>,,,</t>
  </si>
  <si>
    <t>* Mantenir el suport a agències de viatge per tal que es puguin acreditar amb la CETS, i d'aquesta manera l'ENP entri en la fase III de la CETS
* Acompanyar els agents turístics per crear noves experiències singulars (diferencials, desestacionalitzades i que compleixen les 4D)
* Crear un catàleg amb aquestes noves experiències singulars</t>
  </si>
  <si>
    <t>Nombre agències col·laboradores
Nombre experiencies singulars</t>
  </si>
  <si>
    <t>2
10</t>
  </si>
  <si>
    <t>3
20</t>
  </si>
  <si>
    <t>Preveure aquest model de construcció dins el  Pla de protecció en elaboració</t>
  </si>
  <si>
    <t>S'ha iniciat la redacció d'un nou Pla de protecció</t>
  </si>
  <si>
    <t>* Establir el model de construcció i d'integració paisatgística durant la redacció del Pla de protecció</t>
  </si>
  <si>
    <t>Model definit</t>
  </si>
  <si>
    <t>OP
RA
SR
MC</t>
  </si>
  <si>
    <t>10.1.2</t>
  </si>
  <si>
    <t>Ordenar els aprofitaments i extraccions dins l'espai</t>
  </si>
  <si>
    <t>*Incloure aquesta ordenació al Pla de Protecció del Medi Natural i Paisatge que s'està redactant</t>
  </si>
  <si>
    <t>Ordenar l'acampada i pernoctació  en base a un model estandarditzat de Pla de Protecció</t>
  </si>
  <si>
    <t>Regular l'acampada i la pernoctació en el Pla de protecció en elaboració i vetllar per l'aplicació de les ordenances municipals</t>
  </si>
  <si>
    <t>L'acampada ja està regulada en la Llei de creació de l'ENP, però espodrien delimitar espais habilitats sota autorització</t>
  </si>
  <si>
    <t>* Vetllar pel compliment de les ordenances municipals
* Incloure la regulació d'acampada i pernoctació en el Pla de protecció en elaboració</t>
  </si>
  <si>
    <t xml:space="preserve">Zones d'acampada i/o pernocta regulades </t>
  </si>
  <si>
    <t>Ordenar la circulació rodada no motoritzada en base un model estàndard de Pla de protecció</t>
  </si>
  <si>
    <t>Regular la circulació rodada no motoritzada en el Pla de protecció en elaboració</t>
  </si>
  <si>
    <t>*Establir una taula de treball amb les entitats esportives i municipis
*Incloure la regulació d'aquest ús en el Pla de protecció en elaboració</t>
  </si>
  <si>
    <t>Regulació realitzada</t>
  </si>
  <si>
    <t>Ordenar l'escalada i alpinisme, barranquisme, i espeleologia  en base a un model estàndard de Pla de protecció</t>
  </si>
  <si>
    <t xml:space="preserve">Incloure la regulació vigent de l'escalada al Pla de protecció en elaboració i regular l'accés a coves i avencs </t>
  </si>
  <si>
    <t>Ja existeix una regulació de l'escalada.</t>
  </si>
  <si>
    <t xml:space="preserve">* Incloure la regulació vigent de l'escalada al Pla de protecció en elaboració i regular l'accés a coves i avencs </t>
  </si>
  <si>
    <t>Regulació incorporada</t>
  </si>
  <si>
    <t>Ordenar les curses i altres activitats esportives organitzades en base a un model estàndard de Pla de protecció</t>
  </si>
  <si>
    <t xml:space="preserve">Regular les curses i altres activitats esportives al Pla de protecció en elaboració </t>
  </si>
  <si>
    <t>Regulació realitzada
Nombre autoritzacions</t>
  </si>
  <si>
    <t>1
100</t>
  </si>
  <si>
    <t>1
50</t>
  </si>
  <si>
    <t>Regular els enregistraments i l'observació de fauna i natura al Pla de protecció en elaboració i seguir aplicant la normativa sectorial</t>
  </si>
  <si>
    <t>*Incloure la regulació d'aquest ús en el Pla de protecció en elaboració (segons tipus de filmacions)
* Seguir aplicant la normativa vigent</t>
  </si>
  <si>
    <t xml:space="preserve">1
</t>
  </si>
  <si>
    <t xml:space="preserve">AB
AP
</t>
  </si>
  <si>
    <t>Ordenar les activitats científiques en base a un model estàndard de Pla de protecció</t>
  </si>
  <si>
    <t>Regular les activitats científiques al Pla de protecció en elaboració i seguir aplicant el PRUG de les Medes</t>
  </si>
  <si>
    <t>*Incloure la regulació d'aquest ús en el Pla de protecció en elaboració
* Seguir aplicant la normativa vigent</t>
  </si>
  <si>
    <t>1
60</t>
  </si>
  <si>
    <t>SR
AP</t>
  </si>
  <si>
    <t>Ordenar les zones de bany</t>
  </si>
  <si>
    <t>Regular les zones de bany a la Gola del Ter al Pla de protecció en elaboració</t>
  </si>
  <si>
    <t>A les llacunes de la reserva dels aiguamolls del Baix Ter ja està regulat el bany</t>
  </si>
  <si>
    <t>Ordenar l'enlairament i aterratge sense motor</t>
  </si>
  <si>
    <t>Regular l'enlairament i aterratge sense motor al Pla de protecció en elaboració</t>
  </si>
  <si>
    <t>*Incloure la regulació d'aquest ús en el Pla de protecció en elaboració</t>
  </si>
  <si>
    <t>RA
MC
SR
AB</t>
  </si>
  <si>
    <t>Ordenar el submarinisme i l'snorkel</t>
  </si>
  <si>
    <t>Regular el submarinisme i l'esnòrquel a la costa del Montgrí a través del Pla de protecció en elaboració</t>
  </si>
  <si>
    <t>A les Medes aquests usos ja estan regulats</t>
  </si>
  <si>
    <t>Ordenar les activitats aquàtiques i nàutiques i zones de fondeig</t>
  </si>
  <si>
    <t>Regular les activitats aquàtiques i nàutiques i zones de fondeig a la costa del Montgrí i adaptar la regulació existent a les Medes, tot amb el Pla de protecció</t>
  </si>
  <si>
    <t>Ordenar la presència d'animals de companyia</t>
  </si>
  <si>
    <t>Regular la presència d'animals de companyia en el Pla de protecció en elaboració i vetllar per l'aplicació de les ordenances municipals</t>
  </si>
  <si>
    <t>SR
AB
MC
OP</t>
  </si>
  <si>
    <t>Ordenar les activitats d'educació ambiental i el lleure educatiu</t>
  </si>
  <si>
    <t>Regular les activitats d'educació ambiental i el lleure educatiu al Pla de protecció en elaboració i seguir aplicant la normativa sectorial</t>
  </si>
  <si>
    <t>Traslladar la xarxa viària bàsica, secundària, senders i itineraris senyalitzats al Pla de protecció en elaboració</t>
  </si>
  <si>
    <t>* Traslladar la xarxa viària i d'itineraris al Pla de protecció en elaboració
*Definir la xarxa d'itineraris on es puguin fer curses a peu a tots els espais de l'ENP (ara aquest ús només està definit per al Montgrí)</t>
  </si>
  <si>
    <t>MC
SR
AB
RA</t>
  </si>
  <si>
    <t>* Aquesta priorització ja l'està fent els Serveis Centrals
* Strava cedeix informació del pas d'usuaris a l'ENP</t>
  </si>
  <si>
    <t>Nombre itineraris prioritzat</t>
  </si>
  <si>
    <t>Identificar i classificar els itineraris i recorreguts submarins i d'esnòrquel per prioritzar itineraris oficials dins l’ENP</t>
  </si>
  <si>
    <t>* Definir la xarxa d'itineraris i/o recorreguts submarins o d'esnòrquel i traslladar-la al Pla de protecció en elaboració
* Definir la xarxa d'itineraris on es puguin fer activitats marines organitzades</t>
  </si>
  <si>
    <t>Nombre itineraris traslladats</t>
  </si>
  <si>
    <t>AP
RA
MC</t>
  </si>
  <si>
    <t>Ordenar l'accés i la circulació</t>
  </si>
  <si>
    <t>Regular l'accés i la circulació al Pla de protecció en elaboració i seguir aplicant les ordenances municipals a l'àmbit del Montgrí</t>
  </si>
  <si>
    <t>*Incloure la regulació d'aquest ús en el Pla de protecció en elaboració
* Seguir aplicant la normativa vigent
* Promoure la regulació dels vols de dron tenint en compte els que estan motivats per aplicar mesures agroambientals</t>
  </si>
  <si>
    <t>Ordenar la xarxa viària principal, secundària i restringida</t>
  </si>
  <si>
    <t>Regular la xarxa viària principal, secundària i restringida al Pla de protecció en elaboració i seguir aplicant les ordenances municipals</t>
  </si>
  <si>
    <t>MC
SR
RA</t>
  </si>
  <si>
    <t>Ordenar l'ús de drons, l'enlairament i l'aterratge</t>
  </si>
  <si>
    <t xml:space="preserve">Regular l'ús de drons, l'enlairament i l'aterratge al Pla de protecció en elaboració </t>
  </si>
  <si>
    <t>MC
SR
AB</t>
  </si>
  <si>
    <t>Seguir aplicant  limitacions temporals d'accés o circulació i incorporar-ne de noves al Pla de protecció</t>
  </si>
  <si>
    <t>* Seguir aplicant les limitacions temporals d'accés a les platges i al Montgrí
* Valorar en el Pla de protecció la necessitat de noves limitacions temporals</t>
  </si>
  <si>
    <t>Nombre zones regulades</t>
  </si>
  <si>
    <t>MC
SR
AP
RA</t>
  </si>
  <si>
    <t>Ordenar l'aparcament de vehícles</t>
  </si>
  <si>
    <t>Regular l'aparcament de vehicles al Pla de protecció</t>
  </si>
  <si>
    <t>Reforçar la col·laboració amb els agents del territori per a l'ordenació de l'ús públic en el marc de la CETS</t>
  </si>
  <si>
    <t>*Mantenir el grup motor i grups de treball de la CETS per fer el seguiment i millores en el desplegament de la gestió de l'UP
* Mantenir la col·laboració amb els centres d'immersió per establir itineraris preferents per a les immersions</t>
  </si>
  <si>
    <t>Reforçar la col·laboració amb els ajuntaments en l'ordenació de l'ús públic de l'ENP en el marc de la CETS</t>
  </si>
  <si>
    <t>*Mantenir el grup motor i grups de treball de la CETS per fer el seguiment i millores en el desplegament de la gestió de l'UP</t>
  </si>
  <si>
    <t>Actualitzar l'inventari de senyalètica de l'ENP</t>
  </si>
  <si>
    <t>L'inventari ja està fet</t>
  </si>
  <si>
    <t>* Actualitzar l'inventari amb les noves senyals, amb les que es malmeten, amb les que es retiren, amb les que es modifiquen, etc.</t>
  </si>
  <si>
    <t>Núm senyal actualitzada</t>
  </si>
  <si>
    <t>Elaborar i implantar un programa de senyalització i manteniment de la senyalètica</t>
  </si>
  <si>
    <t>* Elaborar el Programa de senyalització i manteniment
*Revisió i actualització de la senyalització en base al manual de senyalització vigent</t>
  </si>
  <si>
    <t xml:space="preserve">Seguir potenciant la visita a espais alternatius dins de l'àmbit d'influència de l'ENP (tant a l'àmbit terrestre com marí) per reduir la pressió en zones sensibles </t>
  </si>
  <si>
    <t>Ja s'està fent en el marc de la CETS</t>
  </si>
  <si>
    <t xml:space="preserve">Mantenir i reforçar les mesures extraordinàries de regulació de l'ús públic  </t>
  </si>
  <si>
    <t>* Mantenir les mesures al Montgrí, a les platges i a la costa</t>
  </si>
  <si>
    <t>Seguir adequant els principals accessos, aparcaments i centres d'interès amb un ús elevat</t>
  </si>
  <si>
    <t>Ja s'ha fet a la Fonollera i al pàrquing d'accés al castell del Montgrí</t>
  </si>
  <si>
    <t>* Valorar l'adequació de nous accessos, d'acord amb els ajuntaments
* Crear punts de benvinguda</t>
  </si>
  <si>
    <t>Nombre accesos o punts de benvinguda adaptats</t>
  </si>
  <si>
    <t>Disposar i mantenir els serveis, equipaments i infraestructures necessàries i accessibles per acollir, informar, facilitar la visita i garantir la seguretat dels visitants i la protecció de l'entorn</t>
  </si>
  <si>
    <t>NOTA: L'ENP no disposa de cap equipament propi i és de màxima prioritat disposar-ne per acollir i informar adequadament els visitants.
* Reclamar equipaments de la Generalitat que no tenen cap ús pel seu titular i que es podrien utilitzar com a equipaments de l'EN</t>
  </si>
  <si>
    <t>Nombre equipaments adquirits</t>
  </si>
  <si>
    <t>Actualitzar el manual bàsic d'informació i guiatge de l'ENP i, quan escaigui, adaptar-lo al model de la DG</t>
  </si>
  <si>
    <t>L'ENP ja disposa d'un model-manual d'acollida</t>
  </si>
  <si>
    <t>* Actualitzar el manual quan hi hagi novetats suficients</t>
  </si>
  <si>
    <t>Nombre revissions</t>
  </si>
  <si>
    <t>Unificar els missatges a donar des d'oficines d’informació i des dels agents turístics que actuen com a punts d'informació, en el marc de la CETS</t>
  </si>
  <si>
    <t>* Mantenir les microformacions a les oficines de turisme i a les empreses CETS per unificar els missatges sobre l'ENP
* Proporcionar material informatiu actualitzat sobre l'ENP a les oficines de turisme i a les empreses CETS
* Mantenir el curs d'informadors de l'ENP
*Mantenir els racons d'informació del Parc
*Mantenir els cursos vigents: Curs del bon coneixedor de l'ENP, Curs d'activitats marines, curs de guies submarins i curs d'informadors
*Formacions continuades en el marc del contracte del servei d'informació i educació ambiental.
*Formació dels actors implicats en la gestió dels ENP en aspectes vinculats a la conservació dels elements d'interès comunitari
* Manteniment de les formacions expecífiques per a empreses de la CETS, empreses que fan activitats marines i per a oficines de turisme</t>
  </si>
  <si>
    <t>Nombre hores de formació
Núm materials repartits</t>
  </si>
  <si>
    <t>100
3000</t>
  </si>
  <si>
    <t>120
6000</t>
  </si>
  <si>
    <t>El Pla de vigilància és competència del CAR</t>
  </si>
  <si>
    <t>Mantenir la coordinació amb els cossos de seguretat del medi marí per efectuar accions de control i vigilància, i millorar la coordinació en l'àmbit terrestre</t>
  </si>
  <si>
    <t>La coordinació en l'àmbit marí funciona i és conjunta amb el PN del Cap de Creus. En l'àmbit terrestre es fa amb el CAR</t>
  </si>
  <si>
    <t>* Mantenir la coordinació en l'àmbit marí conjuntament amb el PN del Cap de Creus
* Millorar la coordinació a l'àmbit terrestre per aconseguir la implicació dels caps comarcals del CAR
*Mantenir els contractes de vigilants per a les èpoques de màxima afluència 
*Mantenir el servei d'informador i cobradors de boies a la Reserva marina</t>
  </si>
  <si>
    <t>Reunions coordinació
Dies de vigilància terrestre
Dies vigilància marina</t>
  </si>
  <si>
    <t xml:space="preserve">12
400
400
</t>
  </si>
  <si>
    <t>20
450
450</t>
  </si>
  <si>
    <t>RA
AP
SR
OP
MC</t>
  </si>
  <si>
    <t>* Promoure personal de l'ENP amb funció inspectora reconeguda</t>
  </si>
  <si>
    <t>Nombre persones amb funció inspectora</t>
  </si>
  <si>
    <t>No hi ha cap pla d'emergències de l'ENP</t>
  </si>
  <si>
    <t>* Execució del projecte de millora d'inundabilitat 
* Col·laboració amb els cossos d'extinció d'incendis
* Col·laboració amb els plans Alfas</t>
  </si>
  <si>
    <t>Afavorir la vinculació entre la comunitat educativa de l'entorn i l'ENP</t>
  </si>
  <si>
    <t>Crear la Xarxa d'Escoles de l'Espai Natural (XEEN) a l'ENP amb els agents educatius del territori</t>
  </si>
  <si>
    <t xml:space="preserve">*Elaboració d'un mapa d'agents col·laboradors: cercar entitats i institucions locals que col·laborin amb la Xarxa (CRPs, administració local, entitats ambientals i educatives...). 
*Mantenir un procès col·laboratiu amb els agents educatius del territori
</t>
  </si>
  <si>
    <t>Mapa creat
Nombre reunions</t>
  </si>
  <si>
    <t>1
16</t>
  </si>
  <si>
    <t>Desplegar la Xarxa d'Escoles de l'Espai Natural (XEEN) a l'ENP d'acord amb el model general</t>
  </si>
  <si>
    <t>*Constitució i dinamització dels espais de treball conjunt amb els agents col·laboradors de la XEEN.
*Elaboració d'un mapa de centres educatius.
*Organització de grups de treball entre docents i ENP. 
*Cercer entitats i institucions locals que col·laborin amb la Xarxa (CRPs, administració local, entitats ambientals i educatives...).
*Disseny i desenvolupament de projectes compartits.  
*Organització de trobades d'intercanvi amb alumnat
* Avaluació de les accions de la Xarxa.</t>
  </si>
  <si>
    <t xml:space="preserve">* Potenciar des de la XEEN el Programa "El Parc a l'escola"
*Coordinació amb els Centres de Recursos Pedagògics (CRP) perquè les formacions estiguin reconegudes  pel Departament d'Educació
</t>
  </si>
  <si>
    <t>Núm d'hores de formació</t>
  </si>
  <si>
    <t>Mantenir i millorar l'oferta pedagògica de l'ENP generant situacions d'aprenentatge i treballs per projecte</t>
  </si>
  <si>
    <t>ja existeix aquesta oferta amb un projecte de 1r a 6è de Primària</t>
  </si>
  <si>
    <t xml:space="preserve">* NOTA: ja es fa aquest treball per projecte amb totes les escoles públiques de l'àmbit de l'ENP
*Implicació i capacitació del professorat en el disseny del projecte educatiu
*Incorporació a cada curs escolar X situacions d'aprenentatge
*Incorporació de les escoles concertades en aquest projecte
* Desenvolupament del projecte d'escoles marines
</t>
  </si>
  <si>
    <t>Nombre activitats millorades</t>
  </si>
  <si>
    <t>*Cerca d'entitats del territori i centres de recerca amb qui elaborar projectes de ciència ciutadana o d'ApS que donin resposta a les necessitats de l'EN. 
* Dinamització de la realització d'aquests projectes.</t>
  </si>
  <si>
    <t>Nombre projectes</t>
  </si>
  <si>
    <t>Actualitzar recursos educatius sobre l’espai (que tinguin en compte les problemàtiques singulars del seu espai) i posar-los a disposició dels centres educatius</t>
  </si>
  <si>
    <t>Ja existeixen recursos educatius que es poden renovar i actualitzar</t>
  </si>
  <si>
    <t>* Valorar amb els centres educatius els recursos educatius que es volen actualitzar</t>
  </si>
  <si>
    <t>Nombre recursos actualitzats</t>
  </si>
  <si>
    <t>MC
SR
AP</t>
  </si>
  <si>
    <t>Oferir projectes i equipaments de recerca vinculats a l'espai natural per a l'alumnat universitari i de la XEEN</t>
  </si>
  <si>
    <t>NOTA: existeix un pla de pràctiques.
* Disposar d'equipaments de l'ENP per donar suport a la recerca
* Acompanyament de l'alumnat en la relació dels projectes.</t>
  </si>
  <si>
    <t>Nombre alumnes</t>
  </si>
  <si>
    <t>*Creació d'una Taula territorial d’Educació Ambiental i Cultural</t>
  </si>
  <si>
    <t>* Buscar noves col·laboracions en el marc del programa "Apropa't al parc"
* Millorar la col·laboració amb el Museu de la Mediterrània i l'espai Medes per a l'execució de projectes conjunts</t>
  </si>
  <si>
    <t>Nombre col·laboracions</t>
  </si>
  <si>
    <t>Mantenir les formacions dirigides als informadors, educadors i altres prescriptors del territori</t>
  </si>
  <si>
    <t>Es fan cursos i formacions des de fa molts anys</t>
  </si>
  <si>
    <t>*Mantenir els cursos vigents: Curs del bon coneixedor de l'ENP, Curs d'activitats marines, curs de guies submarins i curs d'informadors
*Formacions continuades en el marc del contracte del servei d'informació i educació ambiental.
*Formació dels actors implicats en la gestió dels ENP en aspectes vinculats a la conservació dels elements d'interès comunitari
* Manteniment de les formacions expecífiques per a empreses de la CETS, empreses que fan activitats marines i per a oficines de turisme</t>
  </si>
  <si>
    <t>Nombre hores formació</t>
  </si>
  <si>
    <t xml:space="preserve">*Participació en la concreció dels missatges i peces creatives de la campanya de la DG.  
*Difusió de la campanya aprofitant les eines de l'ENP. 
*Establiment d'acords amb amb entitats i institucions locals per a la difusió local de la campanya (a través de la CETS i el conveni amb els 8 ajuntaments).  </t>
  </si>
  <si>
    <t>Nombre campanyes</t>
  </si>
  <si>
    <t xml:space="preserve">Mantenir el programa de divulgació i sensibilització de l'ENP perquè incorpori una oferta d’activitats adequada per a famílies </t>
  </si>
  <si>
    <t>Aquest programa ja inclou activitats per a famílies</t>
  </si>
  <si>
    <t xml:space="preserve">*Manteniment una oferta d’activitats d’educació ambiental adreçada a famílies.
*Tenir en compte temes de salut i natura </t>
  </si>
  <si>
    <t>Nombre activitats</t>
  </si>
  <si>
    <t xml:space="preserve">Mantenir el programa de divulgació i sensibilització de l'ENP perquè incorpori una oferta d’activitats adequada per a altres perfils </t>
  </si>
  <si>
    <t xml:space="preserve">* Mantenir la invitació a segments específics (gent gran, persones amb discapacitats, etc.) a participar en activitats d'EA
*Disseny i promoció una oferta d’activitats per a grups especialitzats (gent gran, persones amb discapacitats, etc.)
 </t>
  </si>
  <si>
    <t>Incloure activitats educatives sobre l'ENP en l'oferta d’activitats del lleure educatiu (casals d'estiu)</t>
  </si>
  <si>
    <t>*Establiment de vincles l'ENP i casals d'estiu</t>
  </si>
  <si>
    <t>* Identificar les entitats de l'àmbit esportiu</t>
  </si>
  <si>
    <t>Nombre entitats</t>
  </si>
  <si>
    <t xml:space="preserve">* Mantenir els cursos dirigits als agents turístics (en el marc de la CETS)
* Valorar oferir formacions a entitats esportives i a monitors de casals (prioritat BAIXA) 
* Fer campanyes per posar en valor les accions de conservació i respecte al territori de les empreses CETS
</t>
  </si>
  <si>
    <t>Nombre hores formació o de campanyes realitzades</t>
  </si>
  <si>
    <t>El territori no disposa d'entitats actives de lleure educatiu</t>
  </si>
  <si>
    <t>* Mantenir el Projecte Sèpia dirigit als pescadors
* Amb el suport de confraries , del GALP, centres d'immersió i voluntaris, impulsar un projecte per recuperar diferents espècies d'hàbitats marins trencades accidentalment i recuperar-les en vivers
* Valorar de dur a terme projectes amb els arrossaires</t>
  </si>
  <si>
    <t>Núm reunions</t>
  </si>
  <si>
    <t>Mantenir i actualitzar el programa d’educació ambiental "Apropa't alparc" adreçat a la població local que contribueixi a fomentar el sentiment de pertinença i la implicació en la conservació de l'ENP.</t>
  </si>
  <si>
    <t>Aquest programa ja existeix des de fa anys</t>
  </si>
  <si>
    <t xml:space="preserve">* Renovació del programa educatiu de forma adaptativa
</t>
  </si>
  <si>
    <t>Nombre activitats programades</t>
  </si>
  <si>
    <t>* Elaborar unes fitxes d'accions concretes que puguin rebre el suport del voluntariat (manteniment de basses, neteja d'espais afectats per llevantades, plantades de vegetació, sensibilització als usuaris de les platges sobre la fauna amenaçada, etc.)
* Millorar la comunicació de les accions de voluntariat realitzades</t>
  </si>
  <si>
    <t>Nombre fitxes</t>
  </si>
  <si>
    <t>Mantenir el model de coordinació territorial amb agents clau del voluntariat ambiental</t>
  </si>
  <si>
    <t>L'ENP està integrat en la Taula de Voluntariat dels ENPE de l'Empordà i també disposa d'un grup específic de treball amb entitats de l'ENP</t>
  </si>
  <si>
    <t>*Actualització periòdica del mapa d’agents de voluntariat que actuen a l’ENP, incloent entitats ambientals i altres entitats que participen en activitats de voluntariat ambiental
*Convocar la taula de voluntariat ja constituïda des de la secretaria tècnica corrsponent
*Promoció de la participació de noves entitats a la taula de voluntariat
* Incentivar la Naturatló com una acció anual conjunta de tots els ENPE
NOTA: Algunes accions es fan des de l'ENP, i altres depenen de la secretaria tècnica de la Taula
* Crear un grup motor per impulsar el voluntariat
* Millorar la comunicació de les accions de voluntariat realitzades</t>
  </si>
  <si>
    <t>Continuar amb l'adaptació d'activitats inclusives per a persones amb necessitats específiques</t>
  </si>
  <si>
    <t>NOTA: Es fan adaptacions amb nens amb autisme, o nens amb cadires de rodes
En el programa "Apropa't al parc" s'inclouen activitas adaptades com ara "La Pletera per a tothom"
* Valorar l'ús de la cadira Joelette en activitats d'educació ambiental, si escau conjuntament amb altres ENP (amn els suport dels serveis centrals)</t>
  </si>
  <si>
    <t>Nombre activitats adaptades</t>
  </si>
  <si>
    <t>* Incloure nous continguts sobre aquestes matèries en els cursos de bons coneixedors i en els cursos d'informadors
* El catàleg de formació de personal depèn dels SS Centrals i de Funció pública</t>
  </si>
  <si>
    <t>* En les activitats d'EA ja es fa, però en la resta d'accions i continguts de l'ENP està pendent</t>
  </si>
  <si>
    <t>Nombre publicacions</t>
  </si>
  <si>
    <t>Difondre els itineraris oficials dels ENP als agents locals de salut (CAPs, DipSalut, etc.) per tal que els utilitzin com a itineraris saludables</t>
  </si>
  <si>
    <t>L'ENP ja disposa de molts itineraris que surten de poblacions que poden esdevenir itineraris saludables</t>
  </si>
  <si>
    <t>* Contactar amb els agents locals de salut per difondre l'oferta d'itineraris del PN
* Tenir en compte la capacitat de càrrega en aquesta difusió</t>
  </si>
  <si>
    <t>*Contactar i coordinar-se amb els CAPs locals i Torroella, Pals, l'Escala i l'Estartit per promoure conjuntament activitats i programes adreçats a col·lectius diana dins l'ENP (Ex: prescripció de natura (recepta verda i blava).</t>
  </si>
  <si>
    <t>*Inclusió del concepte de Salut i Natura en els missatges comunicatius de conservació i sensibilització, i també dins el Pla de la CETS
*Inclusió en els cursos i formacions de l'ENP elements de la interdependència salut i natura. 
*Oferir i donar a conèixer els recursos que es generin en relació aquesta temàtica a la Xarxa d'Escoles del parc, entitats i altres agents del territori</t>
  </si>
  <si>
    <t>Desplegar i/o participar a les Taules territorials de Salut i Natura</t>
  </si>
  <si>
    <t>* Participar en aquestes taules amb els tècnics territorials dels ENP</t>
  </si>
  <si>
    <t>Mantenir la informació periòdica sobre les tasques, projectes i actuacions que duu a terme l'ENP a la població</t>
  </si>
  <si>
    <t>*Elaborar els productes comunicatius que es determinin conjuntament amb Serveis Centrals : ex.un telegrama mensual, butlletí , agenda activitats trimestral, fulletó informatiu vinculats amb ús públic. Etc
*Donar a conèixer l'equip del Parc através dels diferents canals comunicatius
*Inclusió d'aspectes de transparència informativa sobre el que s’està treballant des de l’ENP
*Creació d'un banc d’imatges, vídeos, vídeos amb vols de dron
*Posar a disposició de la societat els estudis i informes que s'han fet del Parc (realització de jornades, infografies etc)
*Generació d'un servei geogràfic d'oferta de senders oficials i equipaments
*Vetllar pel correcte tractament i emmagatzematge d'aquests estudis i informes (repositori)</t>
  </si>
  <si>
    <t>Nombre elements/accions</t>
  </si>
  <si>
    <t>*Oferir diferents versions idiomàtiques dels materials de difusió
*Ús d'un llenguatge planer quan ens adrecem a la ciutadania</t>
  </si>
  <si>
    <t>Nombre elements traduïts</t>
  </si>
  <si>
    <t>*Creació de material divulgatiu específic a partir de les campanyes de comunicació elaborades conjuntament amb Serveis Centrals (comunicació externa)
* Seguir potenciant les funcions del Museu de la Mediterrània com a centre de documentació: recerca, informació als visitants, etc.
NOTA: es disposa de materials divulgatius per a empreses de submarinisme i per a empreses turístiques en el marc de la CETS i cal seguir millorant-los
* Elaboració de materials divulgatius dirigits al sector agrari i per posar en valor a aquest sector davant de visitants que el desconeixen</t>
  </si>
  <si>
    <t>Nombre materials creats</t>
  </si>
  <si>
    <t>Actualitzar el Pla de comunicació de l'ENP i, fruit d'això, optimitzar els canals de comunicació</t>
  </si>
  <si>
    <r>
      <t xml:space="preserve">*Actualitzar el Pla de comunicació de l'ENP
*Definició i clarificació dels rols de l'equip del parc i una correcta definició de les tasques de cada membre.
*Actualització del web segons el format i estàndards establerts des de Serveis Centrals.
*Tenir un responsable/equip de comunicació amb formació tècnica.
*Estudiar la necessitat i viabilitat d'obrir nous canals comunicatius (butlletí, xxss, revistes etc.) conjuntament amb Serveis Centrals. </t>
    </r>
    <r>
      <rPr>
        <b/>
        <sz val="11"/>
        <rFont val="Calibri"/>
        <family val="2"/>
        <scheme val="minor"/>
      </rPr>
      <t>Valorar la creació d'un butlletí mensual per mail per informar els agents i la població local de les accions executades.</t>
    </r>
    <r>
      <rPr>
        <sz val="11"/>
        <rFont val="Calibri"/>
        <family val="2"/>
        <scheme val="minor"/>
      </rPr>
      <t xml:space="preserve">
*Reunions d'equip periòdiques amb una freqüència setmanal.
*Reunions bimensuals de coordinació de la Xarxa dels grups de conservació, d’ús públic i turisme, de gestió econòmica o RAE, d’educació ambiental, de centres de documentació, de millora rural, i de direcció.</t>
    </r>
  </si>
  <si>
    <t>*Planificació i disseny de la comunicació de cada Parc conjuntament amb els Serveis Centrals,  per garantir-ne la imatge corporativa i la coherència com a xarxa (publicacions, xxss, web, NP, merxandatge etc.)
*Implementació dels protocols vigents d'informació i comunicació
*Aplicació dels manuals existents i vigents en quan a comunicació corporativa
*Participació en els espais d'intercanvi d'informació entre ENP
*Aplicació del protocol comunicatiu específic per a Juntes Rectores d'ENP</t>
  </si>
  <si>
    <t>Mantenir les taules de treball i crear-ne de noves amb els agents prioritaris per a la gestió de l'ENP i els grups de treball temàtics necessaris</t>
  </si>
  <si>
    <t xml:space="preserve">* Taula de treball amb agents agrícoles incloent oficines comarcals del DARPA i Mas Badia
* Taula de treball sobre les activitats esportives al medi natural
* Grup motor per a la cogestió del litoral del Montgrí
* Mantenir i millorar el sistema de governança de la CETS (Fòrum permanent, equip motor amb reunions bimensuals, grup de treball amb empreses i oficines de turisme, conveni amb els 8 municipis) </t>
  </si>
  <si>
    <t>Ampliar l'assessorament científic en l'ENP de l'àmbit marí al medi terrestre</t>
  </si>
  <si>
    <t>* Actualment es disposa d'un consell científic en l'àmbit marí de les Medes (previst al PRUG)
* Un cop avanci el Pla especial, caldria ampliar els membres d'aquest consell científic per incloure-hi el medi terrestre de l'ENP</t>
  </si>
  <si>
    <t>Consell ampliat</t>
  </si>
  <si>
    <t>Incloure entitats i organismes científics i culturals de referència en els mecanismes de presa de decisions de l'ENP
Crear una taula de treball vinculada al procés de redacció del Pla de protecció, en el marc del procés participatiu associat</t>
  </si>
  <si>
    <t>La redacció del Pla de protecció té molta rellevància i es mereix dedicar-li un objectiu que ho inclogui  pels propers anys</t>
  </si>
  <si>
    <t xml:space="preserve">*Inclusió de personal expert extern en els òrgans gestors dels ENP / Inclusió d'entitats i organismes científics i culturals a les reunions de la junta rectora de l'ENP
* Explorar l'encaix de les taules de treball existents en aquesta nova taula vinculada al Pla de protecció
* Crear i dinamitzar la Taula </t>
  </si>
  <si>
    <t>Personal expert convidat
Nombre Reunions taules</t>
  </si>
  <si>
    <t>2
24</t>
  </si>
  <si>
    <t>El 100% dels necessaris
36</t>
  </si>
  <si>
    <t>La redacció del Pla de protecció té molta rellevància i es mereix dedicar-li un objectiu propi els propers anys</t>
  </si>
  <si>
    <t xml:space="preserve">*Presentació de la proposta del Pla Estratègic a junta rectora amb un pressupost associat per validar-lo. </t>
  </si>
  <si>
    <t>Pla aprovat</t>
  </si>
  <si>
    <t>Gestionar i millorar administrativament els pressupostos anuals d'entrades i despeses</t>
  </si>
  <si>
    <t>Millorar el sistema de control de l'execució del pressupost i garantir la disponibilitat de personal qualificat per a la gestió del RAE</t>
  </si>
  <si>
    <t>*Aplicació del nou sistema de seguiment pressupostari conjunt per a tots els ENP per al control de les despeses (quan entri en funcionament).
*Aplicació del manual per al règim de gestió econòmica als ENP per traspassar dades al RAE.
*Participació dels espais de coordinació entre ENP per identificar les despeses comunes tramitables a càrrec del pressupost de la DG.
* Establir un sistema diferenciador de les taxes finalistes destinades al medi marí
* Garantir la continuïtat i/o el suport extern de personal qualificat per a la gestió del RAE</t>
  </si>
  <si>
    <t>Nombre expedients tramitats</t>
  </si>
  <si>
    <t>Administració</t>
  </si>
  <si>
    <t>AO
RA</t>
  </si>
  <si>
    <t>Planificar i detectar les necessitats de contractació del l'ENP per a l'optimització dels contractes a nivell de Xarxa i gestionar els contractes</t>
  </si>
  <si>
    <t>*Amb els espais de coordinació entre ENP, detecció de les necessitats conjuntes que es puguin agrupar en contractes únics (amb o sense lots) o en convocatòries amb concurrència.
*Encaix de les necessitats específiques de cada ENP a les necessitats conjuntes detectades a nivell de Xarxa.
*Preveure amb una antelació mínima de 6 mesos les necessitats de contractació per augmentar l'eficiència de la tramitació i disposar de marge de maniobra davant qualsevol eventualitat.</t>
  </si>
  <si>
    <t>Nombre expedients iniciats a tramit de manera avançada o comuna</t>
  </si>
  <si>
    <t>Planificar i gestionar els ajuts</t>
  </si>
  <si>
    <t>Planificar i detectar les tasques de convocatòries d'ajuts de l'ENP, i millorar la coordinació dels ajuts agraris</t>
  </si>
  <si>
    <t>L'ENP no pot incidir en els ajuts agraris que atorga el DARP i caldria millorar la coordinació amb aquest departament</t>
  </si>
  <si>
    <t>*Preveure amb una antelació mínima de 6 mesos les convocatòries d'ajuts per augmentar l'eficiència de la tramitació i disposar de marge de maniobra davant qualsevol eventualitat.
*Implementació de gestor d'expedients
*Treballar amb SSCC per adaptar les convocatòries d'ajuts a les necessitats de l'ENP
* Coordinar-se amb el DARP per millorar els ajuts que atorguen per al conreu dels arrossars i closes
* Fomentar el projecte agroambiental Closes a tot l'Empordà i en concret al Parc</t>
  </si>
  <si>
    <t>Nombre ajuts tramitats</t>
  </si>
  <si>
    <t>*Elaboració d'un llistat de convenis i altres instruments de col·laboració vigents i planificar les renovacions i/o pròrrogues que es requereixin.
*Implementació del gestor d'expedients (d'un registre únic de convenis)</t>
  </si>
  <si>
    <t>Nombre convenis registrats</t>
  </si>
  <si>
    <t>*Optimitzar la comunicació i acompanyament durant els processos administratius amb el personal tècnic de Serveis Centrals
*Designació d'interlocutors tècnics per al desenvolupament d'accions que requereixen procediments administratius.
*Manteniment d'una comunicació continuada amb l'UGA.
*Elaboració d'una llista dels tràmits realitzats pels ENP per detectar necessitats de suport i acompanyament administratiu.
*Implementació de gestor d'expedients
* Reforçar el personal de l'ENP dedicat a l'elaboració d'informes.</t>
  </si>
  <si>
    <t>Núm accions realitzades</t>
  </si>
  <si>
    <t>*Ús dels formularis simplificats
*Implementació de gestor d'expedients</t>
  </si>
  <si>
    <t>Nombre formularis i/o procediments implantats</t>
  </si>
  <si>
    <t>RA
AO
SR
AP</t>
  </si>
  <si>
    <t>*Participació de les formacions ofertades per al personal administratiu.
*Respondre a la demanda activa de formacions quan es planifica el Pla anual de formació ofertat. 
*Formació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t>
  </si>
  <si>
    <t>Nombre formacions realitzades</t>
  </si>
  <si>
    <t>RA
AO
SR
AP
MC
AB
OP
MM</t>
  </si>
  <si>
    <t>*Difondre o permetre l'accés a la informació pública
*Atendre les sol·licituds d'informació</t>
  </si>
  <si>
    <t>Nombre peticions ateses</t>
  </si>
  <si>
    <t>Millorar i mantenir el material, infraestructures i equipaments de gestió de l'espai terrestre</t>
  </si>
  <si>
    <t>*Disposar d'oficina pròpia i magatzem
*Millora del material i els serveis informàtics
*Compra de material d'oficina
*Reparació i millora del material de la brigada</t>
  </si>
  <si>
    <t>Nombre equipaments aconseguits
Num. millores realitzades</t>
  </si>
  <si>
    <t>2
8</t>
  </si>
  <si>
    <t>3
12</t>
  </si>
  <si>
    <t>RA
AO</t>
  </si>
  <si>
    <t>Millorar i mantenir el material, infraestructures i equipaments de gestió de l'espai marí</t>
  </si>
  <si>
    <t>*Instal·lació, manteniment i reparació de les infraestructures marines</t>
  </si>
  <si>
    <t>Mitjana de boies mantingudes anualment</t>
  </si>
  <si>
    <t>RA
AP
AO</t>
  </si>
  <si>
    <t>Revisar la situació administrativa-legal dels equipaments del parc</t>
  </si>
  <si>
    <t>L'ENP no disposa de béns patrimonials</t>
  </si>
  <si>
    <t xml:space="preserve">*Col·laborar amb el Servei de Contractació i Patrimoni per tramitar els expedients de cessió de titularitat, declaracions d'obra nova, compra, lloguer...             </t>
  </si>
  <si>
    <t>Nombre expedients iniciats a tràmit</t>
  </si>
  <si>
    <t>*Revisió que tots els equipaments del parc estiguin correctament assegurats dins la pòlissa d'assegurança de danys materials (número 86-5034332) de la Generalitat, en col·laboració amb  serveis centrals i d'acord amb les seves directrius.
*Col·laboració amb el Servei de Contractació i Patrimoni per tramitar les assegurances dels béns patrimonials.</t>
  </si>
  <si>
    <t>MM
AO
RA</t>
  </si>
  <si>
    <t>Millorar l'accessibilitat i la gestió documental i digital de l'ENP</t>
  </si>
  <si>
    <t>Renovar el conveni amb el centre  de documentació de l'ENP per seguir millorant l'accessibilitat i la gestió documental</t>
  </si>
  <si>
    <t>El centre de documentació de l'ENP és extern i el conveni està caducat</t>
  </si>
  <si>
    <t>*Renovar el conveni amb el Museu de la Mediterrània (Ajuntament de Torroella de Montgrí)
*Desenvolupament del repositori digital, recollint, preservant i difonent la informació generada.
*Catalogar i digitalitzar el fons documental.
*Millora de l'accessibilitat documental al web.
* Implementació de gestor d'expedients</t>
  </si>
  <si>
    <t>Gestió de les brigades de manteniment terrestres i marines</t>
  </si>
  <si>
    <t>16.6.1a</t>
  </si>
  <si>
    <t xml:space="preserve">Gestió de les brigades de manteniment terrestres </t>
  </si>
  <si>
    <t>* Disposar d'un cap de brigada terrestre propi de l'ENP
* Gestionar la coordinació entre brigades</t>
  </si>
  <si>
    <t>Gestió de les brigades de manteniment marines</t>
  </si>
  <si>
    <t>* Habilitar a patrons capbussadors per poder fer funcions de cap d'equip
*Gestionar la coordinació amb equips de treball extern</t>
  </si>
  <si>
    <t>Gestionar, enfortir i consolidar l'equip de gestió del parc</t>
  </si>
  <si>
    <t>* Consolidar el personal temporal 
* Reforçar amb nou personal els àmbits poc dotats (medi marí i altres àmbits que porta una sola persona)
* Mantenir les reunions de coordinació del personal</t>
  </si>
  <si>
    <t>Tothom</t>
  </si>
  <si>
    <t>Gestió ordinària i imprevistos no contemplats en cap dels objectius operatius anterior</t>
  </si>
  <si>
    <t>*Millorar l'adaptació als canvis de tot l'equip
*Gestió dels imprevistos i emergències</t>
  </si>
  <si>
    <t>Accions realitzades i/o gestionades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</si>
</sst>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8" formatCode="#,##0.00\ &quot;€&quot;;[Red]\-#,##0.00\ &quot;€&quot;"/>
  </numFmts>
  <fonts count="33">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FF0000"/>
      <name val="Calibri"/>
      <family val="2"/>
      <scheme val="minor"/>
    </font>
    <font>
      <b/>
      <sz val="14"/>
      <color theme="1"/>
      <name val="Calibri"/>
      <family val="2"/>
      <scheme val="minor"/>
    </font>
    <font>
      <b/>
      <sz val="14"/>
      <name val="Calibri"/>
      <family val="2"/>
      <scheme val="minor"/>
    </font>
    <font>
      <sz val="14"/>
      <name val="Calibri"/>
      <family val="2"/>
      <scheme val="minor"/>
    </font>
    <font>
      <strike/>
      <sz val="11"/>
      <color theme="1"/>
      <name val="Calibri"/>
      <family val="2"/>
      <scheme val="minor"/>
    </font>
    <font>
      <sz val="9"/>
      <name val="Arial"/>
      <family val="2"/>
    </font>
    <font>
      <b/>
      <sz val="10"/>
      <name val="Calibri"/>
      <family val="2"/>
      <scheme val="minor"/>
    </font>
    <font>
      <b/>
      <sz val="10"/>
      <color theme="1"/>
      <name val="Calibri"/>
      <family val="2"/>
      <scheme val="minor"/>
    </font>
    <font>
      <sz val="9"/>
      <color theme="1"/>
      <name val="Calibri"/>
      <family val="2"/>
      <scheme val="minor"/>
    </font>
    <font>
      <sz val="9"/>
      <color rgb="FF1F4D78"/>
      <name val="Arial"/>
      <family val="2"/>
    </font>
    <font>
      <sz val="9"/>
      <color rgb="FFC00000"/>
      <name val="Arial"/>
      <family val="2"/>
    </font>
    <font>
      <sz val="10"/>
      <color theme="1"/>
      <name val="Calibri"/>
      <family val="2"/>
      <scheme val="minor"/>
    </font>
    <font>
      <sz val="9"/>
      <color rgb="FF000000"/>
      <name val="Arial"/>
      <family val="2"/>
    </font>
    <font>
      <sz val="9"/>
      <color rgb="FF071D49"/>
      <name val="Arial"/>
      <family val="2"/>
    </font>
    <font>
      <b/>
      <sz val="9"/>
      <name val="Arial"/>
      <family val="2"/>
    </font>
    <font>
      <sz val="9"/>
      <color rgb="FF000000"/>
      <name val="Calibri"/>
      <family val="2"/>
    </font>
    <font>
      <sz val="9"/>
      <color theme="1"/>
      <name val="Arial"/>
      <family val="2"/>
    </font>
    <font>
      <b/>
      <sz val="11"/>
      <color rgb="FF000000"/>
      <name val="Arial"/>
      <family val="2"/>
    </font>
    <font>
      <sz val="11"/>
      <color rgb="FF000000"/>
      <name val="Arial"/>
      <family val="2"/>
    </font>
    <font>
      <sz val="10"/>
      <color theme="1"/>
      <name val="Arimo"/>
      <family val="2"/>
    </font>
    <font>
      <b/>
      <sz val="11"/>
      <color theme="0"/>
      <name val="Calibri"/>
      <family val="2"/>
      <scheme val="minor"/>
    </font>
    <font>
      <i/>
      <sz val="9"/>
      <color rgb="FF000000"/>
      <name val="Arial"/>
      <family val="2"/>
    </font>
    <font>
      <i/>
      <sz val="11"/>
      <name val="Calibri"/>
      <family val="2"/>
      <scheme val="minor"/>
    </font>
    <font>
      <sz val="11"/>
      <color theme="1"/>
      <name val="Calibri"/>
      <family val="2"/>
    </font>
    <font>
      <b/>
      <sz val="9"/>
      <color indexed="81"/>
      <name val="Tahoma"/>
      <family val="2"/>
    </font>
    <font>
      <sz val="9"/>
      <color indexed="81"/>
      <name val="Tahoma"/>
      <family val="2"/>
    </font>
  </fonts>
  <fills count="36">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D6DCE4"/>
        <bgColor rgb="FF000000"/>
      </patternFill>
    </fill>
    <fill>
      <patternFill patternType="solid">
        <fgColor rgb="FFFFFF00"/>
        <bgColor indexed="64"/>
      </patternFill>
    </fill>
    <fill>
      <patternFill patternType="solid">
        <fgColor rgb="FFC5E0B3"/>
        <bgColor indexed="64"/>
      </patternFill>
    </fill>
    <fill>
      <patternFill patternType="solid">
        <fgColor rgb="FFBDD6EE"/>
        <bgColor indexed="64"/>
      </patternFill>
    </fill>
    <fill>
      <patternFill patternType="solid">
        <fgColor rgb="FFDEEAF6"/>
        <bgColor indexed="64"/>
      </patternFill>
    </fill>
    <fill>
      <patternFill patternType="solid">
        <fgColor rgb="FFFBE4D5"/>
        <bgColor indexed="64"/>
      </patternFill>
    </fill>
    <fill>
      <patternFill patternType="solid">
        <fgColor rgb="FFFCBC20"/>
        <bgColor indexed="64"/>
      </patternFill>
    </fill>
    <fill>
      <patternFill patternType="solid">
        <fgColor rgb="FFE7E6E6"/>
        <bgColor indexed="64"/>
      </patternFill>
    </fill>
    <fill>
      <patternFill patternType="solid">
        <fgColor rgb="FFB1A0C7"/>
        <bgColor rgb="FF000000"/>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249977111117893"/>
        <bgColor indexed="64"/>
      </patternFill>
    </fill>
    <fill>
      <patternFill patternType="solid">
        <fgColor theme="5"/>
        <bgColor indexed="64"/>
      </patternFill>
    </fill>
    <fill>
      <patternFill patternType="solid">
        <fgColor theme="0"/>
        <bgColor indexed="64"/>
      </patternFill>
    </fill>
  </fills>
  <borders count="97">
    <border>
      <left/>
      <right/>
      <top/>
      <bottom/>
      <diagonal/>
    </border>
    <border>
      <left style="thin">
        <color theme="5"/>
      </left>
      <right style="thin">
        <color theme="5"/>
      </right>
      <top style="thin">
        <color theme="5"/>
      </top>
      <bottom style="thin">
        <color theme="5"/>
      </bottom>
      <diagonal/>
    </border>
    <border>
      <left/>
      <right style="thin">
        <color theme="5"/>
      </right>
      <top style="thin">
        <color theme="5"/>
      </top>
      <bottom/>
      <diagonal/>
    </border>
    <border>
      <left/>
      <right style="thin">
        <color theme="6"/>
      </right>
      <top/>
      <bottom/>
      <diagonal/>
    </border>
    <border>
      <left/>
      <right style="thin">
        <color rgb="FF00B0F0"/>
      </right>
      <top style="thin">
        <color rgb="FF00B0F0"/>
      </top>
      <bottom/>
      <diagonal/>
    </border>
    <border>
      <left/>
      <right style="thin">
        <color theme="8"/>
      </right>
      <top style="thin">
        <color theme="8"/>
      </top>
      <bottom/>
      <diagonal/>
    </border>
    <border>
      <left/>
      <right style="thin">
        <color theme="9"/>
      </right>
      <top/>
      <bottom/>
      <diagonal/>
    </border>
    <border>
      <left/>
      <right style="thin">
        <color theme="9"/>
      </right>
      <top style="thin">
        <color theme="9"/>
      </top>
      <bottom style="thin">
        <color theme="9"/>
      </bottom>
      <diagonal/>
    </border>
    <border>
      <left/>
      <right style="thin">
        <color rgb="FF8497B0"/>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right style="thin">
        <color theme="8"/>
      </right>
      <top style="thin">
        <color theme="8" tint="-0.24994659260841701"/>
      </top>
      <bottom/>
      <diagonal/>
    </border>
    <border>
      <left/>
      <right/>
      <top style="thin">
        <color theme="5"/>
      </top>
      <bottom/>
      <diagonal/>
    </border>
    <border>
      <left style="thin">
        <color indexed="64"/>
      </left>
      <right style="thin">
        <color indexed="64"/>
      </right>
      <top style="thin">
        <color indexed="64"/>
      </top>
      <bottom style="thin">
        <color indexed="64"/>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4"/>
      </left>
      <right/>
      <top style="thin">
        <color theme="5"/>
      </top>
      <bottom/>
      <diagonal/>
    </border>
    <border>
      <left style="thin">
        <color theme="4"/>
      </left>
      <right/>
      <top style="thin">
        <color theme="5"/>
      </top>
      <bottom style="thin">
        <color theme="4"/>
      </bottom>
      <diagonal/>
    </border>
    <border>
      <left style="thin">
        <color theme="4"/>
      </left>
      <right/>
      <top/>
      <bottom/>
      <diagonal/>
    </border>
    <border>
      <left/>
      <right/>
      <top style="thin">
        <color theme="6"/>
      </top>
      <bottom/>
      <diagonal/>
    </border>
    <border>
      <left style="thin">
        <color theme="6"/>
      </left>
      <right/>
      <top style="thin">
        <color theme="6"/>
      </top>
      <bottom/>
      <diagonal/>
    </border>
    <border>
      <left style="thin">
        <color rgb="FF00B0F0"/>
      </left>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style="thin">
        <color theme="8"/>
      </left>
      <right/>
      <top/>
      <bottom style="thin">
        <color theme="8"/>
      </bottom>
      <diagonal/>
    </border>
    <border>
      <left style="thin">
        <color theme="8"/>
      </left>
      <right/>
      <top style="thin">
        <color rgb="FF00B0F0"/>
      </top>
      <bottom/>
      <diagonal/>
    </border>
    <border>
      <left style="thin">
        <color theme="8"/>
      </left>
      <right/>
      <top style="thin">
        <color theme="8"/>
      </top>
      <bottom/>
      <diagonal/>
    </border>
    <border>
      <left style="thin">
        <color theme="8" tint="-0.24994659260841701"/>
      </left>
      <right/>
      <top style="thin">
        <color theme="8" tint="-0.24994659260841701"/>
      </top>
      <bottom/>
      <diagonal/>
    </border>
    <border>
      <left style="thin">
        <color theme="9"/>
      </left>
      <right/>
      <top/>
      <bottom/>
      <diagonal/>
    </border>
    <border>
      <left style="thin">
        <color theme="9"/>
      </left>
      <right/>
      <top style="thin">
        <color theme="9"/>
      </top>
      <bottom/>
      <diagonal/>
    </border>
    <border>
      <left/>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style="thin">
        <color rgb="FF8497B0"/>
      </left>
      <right/>
      <top style="thin">
        <color theme="3" tint="0.39994506668294322"/>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5"/>
      </left>
      <right style="thin">
        <color theme="5"/>
      </right>
      <top/>
      <bottom style="thin">
        <color theme="5"/>
      </bottom>
      <diagonal/>
    </border>
    <border>
      <left style="thin">
        <color theme="5"/>
      </left>
      <right/>
      <top/>
      <bottom/>
      <diagonal/>
    </border>
    <border>
      <left/>
      <right style="thin">
        <color theme="5"/>
      </right>
      <top/>
      <bottom/>
      <diagonal/>
    </border>
    <border>
      <left style="thin">
        <color theme="5"/>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theme="5"/>
      </left>
      <right/>
      <top/>
      <bottom style="thin">
        <color theme="5"/>
      </bottom>
      <diagonal/>
    </border>
    <border>
      <left/>
      <right style="thin">
        <color indexed="64"/>
      </right>
      <top/>
      <bottom style="thin">
        <color theme="5"/>
      </bottom>
      <diagonal/>
    </border>
    <border>
      <left/>
      <right style="thin">
        <color indexed="64"/>
      </right>
      <top style="thin">
        <color theme="5"/>
      </top>
      <bottom/>
      <diagonal/>
    </border>
    <border>
      <left/>
      <right style="thin">
        <color theme="5"/>
      </right>
      <top/>
      <bottom style="thin">
        <color theme="5"/>
      </bottom>
      <diagonal/>
    </border>
    <border>
      <left/>
      <right/>
      <top/>
      <bottom style="thin">
        <color theme="5"/>
      </bottom>
      <diagonal/>
    </border>
    <border>
      <left/>
      <right style="thin">
        <color indexed="64"/>
      </right>
      <top style="thin">
        <color theme="5"/>
      </top>
      <bottom style="thin">
        <color theme="4"/>
      </bottom>
      <diagonal/>
    </border>
    <border>
      <left/>
      <right style="thin">
        <color theme="4"/>
      </right>
      <top/>
      <bottom/>
      <diagonal/>
    </border>
    <border>
      <left style="thin">
        <color theme="4"/>
      </left>
      <right/>
      <top style="thin">
        <color theme="4"/>
      </top>
      <bottom style="thin">
        <color theme="4"/>
      </bottom>
      <diagonal/>
    </border>
    <border>
      <left/>
      <right style="thin">
        <color indexed="64"/>
      </right>
      <top style="thin">
        <color theme="4"/>
      </top>
      <bottom style="thin">
        <color theme="4"/>
      </bottom>
      <diagonal/>
    </border>
    <border>
      <left/>
      <right style="thin">
        <color indexed="64"/>
      </right>
      <top style="thin">
        <color theme="4"/>
      </top>
      <bottom style="thin">
        <color theme="5"/>
      </bottom>
      <diagonal/>
    </border>
    <border>
      <left style="thin">
        <color theme="4"/>
      </left>
      <right/>
      <top/>
      <bottom style="thin">
        <color theme="5"/>
      </bottom>
      <diagonal/>
    </border>
    <border>
      <left/>
      <right style="thin">
        <color indexed="64"/>
      </right>
      <top style="thin">
        <color theme="6"/>
      </top>
      <bottom/>
      <diagonal/>
    </border>
    <border>
      <left style="thin">
        <color theme="6"/>
      </left>
      <right/>
      <top/>
      <bottom/>
      <diagonal/>
    </border>
    <border>
      <left style="thin">
        <color theme="6"/>
      </left>
      <right/>
      <top/>
      <bottom style="thin">
        <color theme="6"/>
      </bottom>
      <diagonal/>
    </border>
    <border>
      <left/>
      <right style="thin">
        <color indexed="64"/>
      </right>
      <top/>
      <bottom style="thin">
        <color theme="6"/>
      </bottom>
      <diagonal/>
    </border>
    <border>
      <left/>
      <right/>
      <top/>
      <bottom style="thin">
        <color theme="6"/>
      </bottom>
      <diagonal/>
    </border>
    <border>
      <left/>
      <right style="thin">
        <color indexed="64"/>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style="thin">
        <color indexed="64"/>
      </right>
      <top/>
      <bottom style="thin">
        <color rgb="FF00B0F0"/>
      </bottom>
      <diagonal/>
    </border>
    <border>
      <left style="thin">
        <color indexed="64"/>
      </left>
      <right/>
      <top/>
      <bottom/>
      <diagonal/>
    </border>
    <border>
      <left/>
      <right style="thin">
        <color rgb="FF00B0F0"/>
      </right>
      <top/>
      <bottom style="thin">
        <color rgb="FF00B0F0"/>
      </bottom>
      <diagonal/>
    </border>
    <border>
      <left/>
      <right style="thin">
        <color rgb="FF00B0F0"/>
      </right>
      <top/>
      <bottom style="thin">
        <color theme="8"/>
      </bottom>
      <diagonal/>
    </border>
    <border>
      <left style="thin">
        <color theme="8"/>
      </left>
      <right/>
      <top/>
      <bottom/>
      <diagonal/>
    </border>
    <border>
      <left/>
      <right style="thin">
        <color theme="8"/>
      </right>
      <top/>
      <bottom/>
      <diagonal/>
    </border>
    <border>
      <left/>
      <right style="thin">
        <color indexed="64"/>
      </right>
      <top/>
      <bottom style="thin">
        <color theme="8"/>
      </bottom>
      <diagonal/>
    </border>
    <border>
      <left/>
      <right style="thin">
        <color indexed="64"/>
      </right>
      <top style="thin">
        <color theme="8"/>
      </top>
      <bottom/>
      <diagonal/>
    </border>
    <border>
      <left style="thin">
        <color theme="8"/>
      </left>
      <right/>
      <top/>
      <bottom style="thin">
        <color theme="9"/>
      </bottom>
      <diagonal/>
    </border>
    <border>
      <left/>
      <right style="thin">
        <color indexed="64"/>
      </right>
      <top/>
      <bottom style="thin">
        <color theme="9"/>
      </bottom>
      <diagonal/>
    </border>
    <border>
      <left style="thin">
        <color theme="8"/>
      </left>
      <right/>
      <top style="thin">
        <color theme="9"/>
      </top>
      <bottom/>
      <diagonal/>
    </border>
    <border>
      <left/>
      <right style="thin">
        <color indexed="64"/>
      </right>
      <top style="thin">
        <color theme="9"/>
      </top>
      <bottom/>
      <diagonal/>
    </border>
    <border>
      <left/>
      <right/>
      <top/>
      <bottom style="thin">
        <color theme="9"/>
      </bottom>
      <diagonal/>
    </border>
    <border>
      <left style="thin">
        <color theme="9"/>
      </left>
      <right/>
      <top/>
      <bottom style="thin">
        <color theme="9"/>
      </bottom>
      <diagonal/>
    </border>
    <border>
      <left/>
      <right style="thin">
        <color theme="9"/>
      </right>
      <top/>
      <bottom style="thin">
        <color theme="9"/>
      </bottom>
      <diagonal/>
    </border>
    <border>
      <left/>
      <right style="thin">
        <color indexed="64"/>
      </right>
      <top style="thin">
        <color theme="3" tint="0.39994506668294322"/>
      </top>
      <bottom/>
      <diagonal/>
    </border>
    <border>
      <left/>
      <right style="thin">
        <color rgb="FF8497B0"/>
      </right>
      <top/>
      <bottom/>
      <diagonal/>
    </border>
    <border>
      <left style="thin">
        <color rgb="FF8497B0"/>
      </left>
      <right/>
      <top/>
      <bottom/>
      <diagonal/>
    </border>
    <border>
      <left style="thin">
        <color rgb="FF8497B0"/>
      </left>
      <right/>
      <top/>
      <bottom style="thin">
        <color theme="3" tint="0.39994506668294322"/>
      </bottom>
      <diagonal/>
    </border>
    <border>
      <left/>
      <right style="thin">
        <color indexed="64"/>
      </right>
      <top/>
      <bottom style="thin">
        <color theme="3" tint="0.39994506668294322"/>
      </bottom>
      <diagonal/>
    </border>
    <border>
      <left/>
      <right style="thin">
        <color indexed="64"/>
      </right>
      <top style="thin">
        <color rgb="FF8497B0"/>
      </top>
      <bottom/>
      <diagonal/>
    </border>
    <border>
      <left style="thin">
        <color rgb="FF8497B0"/>
      </left>
      <right/>
      <top/>
      <bottom style="thin">
        <color rgb="FF8497B0"/>
      </bottom>
      <diagonal/>
    </border>
    <border>
      <left/>
      <right style="thin">
        <color indexed="64"/>
      </right>
      <top/>
      <bottom style="thin">
        <color rgb="FF8497B0"/>
      </bottom>
      <diagonal/>
    </border>
  </borders>
  <cellStyleXfs count="1">
    <xf numFmtId="0" fontId="0" fillId="0" borderId="0"/>
  </cellStyleXfs>
  <cellXfs count="418">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11" borderId="3" xfId="0" applyFont="1" applyFill="1" applyBorder="1" applyAlignment="1">
      <alignment horizontal="left" vertical="top" wrapText="1"/>
    </xf>
    <xf numFmtId="0" fontId="1" fillId="14" borderId="4" xfId="0" applyFont="1" applyFill="1" applyBorder="1" applyAlignment="1">
      <alignment horizontal="left" vertical="top" wrapText="1"/>
    </xf>
    <xf numFmtId="0" fontId="3" fillId="0" borderId="13" xfId="0" applyFont="1" applyBorder="1" applyAlignment="1">
      <alignment horizontal="center" vertical="center" wrapText="1"/>
    </xf>
    <xf numFmtId="0" fontId="3" fillId="0" borderId="13" xfId="0" applyFont="1" applyBorder="1" applyAlignment="1">
      <alignment horizontal="lef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horizontal="center" vertical="center"/>
    </xf>
    <xf numFmtId="0" fontId="1" fillId="0" borderId="0" xfId="0" applyFont="1" applyAlignment="1">
      <alignment vertical="top" wrapText="1"/>
    </xf>
    <xf numFmtId="0" fontId="0" fillId="0" borderId="0" xfId="0" applyAlignment="1">
      <alignment horizontal="left" vertical="center" wrapText="1"/>
    </xf>
    <xf numFmtId="49" fontId="8" fillId="0" borderId="0" xfId="0" applyNumberFormat="1" applyFont="1" applyAlignment="1">
      <alignment horizontal="center" vertical="top" wrapText="1"/>
    </xf>
    <xf numFmtId="49" fontId="8" fillId="0" borderId="0" xfId="0" applyNumberFormat="1" applyFont="1" applyAlignment="1">
      <alignment horizontal="right" vertical="top"/>
    </xf>
    <xf numFmtId="0" fontId="10" fillId="18" borderId="13" xfId="0" applyFont="1" applyFill="1" applyBorder="1" applyAlignment="1">
      <alignment vertical="top" wrapText="1"/>
    </xf>
    <xf numFmtId="0" fontId="10" fillId="0" borderId="0" xfId="0" applyFont="1" applyAlignment="1">
      <alignment vertical="top" wrapText="1"/>
    </xf>
    <xf numFmtId="0" fontId="3" fillId="18" borderId="13" xfId="0" applyFont="1" applyFill="1" applyBorder="1" applyAlignment="1">
      <alignment horizontal="center" vertical="center" wrapText="1"/>
    </xf>
    <xf numFmtId="0" fontId="3" fillId="18" borderId="13" xfId="0" applyFont="1" applyFill="1" applyBorder="1" applyAlignment="1">
      <alignment horizontal="center" vertical="center"/>
    </xf>
    <xf numFmtId="0" fontId="2" fillId="0" borderId="13" xfId="0" applyFont="1" applyBorder="1" applyAlignment="1">
      <alignment horizontal="center" vertical="center"/>
    </xf>
    <xf numFmtId="0" fontId="2" fillId="18" borderId="13" xfId="0" applyFont="1" applyFill="1" applyBorder="1" applyAlignment="1">
      <alignment horizontal="center" vertical="center"/>
    </xf>
    <xf numFmtId="0" fontId="2" fillId="18" borderId="13" xfId="0" applyFont="1" applyFill="1" applyBorder="1" applyAlignment="1">
      <alignment horizontal="center" vertical="center" wrapText="1"/>
    </xf>
    <xf numFmtId="0" fontId="2" fillId="0" borderId="0" xfId="0" applyFont="1" applyAlignment="1">
      <alignment horizontal="center" vertical="center"/>
    </xf>
    <xf numFmtId="0" fontId="1" fillId="9" borderId="14" xfId="0" applyFont="1" applyFill="1" applyBorder="1" applyAlignment="1">
      <alignment horizontal="center" vertical="top"/>
    </xf>
    <xf numFmtId="0" fontId="1" fillId="18" borderId="13" xfId="0" applyFont="1" applyFill="1" applyBorder="1" applyAlignment="1">
      <alignment horizontal="center" vertical="center" wrapText="1"/>
    </xf>
    <xf numFmtId="0" fontId="1" fillId="18" borderId="13" xfId="0" applyFont="1" applyFill="1" applyBorder="1" applyAlignment="1">
      <alignment horizontal="left" vertical="center" wrapText="1"/>
    </xf>
    <xf numFmtId="0" fontId="1" fillId="18" borderId="13" xfId="0" applyFont="1" applyFill="1" applyBorder="1" applyAlignment="1">
      <alignment horizontal="center" vertical="center"/>
    </xf>
    <xf numFmtId="0" fontId="1" fillId="0" borderId="13" xfId="0" applyFont="1" applyBorder="1" applyAlignment="1">
      <alignment horizontal="left" vertical="center" wrapText="1"/>
    </xf>
    <xf numFmtId="0" fontId="1" fillId="0" borderId="13" xfId="0" applyFont="1" applyBorder="1" applyAlignment="1">
      <alignment horizontal="center" vertical="center"/>
    </xf>
    <xf numFmtId="0" fontId="1" fillId="0" borderId="13" xfId="0" applyFont="1" applyBorder="1" applyAlignment="1">
      <alignment vertical="top" wrapText="1"/>
    </xf>
    <xf numFmtId="0" fontId="0" fillId="0" borderId="13" xfId="0" applyBorder="1" applyAlignment="1">
      <alignment horizontal="center" vertical="center"/>
    </xf>
    <xf numFmtId="0" fontId="0" fillId="18" borderId="13" xfId="0" applyFill="1" applyBorder="1" applyAlignment="1">
      <alignment horizontal="center" vertical="center"/>
    </xf>
    <xf numFmtId="0" fontId="0" fillId="18" borderId="13" xfId="0" applyFill="1" applyBorder="1" applyAlignment="1">
      <alignment horizontal="left" vertical="center" wrapText="1"/>
    </xf>
    <xf numFmtId="0" fontId="1" fillId="0" borderId="13" xfId="0" applyFont="1" applyBorder="1" applyAlignment="1">
      <alignment vertical="top"/>
    </xf>
    <xf numFmtId="0" fontId="7" fillId="18" borderId="13" xfId="0" applyFont="1" applyFill="1" applyBorder="1" applyAlignment="1">
      <alignment horizontal="left" vertical="center" wrapText="1"/>
    </xf>
    <xf numFmtId="0" fontId="0" fillId="18" borderId="13" xfId="0" applyFill="1" applyBorder="1" applyAlignment="1">
      <alignment horizontal="center" vertical="center" wrapText="1"/>
    </xf>
    <xf numFmtId="49" fontId="1" fillId="10" borderId="15" xfId="0" applyNumberFormat="1" applyFont="1" applyFill="1" applyBorder="1" applyAlignment="1">
      <alignment horizontal="center" vertical="center" wrapText="1"/>
    </xf>
    <xf numFmtId="0" fontId="1" fillId="10" borderId="16" xfId="0" applyFont="1" applyFill="1" applyBorder="1" applyAlignment="1">
      <alignment vertical="center" wrapText="1"/>
    </xf>
    <xf numFmtId="0" fontId="1" fillId="0" borderId="13" xfId="0" applyFont="1" applyBorder="1" applyAlignment="1">
      <alignment horizontal="center" vertical="center" wrapText="1"/>
    </xf>
    <xf numFmtId="49" fontId="2" fillId="7" borderId="0" xfId="0" applyNumberFormat="1" applyFont="1" applyFill="1" applyAlignment="1">
      <alignment horizontal="center" vertical="top" wrapText="1"/>
    </xf>
    <xf numFmtId="0" fontId="1" fillId="20" borderId="17" xfId="0" applyFont="1" applyFill="1" applyBorder="1" applyAlignment="1">
      <alignment vertical="top"/>
    </xf>
    <xf numFmtId="0" fontId="1" fillId="20" borderId="10" xfId="0" applyFont="1" applyFill="1" applyBorder="1" applyAlignment="1">
      <alignment vertical="top" wrapText="1"/>
    </xf>
    <xf numFmtId="49" fontId="2" fillId="3" borderId="0" xfId="0" applyNumberFormat="1" applyFont="1" applyFill="1" applyAlignment="1">
      <alignment horizontal="center" vertical="top" wrapText="1"/>
    </xf>
    <xf numFmtId="0" fontId="1" fillId="11" borderId="21" xfId="0" applyFont="1" applyFill="1" applyBorder="1" applyAlignment="1">
      <alignment horizontal="center" vertical="top"/>
    </xf>
    <xf numFmtId="0" fontId="6" fillId="18" borderId="13" xfId="0" applyFont="1" applyFill="1" applyBorder="1" applyAlignment="1">
      <alignment horizontal="left" vertical="center" wrapText="1"/>
    </xf>
    <xf numFmtId="0" fontId="1" fillId="0" borderId="13" xfId="0" applyFont="1" applyBorder="1" applyAlignment="1">
      <alignment horizontal="left" vertical="top" wrapText="1"/>
    </xf>
    <xf numFmtId="49" fontId="2" fillId="4" borderId="0" xfId="0" applyNumberFormat="1" applyFont="1" applyFill="1" applyAlignment="1">
      <alignment horizontal="center" vertical="top" wrapText="1"/>
    </xf>
    <xf numFmtId="0" fontId="1" fillId="14" borderId="22" xfId="0" applyFont="1" applyFill="1" applyBorder="1" applyAlignment="1">
      <alignment horizontal="center" vertical="top"/>
    </xf>
    <xf numFmtId="49" fontId="1" fillId="13" borderId="23" xfId="0" applyNumberFormat="1" applyFont="1" applyFill="1" applyBorder="1" applyAlignment="1">
      <alignment horizontal="center" vertical="center" wrapText="1"/>
    </xf>
    <xf numFmtId="0" fontId="1" fillId="13" borderId="24" xfId="0" applyFont="1" applyFill="1" applyBorder="1" applyAlignment="1">
      <alignment vertical="center" wrapText="1"/>
    </xf>
    <xf numFmtId="0" fontId="1" fillId="14" borderId="22" xfId="0" applyFont="1" applyFill="1" applyBorder="1" applyAlignment="1">
      <alignment vertical="top"/>
    </xf>
    <xf numFmtId="0" fontId="1" fillId="0" borderId="13" xfId="0" quotePrefix="1" applyFont="1" applyBorder="1" applyAlignment="1">
      <alignment vertical="top" wrapText="1"/>
    </xf>
    <xf numFmtId="0" fontId="4" fillId="0" borderId="13" xfId="0" applyFont="1" applyBorder="1" applyAlignment="1">
      <alignment vertical="top"/>
    </xf>
    <xf numFmtId="0" fontId="4" fillId="0" borderId="13" xfId="0" applyFont="1" applyBorder="1" applyAlignment="1">
      <alignment vertical="top" wrapText="1"/>
    </xf>
    <xf numFmtId="0" fontId="1" fillId="15" borderId="28" xfId="0" applyFont="1" applyFill="1" applyBorder="1" applyAlignment="1">
      <alignment horizontal="center" vertical="top" wrapText="1"/>
    </xf>
    <xf numFmtId="0" fontId="1" fillId="15" borderId="11" xfId="0" applyFont="1" applyFill="1" applyBorder="1" applyAlignment="1">
      <alignment horizontal="center" vertical="top" wrapText="1"/>
    </xf>
    <xf numFmtId="0" fontId="6" fillId="18" borderId="13" xfId="0" applyFont="1" applyFill="1" applyBorder="1" applyAlignment="1">
      <alignment horizontal="center" vertical="center" wrapText="1"/>
    </xf>
    <xf numFmtId="0" fontId="6" fillId="0" borderId="13" xfId="0" applyFont="1" applyBorder="1" applyAlignment="1">
      <alignment vertical="top" wrapText="1"/>
    </xf>
    <xf numFmtId="0" fontId="11" fillId="18" borderId="13" xfId="0" applyFont="1" applyFill="1" applyBorder="1" applyAlignment="1">
      <alignment horizontal="left" vertical="center" wrapText="1"/>
    </xf>
    <xf numFmtId="0" fontId="6" fillId="18" borderId="13" xfId="0" applyFont="1" applyFill="1" applyBorder="1" applyAlignment="1">
      <alignment horizontal="center" vertical="center"/>
    </xf>
    <xf numFmtId="49" fontId="1" fillId="17" borderId="32" xfId="0" applyNumberFormat="1" applyFont="1" applyFill="1" applyBorder="1" applyAlignment="1">
      <alignment horizontal="center" vertical="center" wrapText="1"/>
    </xf>
    <xf numFmtId="0" fontId="1" fillId="17" borderId="33" xfId="0" applyFont="1" applyFill="1" applyBorder="1" applyAlignment="1">
      <alignment horizontal="left" vertical="center" wrapText="1"/>
    </xf>
    <xf numFmtId="0" fontId="1" fillId="22" borderId="34" xfId="0" applyFont="1" applyFill="1" applyBorder="1" applyAlignment="1">
      <alignment horizontal="center" vertical="center" wrapText="1"/>
    </xf>
    <xf numFmtId="0" fontId="4" fillId="18" borderId="13" xfId="0" applyFont="1" applyFill="1" applyBorder="1" applyAlignment="1">
      <alignment horizontal="left" vertical="center" wrapText="1"/>
    </xf>
    <xf numFmtId="49" fontId="2" fillId="0" borderId="0" xfId="0" applyNumberFormat="1" applyFont="1" applyAlignment="1">
      <alignment horizontal="center" vertical="top" wrapText="1"/>
    </xf>
    <xf numFmtId="0" fontId="1" fillId="9" borderId="2" xfId="0" applyFont="1" applyFill="1" applyBorder="1" applyAlignment="1">
      <alignment vertical="top" wrapText="1"/>
    </xf>
    <xf numFmtId="0" fontId="0" fillId="23" borderId="0" xfId="0" applyFill="1"/>
    <xf numFmtId="0" fontId="2" fillId="23" borderId="0" xfId="0" applyFont="1" applyFill="1"/>
    <xf numFmtId="0" fontId="0" fillId="0" borderId="0" xfId="0" applyAlignment="1">
      <alignment horizontal="left"/>
    </xf>
    <xf numFmtId="0" fontId="0" fillId="0" borderId="0" xfId="0" applyAlignment="1">
      <alignment wrapText="1"/>
    </xf>
    <xf numFmtId="0" fontId="2" fillId="17" borderId="13" xfId="0" applyFont="1" applyFill="1" applyBorder="1" applyAlignment="1">
      <alignment wrapText="1"/>
    </xf>
    <xf numFmtId="0" fontId="0" fillId="0" borderId="13" xfId="0" applyBorder="1" applyAlignment="1">
      <alignment wrapText="1"/>
    </xf>
    <xf numFmtId="0" fontId="2" fillId="10" borderId="13" xfId="0" applyFont="1" applyFill="1" applyBorder="1" applyAlignment="1">
      <alignment wrapText="1"/>
    </xf>
    <xf numFmtId="0" fontId="2" fillId="0" borderId="0" xfId="0" applyFont="1"/>
    <xf numFmtId="0" fontId="0" fillId="0" borderId="0" xfId="0" applyAlignment="1">
      <alignment horizontal="left" wrapText="1"/>
    </xf>
    <xf numFmtId="0" fontId="12" fillId="24" borderId="13" xfId="0" applyFont="1" applyFill="1" applyBorder="1" applyAlignment="1">
      <alignment vertical="center" wrapText="1"/>
    </xf>
    <xf numFmtId="0" fontId="12" fillId="24" borderId="38" xfId="0" applyFont="1" applyFill="1" applyBorder="1" applyAlignment="1">
      <alignment horizontal="center" vertical="center" wrapText="1"/>
    </xf>
    <xf numFmtId="0" fontId="13" fillId="18" borderId="35" xfId="0" applyFont="1" applyFill="1" applyBorder="1" applyAlignment="1">
      <alignment horizontal="center" vertical="center" wrapText="1"/>
    </xf>
    <xf numFmtId="0" fontId="13" fillId="18" borderId="36" xfId="0" applyFont="1" applyFill="1" applyBorder="1" applyAlignment="1">
      <alignment horizontal="center" vertical="center" wrapText="1"/>
    </xf>
    <xf numFmtId="0" fontId="13" fillId="18" borderId="36" xfId="0" applyFont="1" applyFill="1" applyBorder="1" applyAlignment="1">
      <alignment horizontal="left" vertical="center" wrapText="1"/>
    </xf>
    <xf numFmtId="0" fontId="12" fillId="25" borderId="13" xfId="0" applyFont="1" applyFill="1" applyBorder="1" applyAlignment="1">
      <alignment vertical="center" wrapText="1"/>
    </xf>
    <xf numFmtId="0" fontId="12" fillId="3" borderId="13" xfId="0" applyFont="1" applyFill="1" applyBorder="1" applyAlignment="1">
      <alignment vertical="center" wrapText="1"/>
    </xf>
    <xf numFmtId="0" fontId="12" fillId="26" borderId="13" xfId="0" applyFont="1" applyFill="1" applyBorder="1" applyAlignment="1">
      <alignment vertical="center" wrapText="1"/>
    </xf>
    <xf numFmtId="0" fontId="12" fillId="27" borderId="13" xfId="0" applyFont="1" applyFill="1" applyBorder="1" applyAlignment="1">
      <alignment vertical="center" wrapText="1"/>
    </xf>
    <xf numFmtId="0" fontId="16" fillId="28" borderId="13" xfId="0" applyFont="1" applyFill="1" applyBorder="1" applyAlignment="1">
      <alignment vertical="center" wrapText="1"/>
    </xf>
    <xf numFmtId="0" fontId="16" fillId="29" borderId="13" xfId="0" applyFont="1" applyFill="1" applyBorder="1" applyAlignment="1">
      <alignment vertical="center" wrapText="1"/>
    </xf>
    <xf numFmtId="0" fontId="15" fillId="23" borderId="0" xfId="0" applyFont="1" applyFill="1"/>
    <xf numFmtId="0" fontId="15" fillId="0" borderId="0" xfId="0" applyFont="1"/>
    <xf numFmtId="0" fontId="12" fillId="25" borderId="38" xfId="0" applyFont="1" applyFill="1" applyBorder="1" applyAlignment="1">
      <alignment vertical="center" wrapText="1"/>
    </xf>
    <xf numFmtId="0" fontId="12" fillId="3" borderId="38" xfId="0" applyFont="1" applyFill="1" applyBorder="1" applyAlignment="1">
      <alignment vertical="center" wrapText="1"/>
    </xf>
    <xf numFmtId="0" fontId="12" fillId="26" borderId="38" xfId="0" applyFont="1" applyFill="1" applyBorder="1" applyAlignment="1">
      <alignment vertical="center" wrapText="1"/>
    </xf>
    <xf numFmtId="0" fontId="12" fillId="27" borderId="38" xfId="0" applyFont="1" applyFill="1" applyBorder="1" applyAlignment="1">
      <alignment vertical="center" wrapText="1"/>
    </xf>
    <xf numFmtId="0" fontId="12" fillId="28" borderId="38" xfId="0" applyFont="1" applyFill="1" applyBorder="1" applyAlignment="1">
      <alignment vertical="center" wrapText="1"/>
    </xf>
    <xf numFmtId="0" fontId="12" fillId="29" borderId="38" xfId="0" applyFont="1" applyFill="1" applyBorder="1" applyAlignment="1">
      <alignment vertical="center" wrapText="1"/>
    </xf>
    <xf numFmtId="0" fontId="14" fillId="18" borderId="36" xfId="0" applyFont="1" applyFill="1" applyBorder="1" applyAlignment="1">
      <alignment vertical="top"/>
    </xf>
    <xf numFmtId="0" fontId="13" fillId="18" borderId="39" xfId="0" applyFont="1" applyFill="1" applyBorder="1" applyAlignment="1">
      <alignment horizontal="center" vertical="center" wrapText="1"/>
    </xf>
    <xf numFmtId="0" fontId="12" fillId="24" borderId="40" xfId="0" applyFont="1" applyFill="1" applyBorder="1" applyAlignment="1">
      <alignment horizontal="center" vertical="center" wrapText="1"/>
    </xf>
    <xf numFmtId="0" fontId="12" fillId="25" borderId="40" xfId="0" applyFont="1" applyFill="1" applyBorder="1" applyAlignment="1">
      <alignment vertical="center" wrapText="1"/>
    </xf>
    <xf numFmtId="0" fontId="12" fillId="3" borderId="40" xfId="0" applyFont="1" applyFill="1" applyBorder="1" applyAlignment="1">
      <alignment vertical="center" wrapText="1"/>
    </xf>
    <xf numFmtId="0" fontId="12" fillId="26" borderId="40" xfId="0" applyFont="1" applyFill="1" applyBorder="1" applyAlignment="1">
      <alignment vertical="center" wrapText="1"/>
    </xf>
    <xf numFmtId="0" fontId="12" fillId="27" borderId="40" xfId="0" applyFont="1" applyFill="1" applyBorder="1" applyAlignment="1">
      <alignment vertical="center" wrapText="1"/>
    </xf>
    <xf numFmtId="0" fontId="12" fillId="28" borderId="40" xfId="0" applyFont="1" applyFill="1" applyBorder="1" applyAlignment="1">
      <alignment vertical="center" wrapText="1"/>
    </xf>
    <xf numFmtId="0" fontId="12" fillId="29" borderId="40" xfId="0" applyFont="1" applyFill="1" applyBorder="1" applyAlignment="1">
      <alignment vertical="center" wrapText="1"/>
    </xf>
    <xf numFmtId="0" fontId="13" fillId="18" borderId="36" xfId="0" applyFont="1" applyFill="1" applyBorder="1" applyAlignment="1">
      <alignment vertical="center" wrapText="1"/>
    </xf>
    <xf numFmtId="0" fontId="14" fillId="18" borderId="36" xfId="0" applyFont="1" applyFill="1" applyBorder="1" applyAlignment="1">
      <alignment vertical="top" wrapText="1"/>
    </xf>
    <xf numFmtId="0" fontId="14" fillId="18" borderId="37" xfId="0" applyFont="1" applyFill="1" applyBorder="1" applyAlignment="1">
      <alignment vertical="top" wrapText="1"/>
    </xf>
    <xf numFmtId="0" fontId="18" fillId="0" borderId="0" xfId="0" applyFont="1"/>
    <xf numFmtId="0" fontId="19" fillId="24" borderId="13" xfId="0" applyFont="1" applyFill="1" applyBorder="1" applyAlignment="1">
      <alignment horizontal="left" vertical="center" wrapText="1"/>
    </xf>
    <xf numFmtId="0" fontId="12" fillId="24" borderId="13" xfId="0" applyFont="1" applyFill="1" applyBorder="1" applyAlignment="1">
      <alignment horizontal="left" vertical="center" wrapText="1"/>
    </xf>
    <xf numFmtId="0" fontId="19" fillId="24" borderId="13" xfId="0" applyFont="1" applyFill="1" applyBorder="1" applyAlignment="1">
      <alignment vertical="center" wrapText="1"/>
    </xf>
    <xf numFmtId="8" fontId="19" fillId="24" borderId="13" xfId="0" applyNumberFormat="1" applyFont="1" applyFill="1" applyBorder="1" applyAlignment="1">
      <alignment vertical="center" wrapText="1"/>
    </xf>
    <xf numFmtId="0" fontId="21" fillId="25" borderId="13" xfId="0" applyFont="1" applyFill="1" applyBorder="1" applyAlignment="1">
      <alignment vertical="center" wrapText="1"/>
    </xf>
    <xf numFmtId="0" fontId="21" fillId="25" borderId="13" xfId="0" applyFont="1" applyFill="1" applyBorder="1" applyAlignment="1">
      <alignment horizontal="left" vertical="center" wrapText="1"/>
    </xf>
    <xf numFmtId="0" fontId="21" fillId="3" borderId="13" xfId="0" applyFont="1" applyFill="1" applyBorder="1" applyAlignment="1">
      <alignment vertical="center" wrapText="1"/>
    </xf>
    <xf numFmtId="0" fontId="21" fillId="26" borderId="13" xfId="0" applyFont="1" applyFill="1" applyBorder="1" applyAlignment="1">
      <alignment vertical="center" wrapText="1"/>
    </xf>
    <xf numFmtId="0" fontId="21" fillId="27" borderId="13" xfId="0" applyFont="1" applyFill="1" applyBorder="1" applyAlignment="1">
      <alignment vertical="center" wrapText="1"/>
    </xf>
    <xf numFmtId="0" fontId="21" fillId="28" borderId="13" xfId="0" applyFont="1" applyFill="1" applyBorder="1" applyAlignment="1">
      <alignment vertical="center" wrapText="1"/>
    </xf>
    <xf numFmtId="0" fontId="21" fillId="29" borderId="13" xfId="0" applyFont="1" applyFill="1" applyBorder="1" applyAlignment="1">
      <alignment vertical="center" wrapText="1"/>
    </xf>
    <xf numFmtId="8" fontId="22" fillId="29" borderId="13" xfId="0" applyNumberFormat="1" applyFont="1" applyFill="1" applyBorder="1" applyAlignment="1">
      <alignment vertical="center"/>
    </xf>
    <xf numFmtId="0" fontId="17" fillId="0" borderId="0" xfId="0" applyFont="1"/>
    <xf numFmtId="0" fontId="23" fillId="0" borderId="0" xfId="0" applyFont="1"/>
    <xf numFmtId="0" fontId="20" fillId="25" borderId="13" xfId="0" applyFont="1" applyFill="1" applyBorder="1" applyAlignment="1">
      <alignment horizontal="left" vertical="center" wrapText="1"/>
    </xf>
    <xf numFmtId="8" fontId="20" fillId="25" borderId="13" xfId="0" applyNumberFormat="1" applyFont="1" applyFill="1" applyBorder="1" applyAlignment="1">
      <alignment horizontal="right" vertical="center"/>
    </xf>
    <xf numFmtId="0" fontId="19" fillId="25" borderId="13" xfId="0" applyFont="1" applyFill="1" applyBorder="1" applyAlignment="1">
      <alignment vertical="center" wrapText="1"/>
    </xf>
    <xf numFmtId="0" fontId="19" fillId="3" borderId="13" xfId="0" applyFont="1" applyFill="1" applyBorder="1" applyAlignment="1">
      <alignment vertical="center" wrapText="1"/>
    </xf>
    <xf numFmtId="0" fontId="20" fillId="3" borderId="13" xfId="0" applyFont="1" applyFill="1" applyBorder="1" applyAlignment="1">
      <alignment vertical="center" wrapText="1"/>
    </xf>
    <xf numFmtId="8" fontId="19" fillId="3" borderId="13" xfId="0" applyNumberFormat="1" applyFont="1" applyFill="1" applyBorder="1" applyAlignment="1">
      <alignment vertical="center"/>
    </xf>
    <xf numFmtId="8" fontId="19" fillId="3" borderId="13" xfId="0" applyNumberFormat="1" applyFont="1" applyFill="1" applyBorder="1" applyAlignment="1">
      <alignment horizontal="center" vertical="center"/>
    </xf>
    <xf numFmtId="0" fontId="20" fillId="26" borderId="13" xfId="0" applyFont="1" applyFill="1" applyBorder="1" applyAlignment="1">
      <alignment vertical="center" wrapText="1"/>
    </xf>
    <xf numFmtId="8" fontId="20" fillId="26" borderId="13" xfId="0" applyNumberFormat="1" applyFont="1" applyFill="1" applyBorder="1" applyAlignment="1">
      <alignment vertical="center"/>
    </xf>
    <xf numFmtId="8" fontId="19" fillId="26" borderId="13" xfId="0" applyNumberFormat="1" applyFont="1" applyFill="1" applyBorder="1" applyAlignment="1">
      <alignment vertical="center"/>
    </xf>
    <xf numFmtId="4" fontId="19" fillId="26" borderId="13" xfId="0" applyNumberFormat="1" applyFont="1" applyFill="1" applyBorder="1" applyAlignment="1">
      <alignment vertical="center"/>
    </xf>
    <xf numFmtId="0" fontId="19" fillId="27" borderId="13" xfId="0" applyFont="1" applyFill="1" applyBorder="1" applyAlignment="1">
      <alignment vertical="center" wrapText="1"/>
    </xf>
    <xf numFmtId="0" fontId="20" fillId="27" borderId="13" xfId="0" applyFont="1" applyFill="1" applyBorder="1" applyAlignment="1">
      <alignment vertical="center" wrapText="1"/>
    </xf>
    <xf numFmtId="8" fontId="19" fillId="27" borderId="13" xfId="0" applyNumberFormat="1" applyFont="1" applyFill="1" applyBorder="1" applyAlignment="1">
      <alignment vertical="center"/>
    </xf>
    <xf numFmtId="0" fontId="20" fillId="28" borderId="13" xfId="0" applyFont="1" applyFill="1" applyBorder="1" applyAlignment="1">
      <alignment vertical="center" wrapText="1"/>
    </xf>
    <xf numFmtId="8" fontId="20" fillId="28" borderId="13" xfId="0" applyNumberFormat="1" applyFont="1" applyFill="1" applyBorder="1" applyAlignment="1">
      <alignment vertical="center"/>
    </xf>
    <xf numFmtId="8" fontId="19" fillId="28" borderId="13" xfId="0" applyNumberFormat="1" applyFont="1" applyFill="1" applyBorder="1" applyAlignment="1">
      <alignment vertical="center"/>
    </xf>
    <xf numFmtId="0" fontId="19" fillId="28" borderId="13" xfId="0" applyFont="1" applyFill="1" applyBorder="1" applyAlignment="1">
      <alignment vertical="center" wrapText="1"/>
    </xf>
    <xf numFmtId="0" fontId="19" fillId="29" borderId="13" xfId="0" applyFont="1" applyFill="1" applyBorder="1" applyAlignment="1">
      <alignment vertical="center" wrapText="1"/>
    </xf>
    <xf numFmtId="0" fontId="20" fillId="29" borderId="13" xfId="0" applyFont="1" applyFill="1" applyBorder="1" applyAlignment="1">
      <alignment vertical="center" wrapText="1"/>
    </xf>
    <xf numFmtId="8" fontId="19" fillId="29" borderId="13" xfId="0" applyNumberFormat="1" applyFont="1" applyFill="1" applyBorder="1" applyAlignment="1">
      <alignment vertical="center"/>
    </xf>
    <xf numFmtId="0" fontId="0" fillId="21" borderId="13" xfId="0" applyFill="1" applyBorder="1" applyAlignment="1">
      <alignment vertical="center"/>
    </xf>
    <xf numFmtId="0" fontId="0" fillId="21" borderId="13" xfId="0" applyFill="1" applyBorder="1"/>
    <xf numFmtId="0" fontId="24" fillId="30" borderId="0" xfId="0" applyFont="1" applyFill="1" applyAlignment="1">
      <alignment horizontal="center"/>
    </xf>
    <xf numFmtId="0" fontId="25" fillId="30" borderId="0" xfId="0" applyFont="1" applyFill="1"/>
    <xf numFmtId="0" fontId="26" fillId="31" borderId="41" xfId="0" applyFont="1" applyFill="1" applyBorder="1" applyAlignment="1">
      <alignment horizontal="left" vertical="center"/>
    </xf>
    <xf numFmtId="0" fontId="26" fillId="0" borderId="41" xfId="0" applyFont="1" applyBorder="1" applyAlignment="1">
      <alignment horizontal="left" vertical="center"/>
    </xf>
    <xf numFmtId="49" fontId="0" fillId="0" borderId="0" xfId="0" applyNumberFormat="1"/>
    <xf numFmtId="0" fontId="27" fillId="32" borderId="42" xfId="0" applyFont="1" applyFill="1" applyBorder="1"/>
    <xf numFmtId="0" fontId="27" fillId="32" borderId="43" xfId="0" applyFont="1" applyFill="1" applyBorder="1"/>
    <xf numFmtId="0" fontId="2" fillId="33" borderId="0" xfId="0" applyFont="1" applyFill="1"/>
    <xf numFmtId="0" fontId="0" fillId="33" borderId="0" xfId="0" applyFill="1"/>
    <xf numFmtId="0" fontId="23" fillId="24" borderId="13" xfId="0" applyFont="1" applyFill="1" applyBorder="1" applyAlignment="1">
      <alignment vertical="center" wrapText="1"/>
    </xf>
    <xf numFmtId="8" fontId="23" fillId="24" borderId="13" xfId="0" applyNumberFormat="1" applyFont="1" applyFill="1" applyBorder="1" applyAlignment="1">
      <alignment vertical="center" wrapText="1"/>
    </xf>
    <xf numFmtId="9" fontId="23" fillId="24" borderId="13" xfId="0" applyNumberFormat="1" applyFont="1" applyFill="1" applyBorder="1" applyAlignment="1">
      <alignment vertical="center" wrapText="1"/>
    </xf>
    <xf numFmtId="9" fontId="12" fillId="24" borderId="13" xfId="0" applyNumberFormat="1" applyFont="1" applyFill="1" applyBorder="1" applyAlignment="1">
      <alignment vertical="center" wrapText="1"/>
    </xf>
    <xf numFmtId="0" fontId="12" fillId="25" borderId="13" xfId="0" applyFont="1" applyFill="1" applyBorder="1" applyAlignment="1">
      <alignment horizontal="left" vertical="center" wrapText="1"/>
    </xf>
    <xf numFmtId="0" fontId="19" fillId="25" borderId="13" xfId="0" applyFont="1" applyFill="1" applyBorder="1" applyAlignment="1">
      <alignment horizontal="left" vertical="center" wrapText="1"/>
    </xf>
    <xf numFmtId="9" fontId="12" fillId="25" borderId="13" xfId="0" applyNumberFormat="1" applyFont="1" applyFill="1" applyBorder="1" applyAlignment="1">
      <alignment vertical="center" wrapText="1"/>
    </xf>
    <xf numFmtId="9" fontId="12" fillId="3" borderId="13" xfId="0" applyNumberFormat="1" applyFont="1" applyFill="1" applyBorder="1" applyAlignment="1">
      <alignment vertical="center" wrapText="1"/>
    </xf>
    <xf numFmtId="8" fontId="19" fillId="3" borderId="13" xfId="0" applyNumberFormat="1" applyFont="1" applyFill="1" applyBorder="1" applyAlignment="1">
      <alignment horizontal="right" vertical="center"/>
    </xf>
    <xf numFmtId="9" fontId="12" fillId="26" borderId="13" xfId="0" applyNumberFormat="1" applyFont="1" applyFill="1" applyBorder="1" applyAlignment="1">
      <alignment vertical="center" wrapText="1"/>
    </xf>
    <xf numFmtId="9" fontId="21" fillId="27" borderId="13" xfId="0" applyNumberFormat="1" applyFont="1" applyFill="1" applyBorder="1" applyAlignment="1">
      <alignment vertical="center" wrapText="1"/>
    </xf>
    <xf numFmtId="8" fontId="23" fillId="27" borderId="13" xfId="0" applyNumberFormat="1" applyFont="1" applyFill="1" applyBorder="1" applyAlignment="1">
      <alignment vertical="center"/>
    </xf>
    <xf numFmtId="9" fontId="21" fillId="28" borderId="13" xfId="0" applyNumberFormat="1" applyFont="1" applyFill="1" applyBorder="1" applyAlignment="1">
      <alignment vertical="center" wrapText="1"/>
    </xf>
    <xf numFmtId="0" fontId="12" fillId="28" borderId="13" xfId="0" applyFont="1" applyFill="1" applyBorder="1" applyAlignment="1">
      <alignment vertical="center" wrapText="1"/>
    </xf>
    <xf numFmtId="9" fontId="21" fillId="29" borderId="13" xfId="0" applyNumberFormat="1" applyFont="1" applyFill="1" applyBorder="1" applyAlignment="1">
      <alignment vertical="center" wrapText="1"/>
    </xf>
    <xf numFmtId="0" fontId="12" fillId="29" borderId="13" xfId="0" applyFont="1" applyFill="1" applyBorder="1" applyAlignment="1">
      <alignment vertical="center" wrapText="1"/>
    </xf>
    <xf numFmtId="0" fontId="2" fillId="0" borderId="44" xfId="0" applyFont="1" applyBorder="1" applyAlignment="1">
      <alignment horizontal="center" vertical="top"/>
    </xf>
    <xf numFmtId="0" fontId="2" fillId="0" borderId="40" xfId="0" applyFont="1" applyBorder="1" applyAlignment="1">
      <alignment horizontal="center" vertical="top"/>
    </xf>
    <xf numFmtId="0" fontId="2" fillId="0" borderId="45" xfId="0" applyFont="1" applyBorder="1" applyAlignment="1">
      <alignment horizontal="center" vertical="top"/>
    </xf>
    <xf numFmtId="0" fontId="3" fillId="18" borderId="44" xfId="0" applyFont="1" applyFill="1" applyBorder="1" applyAlignment="1">
      <alignment horizontal="center" vertical="center"/>
    </xf>
    <xf numFmtId="0" fontId="3" fillId="18" borderId="40" xfId="0" applyFont="1" applyFill="1" applyBorder="1" applyAlignment="1">
      <alignment horizontal="center" vertical="center" wrapText="1"/>
    </xf>
    <xf numFmtId="49" fontId="3" fillId="18" borderId="44" xfId="0" applyNumberFormat="1" applyFont="1" applyFill="1" applyBorder="1" applyAlignment="1">
      <alignment horizontal="center" vertical="center" wrapText="1"/>
    </xf>
    <xf numFmtId="0" fontId="2" fillId="0" borderId="13" xfId="0" applyFont="1" applyBorder="1" applyAlignment="1">
      <alignment horizontal="center" vertical="center" wrapText="1"/>
    </xf>
    <xf numFmtId="49" fontId="2" fillId="2" borderId="46" xfId="0" applyNumberFormat="1" applyFont="1" applyFill="1" applyBorder="1" applyAlignment="1">
      <alignment horizontal="center" vertical="top" wrapText="1"/>
    </xf>
    <xf numFmtId="0" fontId="1" fillId="9" borderId="47" xfId="0" applyFont="1" applyFill="1" applyBorder="1" applyAlignment="1">
      <alignment horizontal="center" vertical="top"/>
    </xf>
    <xf numFmtId="0" fontId="6" fillId="9" borderId="48" xfId="0" applyFont="1" applyFill="1" applyBorder="1" applyAlignment="1">
      <alignment vertical="top" wrapText="1"/>
    </xf>
    <xf numFmtId="49" fontId="1" fillId="10" borderId="49" xfId="0" applyNumberFormat="1" applyFont="1" applyFill="1" applyBorder="1" applyAlignment="1">
      <alignment horizontal="center" vertical="center" wrapText="1"/>
    </xf>
    <xf numFmtId="0" fontId="1" fillId="10" borderId="50" xfId="0" applyFont="1" applyFill="1" applyBorder="1" applyAlignment="1">
      <alignment horizontal="left" vertical="center" wrapText="1"/>
    </xf>
    <xf numFmtId="0" fontId="1" fillId="18" borderId="51" xfId="0" applyFont="1" applyFill="1" applyBorder="1" applyAlignment="1">
      <alignment horizontal="center" vertical="center" wrapText="1"/>
    </xf>
    <xf numFmtId="0" fontId="1" fillId="18" borderId="51" xfId="0" applyFont="1" applyFill="1" applyBorder="1" applyAlignment="1">
      <alignment horizontal="left" vertical="center" wrapText="1"/>
    </xf>
    <xf numFmtId="0" fontId="1" fillId="18" borderId="51" xfId="0" applyFont="1" applyFill="1" applyBorder="1" applyAlignment="1">
      <alignment horizontal="center" vertical="center"/>
    </xf>
    <xf numFmtId="0" fontId="0" fillId="0" borderId="13" xfId="0" applyBorder="1" applyAlignment="1">
      <alignment vertical="top"/>
    </xf>
    <xf numFmtId="0" fontId="0" fillId="0" borderId="13" xfId="0" applyBorder="1" applyAlignment="1">
      <alignment vertical="top" wrapText="1"/>
    </xf>
    <xf numFmtId="49" fontId="2" fillId="34" borderId="1" xfId="0" applyNumberFormat="1" applyFont="1" applyFill="1" applyBorder="1" applyAlignment="1">
      <alignment horizontal="center" vertical="top" wrapText="1"/>
    </xf>
    <xf numFmtId="0" fontId="1" fillId="9" borderId="48" xfId="0" applyFont="1" applyFill="1" applyBorder="1" applyAlignment="1">
      <alignment vertical="top" wrapText="1"/>
    </xf>
    <xf numFmtId="49" fontId="1" fillId="10" borderId="47" xfId="0" applyNumberFormat="1" applyFont="1" applyFill="1" applyBorder="1" applyAlignment="1">
      <alignment horizontal="center" vertical="center" wrapText="1"/>
    </xf>
    <xf numFmtId="0" fontId="1" fillId="10" borderId="52" xfId="0" applyFont="1" applyFill="1" applyBorder="1" applyAlignment="1">
      <alignment horizontal="left" vertical="center" wrapText="1"/>
    </xf>
    <xf numFmtId="0" fontId="1" fillId="18" borderId="53" xfId="0" applyFont="1" applyFill="1" applyBorder="1" applyAlignment="1">
      <alignment horizontal="center" vertical="center" wrapText="1"/>
    </xf>
    <xf numFmtId="0" fontId="1" fillId="18" borderId="53" xfId="0" applyFont="1" applyFill="1" applyBorder="1" applyAlignment="1">
      <alignment horizontal="left" vertical="center" wrapText="1"/>
    </xf>
    <xf numFmtId="0" fontId="1" fillId="18" borderId="53" xfId="0" applyFont="1" applyFill="1" applyBorder="1" applyAlignment="1">
      <alignment horizontal="center" vertical="center"/>
    </xf>
    <xf numFmtId="49" fontId="1" fillId="10" borderId="54" xfId="0" applyNumberFormat="1" applyFont="1" applyFill="1" applyBorder="1" applyAlignment="1">
      <alignment horizontal="center" vertical="center" wrapText="1"/>
    </xf>
    <xf numFmtId="0" fontId="1" fillId="10" borderId="55" xfId="0" applyFont="1" applyFill="1" applyBorder="1" applyAlignment="1">
      <alignment horizontal="left" vertical="center" wrapText="1"/>
    </xf>
    <xf numFmtId="49" fontId="1" fillId="10" borderId="14" xfId="0" applyNumberFormat="1" applyFont="1" applyFill="1" applyBorder="1" applyAlignment="1">
      <alignment horizontal="center" vertical="center" wrapText="1"/>
    </xf>
    <xf numFmtId="0" fontId="1" fillId="10" borderId="56" xfId="0" applyFont="1" applyFill="1" applyBorder="1" applyAlignment="1">
      <alignment horizontal="left" vertical="center" wrapText="1"/>
    </xf>
    <xf numFmtId="9" fontId="0" fillId="0" borderId="13" xfId="0" applyNumberFormat="1" applyBorder="1" applyAlignment="1">
      <alignment vertical="top"/>
    </xf>
    <xf numFmtId="0" fontId="1" fillId="0" borderId="13" xfId="0" applyFont="1" applyBorder="1" applyAlignment="1">
      <alignment horizontal="left" vertical="center"/>
    </xf>
    <xf numFmtId="0" fontId="1" fillId="0" borderId="51" xfId="0" applyFont="1" applyBorder="1" applyAlignment="1">
      <alignment horizontal="center" vertical="center" wrapText="1"/>
    </xf>
    <xf numFmtId="0" fontId="1" fillId="0" borderId="51" xfId="0" applyFont="1" applyBorder="1" applyAlignment="1">
      <alignment vertical="center" wrapText="1"/>
    </xf>
    <xf numFmtId="0" fontId="1" fillId="0" borderId="51" xfId="0" applyFont="1" applyBorder="1" applyAlignment="1">
      <alignment vertical="center"/>
    </xf>
    <xf numFmtId="0" fontId="1" fillId="0" borderId="51" xfId="0" applyFont="1" applyBorder="1" applyAlignment="1">
      <alignment vertical="top" wrapText="1"/>
    </xf>
    <xf numFmtId="0" fontId="0" fillId="0" borderId="51" xfId="0" applyBorder="1" applyAlignment="1">
      <alignment vertical="center"/>
    </xf>
    <xf numFmtId="0" fontId="0" fillId="0" borderId="51" xfId="0" applyBorder="1" applyAlignment="1">
      <alignment vertical="top" wrapText="1"/>
    </xf>
    <xf numFmtId="0" fontId="0" fillId="0" borderId="51" xfId="0" applyBorder="1" applyAlignment="1">
      <alignment vertical="top"/>
    </xf>
    <xf numFmtId="0" fontId="1" fillId="10" borderId="56" xfId="0" applyFont="1" applyFill="1" applyBorder="1" applyAlignment="1">
      <alignment horizontal="center" vertical="center" wrapText="1"/>
    </xf>
    <xf numFmtId="0" fontId="1" fillId="9" borderId="48" xfId="0" applyFont="1" applyFill="1" applyBorder="1" applyAlignment="1">
      <alignment horizontal="left" vertical="top" wrapText="1"/>
    </xf>
    <xf numFmtId="0" fontId="1" fillId="10" borderId="52" xfId="0" applyFont="1" applyFill="1" applyBorder="1" applyAlignment="1">
      <alignment horizontal="center" vertical="center" wrapText="1"/>
    </xf>
    <xf numFmtId="0" fontId="1" fillId="10" borderId="55" xfId="0" applyFont="1" applyFill="1" applyBorder="1" applyAlignment="1">
      <alignment horizontal="center" vertical="center" wrapText="1"/>
    </xf>
    <xf numFmtId="0" fontId="1" fillId="9" borderId="54" xfId="0" applyFont="1" applyFill="1" applyBorder="1" applyAlignment="1">
      <alignment horizontal="center" vertical="top"/>
    </xf>
    <xf numFmtId="0" fontId="1" fillId="9" borderId="57" xfId="0" applyFont="1" applyFill="1" applyBorder="1" applyAlignment="1">
      <alignment vertical="top" wrapText="1"/>
    </xf>
    <xf numFmtId="0" fontId="1" fillId="9" borderId="12" xfId="0" applyFont="1" applyFill="1" applyBorder="1" applyAlignment="1">
      <alignment horizontal="center" vertical="top"/>
    </xf>
    <xf numFmtId="0" fontId="1" fillId="9" borderId="12" xfId="0" applyFont="1" applyFill="1" applyBorder="1" applyAlignment="1">
      <alignment horizontal="left" vertical="top" wrapText="1"/>
    </xf>
    <xf numFmtId="0" fontId="1" fillId="10" borderId="56" xfId="0" applyFont="1" applyFill="1" applyBorder="1" applyAlignment="1">
      <alignment vertical="center" wrapText="1"/>
    </xf>
    <xf numFmtId="0" fontId="1" fillId="9" borderId="0" xfId="0" applyFont="1" applyFill="1" applyBorder="1" applyAlignment="1">
      <alignment horizontal="center" vertical="top"/>
    </xf>
    <xf numFmtId="0" fontId="1" fillId="9" borderId="0" xfId="0" applyFont="1" applyFill="1" applyBorder="1" applyAlignment="1">
      <alignment horizontal="left" vertical="top" wrapText="1"/>
    </xf>
    <xf numFmtId="0" fontId="1" fillId="10" borderId="52" xfId="0" applyFont="1" applyFill="1" applyBorder="1" applyAlignment="1">
      <alignment vertical="center" wrapText="1"/>
    </xf>
    <xf numFmtId="0" fontId="1" fillId="10" borderId="55" xfId="0" applyFont="1" applyFill="1" applyBorder="1" applyAlignment="1">
      <alignment vertical="center" wrapText="1"/>
    </xf>
    <xf numFmtId="49" fontId="2" fillId="34" borderId="0" xfId="0" applyNumberFormat="1" applyFont="1" applyFill="1" applyBorder="1" applyAlignment="1">
      <alignment horizontal="center" vertical="top" wrapText="1"/>
    </xf>
    <xf numFmtId="49" fontId="1" fillId="10" borderId="12" xfId="0" applyNumberFormat="1" applyFont="1" applyFill="1" applyBorder="1" applyAlignment="1">
      <alignment horizontal="center" vertical="center" wrapText="1"/>
    </xf>
    <xf numFmtId="0" fontId="30" fillId="0" borderId="13" xfId="0" applyFont="1" applyBorder="1" applyAlignment="1">
      <alignment vertical="top" wrapText="1"/>
    </xf>
    <xf numFmtId="49" fontId="1" fillId="10" borderId="0" xfId="0" applyNumberFormat="1" applyFont="1" applyFill="1" applyBorder="1" applyAlignment="1">
      <alignment horizontal="center" vertical="center" wrapText="1"/>
    </xf>
    <xf numFmtId="49" fontId="1" fillId="10" borderId="58" xfId="0" applyNumberFormat="1" applyFont="1" applyFill="1" applyBorder="1" applyAlignment="1">
      <alignment horizontal="center" vertical="center" wrapText="1"/>
    </xf>
    <xf numFmtId="0" fontId="1" fillId="9" borderId="58" xfId="0" applyFont="1" applyFill="1" applyBorder="1" applyAlignment="1">
      <alignment horizontal="center" vertical="top"/>
    </xf>
    <xf numFmtId="0" fontId="1" fillId="9" borderId="58" xfId="0" applyFont="1" applyFill="1" applyBorder="1" applyAlignment="1">
      <alignment horizontal="left" vertical="top" wrapText="1"/>
    </xf>
    <xf numFmtId="0" fontId="1" fillId="21" borderId="18" xfId="0" applyFont="1" applyFill="1" applyBorder="1" applyAlignment="1">
      <alignment horizontal="center" vertical="center"/>
    </xf>
    <xf numFmtId="0" fontId="1" fillId="21" borderId="59" xfId="0" applyFont="1" applyFill="1" applyBorder="1" applyAlignment="1">
      <alignment horizontal="left" vertical="center" wrapText="1"/>
    </xf>
    <xf numFmtId="0" fontId="1" fillId="20" borderId="19" xfId="0" applyFont="1" applyFill="1" applyBorder="1" applyAlignment="1">
      <alignment vertical="top"/>
    </xf>
    <xf numFmtId="0" fontId="1" fillId="20" borderId="60" xfId="0" applyFont="1" applyFill="1" applyBorder="1" applyAlignment="1">
      <alignment vertical="top" wrapText="1"/>
    </xf>
    <xf numFmtId="0" fontId="1" fillId="21" borderId="61" xfId="0" applyFont="1" applyFill="1" applyBorder="1" applyAlignment="1">
      <alignment horizontal="center" vertical="center"/>
    </xf>
    <xf numFmtId="0" fontId="1" fillId="21" borderId="62" xfId="0" applyFont="1" applyFill="1" applyBorder="1" applyAlignment="1">
      <alignment horizontal="left" vertical="center" wrapText="1"/>
    </xf>
    <xf numFmtId="0" fontId="1" fillId="21" borderId="63" xfId="0" applyFont="1" applyFill="1" applyBorder="1" applyAlignment="1">
      <alignment horizontal="left" vertical="center" wrapText="1"/>
    </xf>
    <xf numFmtId="0" fontId="0" fillId="0" borderId="13" xfId="0" applyBorder="1" applyAlignment="1">
      <alignment horizontal="center" vertical="center" wrapText="1"/>
    </xf>
    <xf numFmtId="0" fontId="1" fillId="21" borderId="17" xfId="0" applyFont="1" applyFill="1" applyBorder="1" applyAlignment="1">
      <alignment horizontal="center" vertical="center"/>
    </xf>
    <xf numFmtId="0" fontId="1" fillId="21" borderId="56" xfId="0" applyFont="1" applyFill="1" applyBorder="1" applyAlignment="1">
      <alignment horizontal="left" vertical="center" wrapText="1"/>
    </xf>
    <xf numFmtId="0" fontId="1" fillId="21" borderId="19" xfId="0" applyFont="1" applyFill="1" applyBorder="1" applyAlignment="1">
      <alignment horizontal="center" vertical="center"/>
    </xf>
    <xf numFmtId="0" fontId="1" fillId="21" borderId="52" xfId="0" applyFont="1" applyFill="1" applyBorder="1" applyAlignment="1">
      <alignment horizontal="left" vertical="center" wrapText="1"/>
    </xf>
    <xf numFmtId="0" fontId="1" fillId="21" borderId="64" xfId="0" applyFont="1" applyFill="1" applyBorder="1" applyAlignment="1">
      <alignment horizontal="center" vertical="center"/>
    </xf>
    <xf numFmtId="0" fontId="1" fillId="21" borderId="55" xfId="0" applyFont="1" applyFill="1" applyBorder="1" applyAlignment="1">
      <alignment horizontal="left" vertical="center" wrapText="1"/>
    </xf>
    <xf numFmtId="0" fontId="1" fillId="21" borderId="17" xfId="0" applyFont="1" applyFill="1" applyBorder="1" applyAlignment="1">
      <alignment horizontal="center" vertical="center"/>
    </xf>
    <xf numFmtId="0" fontId="1" fillId="21" borderId="56" xfId="0" applyFont="1" applyFill="1" applyBorder="1" applyAlignment="1">
      <alignment vertical="center" wrapText="1"/>
    </xf>
    <xf numFmtId="0" fontId="1" fillId="21" borderId="56" xfId="0" applyFont="1" applyFill="1" applyBorder="1" applyAlignment="1">
      <alignment vertical="center" wrapText="1"/>
    </xf>
    <xf numFmtId="0" fontId="1" fillId="21" borderId="52" xfId="0" applyFont="1" applyFill="1" applyBorder="1" applyAlignment="1">
      <alignment vertical="center" wrapText="1"/>
    </xf>
    <xf numFmtId="49" fontId="1" fillId="12" borderId="21" xfId="0" applyNumberFormat="1" applyFont="1" applyFill="1" applyBorder="1" applyAlignment="1">
      <alignment horizontal="center" vertical="center" wrapText="1"/>
    </xf>
    <xf numFmtId="0" fontId="1" fillId="12" borderId="65" xfId="0" applyFont="1" applyFill="1" applyBorder="1" applyAlignment="1">
      <alignment vertical="center" wrapText="1"/>
    </xf>
    <xf numFmtId="0" fontId="1" fillId="11" borderId="66" xfId="0" applyFont="1" applyFill="1" applyBorder="1" applyAlignment="1">
      <alignment horizontal="center" vertical="top"/>
    </xf>
    <xf numFmtId="49" fontId="1" fillId="12" borderId="66" xfId="0" applyNumberFormat="1" applyFont="1" applyFill="1" applyBorder="1" applyAlignment="1">
      <alignment horizontal="center" vertical="center" wrapText="1"/>
    </xf>
    <xf numFmtId="0" fontId="1" fillId="12" borderId="52" xfId="0" applyFont="1" applyFill="1" applyBorder="1" applyAlignment="1">
      <alignment vertical="center" wrapText="1"/>
    </xf>
    <xf numFmtId="49" fontId="1" fillId="12" borderId="67" xfId="0" applyNumberFormat="1" applyFont="1" applyFill="1" applyBorder="1" applyAlignment="1">
      <alignment horizontal="center" vertical="center" wrapText="1"/>
    </xf>
    <xf numFmtId="0" fontId="1" fillId="12" borderId="68" xfId="0" applyFont="1" applyFill="1" applyBorder="1" applyAlignment="1">
      <alignment vertical="center" wrapText="1"/>
    </xf>
    <xf numFmtId="49" fontId="1" fillId="12" borderId="20" xfId="0" applyNumberFormat="1" applyFont="1" applyFill="1" applyBorder="1" applyAlignment="1">
      <alignment horizontal="center" vertical="center" wrapText="1"/>
    </xf>
    <xf numFmtId="49" fontId="1" fillId="12" borderId="0" xfId="0" applyNumberFormat="1" applyFont="1" applyFill="1" applyBorder="1" applyAlignment="1">
      <alignment horizontal="center" vertical="center" wrapText="1"/>
    </xf>
    <xf numFmtId="49" fontId="1" fillId="12" borderId="69" xfId="0" applyNumberFormat="1" applyFont="1" applyFill="1" applyBorder="1" applyAlignment="1">
      <alignment horizontal="center" vertical="center" wrapText="1"/>
    </xf>
    <xf numFmtId="0" fontId="1" fillId="12" borderId="20" xfId="0" applyFont="1" applyFill="1" applyBorder="1" applyAlignment="1">
      <alignment vertical="center" wrapText="1"/>
    </xf>
    <xf numFmtId="0" fontId="1" fillId="12" borderId="0" xfId="0" applyFont="1" applyFill="1" applyBorder="1" applyAlignment="1">
      <alignment vertical="center" wrapText="1"/>
    </xf>
    <xf numFmtId="0" fontId="1" fillId="12" borderId="69" xfId="0" applyFont="1" applyFill="1" applyBorder="1" applyAlignment="1">
      <alignment vertical="center" wrapText="1"/>
    </xf>
    <xf numFmtId="0" fontId="1" fillId="12" borderId="21" xfId="0" applyFont="1" applyFill="1" applyBorder="1" applyAlignment="1">
      <alignment vertical="center" wrapText="1"/>
    </xf>
    <xf numFmtId="0" fontId="1" fillId="12" borderId="66" xfId="0" applyFont="1" applyFill="1" applyBorder="1" applyAlignment="1">
      <alignment vertical="center" wrapText="1"/>
    </xf>
    <xf numFmtId="0" fontId="1" fillId="12" borderId="67" xfId="0" applyFont="1" applyFill="1" applyBorder="1" applyAlignment="1">
      <alignment vertical="center" wrapText="1"/>
    </xf>
    <xf numFmtId="0" fontId="1" fillId="11" borderId="21" xfId="0" applyFont="1" applyFill="1" applyBorder="1" applyAlignment="1">
      <alignment horizontal="left" vertical="top" wrapText="1"/>
    </xf>
    <xf numFmtId="0" fontId="1" fillId="11" borderId="66" xfId="0" applyFont="1" applyFill="1" applyBorder="1" applyAlignment="1">
      <alignment vertical="top"/>
    </xf>
    <xf numFmtId="0" fontId="1" fillId="11" borderId="3" xfId="0" applyFont="1" applyFill="1" applyBorder="1" applyAlignment="1">
      <alignment vertical="top" wrapText="1"/>
    </xf>
    <xf numFmtId="49" fontId="2" fillId="3" borderId="0" xfId="0" applyNumberFormat="1" applyFont="1" applyFill="1" applyAlignment="1">
      <alignment vertical="top" wrapText="1"/>
    </xf>
    <xf numFmtId="49" fontId="1" fillId="13" borderId="22" xfId="0" applyNumberFormat="1" applyFont="1" applyFill="1" applyBorder="1" applyAlignment="1">
      <alignment horizontal="center" vertical="center" wrapText="1"/>
    </xf>
    <xf numFmtId="0" fontId="1" fillId="13" borderId="70" xfId="0" applyFont="1" applyFill="1" applyBorder="1" applyAlignment="1">
      <alignment vertical="center" wrapText="1"/>
    </xf>
    <xf numFmtId="0" fontId="1" fillId="18" borderId="51" xfId="0" applyFont="1" applyFill="1" applyBorder="1" applyAlignment="1">
      <alignment horizontal="center" vertical="center" wrapText="1"/>
    </xf>
    <xf numFmtId="0" fontId="1" fillId="18" borderId="51" xfId="0" applyFont="1" applyFill="1" applyBorder="1" applyAlignment="1">
      <alignment horizontal="left" vertical="center" wrapText="1"/>
    </xf>
    <xf numFmtId="0" fontId="1" fillId="14" borderId="71" xfId="0" applyFont="1" applyFill="1" applyBorder="1" applyAlignment="1">
      <alignment horizontal="center" vertical="top"/>
    </xf>
    <xf numFmtId="0" fontId="1" fillId="14" borderId="72" xfId="0" applyFont="1" applyFill="1" applyBorder="1" applyAlignment="1">
      <alignment horizontal="left" vertical="top" wrapText="1"/>
    </xf>
    <xf numFmtId="49" fontId="1" fillId="13" borderId="71" xfId="0" applyNumberFormat="1" applyFont="1" applyFill="1" applyBorder="1" applyAlignment="1">
      <alignment horizontal="center" vertical="center" wrapText="1"/>
    </xf>
    <xf numFmtId="0" fontId="1" fillId="13" borderId="52" xfId="0" applyFont="1" applyFill="1" applyBorder="1" applyAlignment="1">
      <alignment vertical="center" wrapText="1"/>
    </xf>
    <xf numFmtId="0" fontId="1" fillId="18" borderId="53" xfId="0" applyFont="1" applyFill="1" applyBorder="1" applyAlignment="1">
      <alignment horizontal="center" vertical="center" wrapText="1"/>
    </xf>
    <xf numFmtId="0" fontId="1" fillId="18" borderId="53" xfId="0" applyFont="1" applyFill="1" applyBorder="1" applyAlignment="1">
      <alignment horizontal="left" vertical="center" wrapText="1"/>
    </xf>
    <xf numFmtId="49" fontId="1" fillId="13" borderId="73" xfId="0" applyNumberFormat="1" applyFont="1" applyFill="1" applyBorder="1" applyAlignment="1">
      <alignment horizontal="center" vertical="center" wrapText="1"/>
    </xf>
    <xf numFmtId="0" fontId="1" fillId="13" borderId="74" xfId="0" applyFont="1" applyFill="1" applyBorder="1" applyAlignment="1">
      <alignment vertical="center" wrapText="1"/>
    </xf>
    <xf numFmtId="0" fontId="1" fillId="18" borderId="51" xfId="0" applyFont="1" applyFill="1" applyBorder="1" applyAlignment="1">
      <alignment horizontal="center" vertical="center"/>
    </xf>
    <xf numFmtId="0" fontId="1" fillId="0" borderId="51" xfId="0" applyFont="1" applyBorder="1" applyAlignment="1">
      <alignment horizontal="left" vertical="center" wrapText="1"/>
    </xf>
    <xf numFmtId="0" fontId="1" fillId="0" borderId="51" xfId="0" applyFont="1" applyBorder="1" applyAlignment="1">
      <alignment horizontal="center" vertical="center"/>
    </xf>
    <xf numFmtId="0" fontId="0" fillId="0" borderId="51" xfId="0" applyBorder="1" applyAlignment="1">
      <alignment horizontal="center" vertical="center"/>
    </xf>
    <xf numFmtId="0" fontId="0" fillId="0" borderId="51" xfId="0" applyBorder="1" applyAlignment="1">
      <alignment horizontal="left" vertical="top" wrapText="1"/>
    </xf>
    <xf numFmtId="0" fontId="0" fillId="0" borderId="51" xfId="0" applyBorder="1" applyAlignment="1">
      <alignment horizontal="right" vertical="top"/>
    </xf>
    <xf numFmtId="49" fontId="2" fillId="4" borderId="72" xfId="0" applyNumberFormat="1" applyFont="1" applyFill="1" applyBorder="1" applyAlignment="1">
      <alignment horizontal="center" vertical="top" wrapText="1"/>
    </xf>
    <xf numFmtId="0" fontId="1" fillId="14" borderId="71" xfId="0" applyFont="1" applyFill="1" applyBorder="1" applyAlignment="1">
      <alignment horizontal="center" vertical="top"/>
    </xf>
    <xf numFmtId="0" fontId="1" fillId="14" borderId="72" xfId="0" applyFont="1" applyFill="1" applyBorder="1" applyAlignment="1">
      <alignment horizontal="center" vertical="top" wrapText="1"/>
    </xf>
    <xf numFmtId="49" fontId="1" fillId="13" borderId="71" xfId="0" applyNumberFormat="1" applyFont="1" applyFill="1" applyBorder="1" applyAlignment="1">
      <alignment horizontal="center" vertical="center" wrapText="1"/>
    </xf>
    <xf numFmtId="0" fontId="1" fillId="13" borderId="52" xfId="0" applyFont="1" applyFill="1" applyBorder="1" applyAlignment="1">
      <alignment horizontal="center" vertical="center" wrapText="1"/>
    </xf>
    <xf numFmtId="0" fontId="1" fillId="0" borderId="51" xfId="0" applyFont="1" applyBorder="1" applyAlignment="1">
      <alignment horizontal="center" vertical="center" wrapText="1"/>
    </xf>
    <xf numFmtId="0" fontId="0" fillId="0" borderId="51" xfId="0" applyBorder="1" applyAlignment="1">
      <alignment horizontal="center" vertical="center"/>
    </xf>
    <xf numFmtId="0" fontId="1" fillId="0" borderId="51" xfId="0" applyFont="1" applyBorder="1" applyAlignment="1">
      <alignment horizontal="left" vertical="top" wrapText="1"/>
    </xf>
    <xf numFmtId="0" fontId="0" fillId="0" borderId="51" xfId="0" applyBorder="1" applyAlignment="1">
      <alignment horizontal="left" vertical="top" wrapText="1"/>
    </xf>
    <xf numFmtId="0" fontId="0" fillId="0" borderId="51" xfId="0" applyBorder="1" applyAlignment="1">
      <alignment horizontal="left" vertical="top"/>
    </xf>
    <xf numFmtId="0" fontId="0" fillId="0" borderId="51" xfId="0" applyBorder="1" applyAlignment="1">
      <alignment horizontal="right" vertical="top"/>
    </xf>
    <xf numFmtId="0" fontId="0" fillId="0" borderId="51" xfId="0" applyBorder="1" applyAlignment="1">
      <alignment horizontal="center" vertical="top"/>
    </xf>
    <xf numFmtId="0" fontId="0" fillId="0" borderId="51" xfId="0" applyBorder="1" applyAlignment="1">
      <alignment horizontal="center" vertical="top" wrapText="1"/>
    </xf>
    <xf numFmtId="0" fontId="0" fillId="0" borderId="75" xfId="0" applyBorder="1" applyAlignment="1">
      <alignment vertical="top"/>
    </xf>
    <xf numFmtId="0" fontId="1" fillId="14" borderId="73" xfId="0" applyFont="1" applyFill="1" applyBorder="1" applyAlignment="1">
      <alignment horizontal="center" vertical="top"/>
    </xf>
    <xf numFmtId="0" fontId="1" fillId="14" borderId="76" xfId="0" applyFont="1" applyFill="1" applyBorder="1" applyAlignment="1">
      <alignment horizontal="center" vertical="top" wrapText="1"/>
    </xf>
    <xf numFmtId="49" fontId="1" fillId="13" borderId="73" xfId="0" applyNumberFormat="1" applyFont="1" applyFill="1" applyBorder="1" applyAlignment="1">
      <alignment horizontal="center" vertical="center" wrapText="1"/>
    </xf>
    <xf numFmtId="0" fontId="1" fillId="13" borderId="74" xfId="0" applyFont="1" applyFill="1" applyBorder="1" applyAlignment="1">
      <alignment horizontal="center" vertical="center" wrapText="1"/>
    </xf>
    <xf numFmtId="0" fontId="1" fillId="0" borderId="53" xfId="0" applyFont="1" applyBorder="1" applyAlignment="1">
      <alignment horizontal="center" vertical="center" wrapText="1"/>
    </xf>
    <xf numFmtId="0" fontId="1" fillId="0" borderId="53" xfId="0" applyFont="1" applyBorder="1" applyAlignment="1">
      <alignment vertical="center"/>
    </xf>
    <xf numFmtId="0" fontId="1" fillId="0" borderId="53" xfId="0" applyFont="1" applyBorder="1" applyAlignment="1">
      <alignment vertical="top" wrapText="1"/>
    </xf>
    <xf numFmtId="0" fontId="0" fillId="0" borderId="53" xfId="0" applyBorder="1" applyAlignment="1">
      <alignment horizontal="center" vertical="center"/>
    </xf>
    <xf numFmtId="0" fontId="1" fillId="0" borderId="53" xfId="0" applyFont="1" applyBorder="1" applyAlignment="1">
      <alignment horizontal="left" vertical="top" wrapText="1"/>
    </xf>
    <xf numFmtId="0" fontId="0" fillId="0" borderId="53" xfId="0" applyBorder="1" applyAlignment="1">
      <alignment horizontal="left" vertical="top" wrapText="1"/>
    </xf>
    <xf numFmtId="0" fontId="0" fillId="0" borderId="53" xfId="0" applyBorder="1" applyAlignment="1">
      <alignment horizontal="left" vertical="top"/>
    </xf>
    <xf numFmtId="0" fontId="0" fillId="0" borderId="53" xfId="0" applyBorder="1" applyAlignment="1">
      <alignment horizontal="right" vertical="top"/>
    </xf>
    <xf numFmtId="0" fontId="0" fillId="0" borderId="53" xfId="0" applyBorder="1" applyAlignment="1">
      <alignment horizontal="center" vertical="top"/>
    </xf>
    <xf numFmtId="0" fontId="0" fillId="0" borderId="53" xfId="0" applyBorder="1" applyAlignment="1">
      <alignment horizontal="center" vertical="top" wrapText="1"/>
    </xf>
    <xf numFmtId="0" fontId="1" fillId="14" borderId="4" xfId="0" applyFont="1" applyFill="1" applyBorder="1" applyAlignment="1">
      <alignment horizontal="left" vertical="top" wrapText="1"/>
    </xf>
    <xf numFmtId="49" fontId="1" fillId="13" borderId="22" xfId="0" applyNumberFormat="1" applyFont="1" applyFill="1" applyBorder="1" applyAlignment="1">
      <alignment horizontal="center" vertical="center" wrapText="1"/>
    </xf>
    <xf numFmtId="0" fontId="1" fillId="13" borderId="70" xfId="0" applyFont="1" applyFill="1" applyBorder="1" applyAlignment="1">
      <alignment vertical="center" wrapText="1"/>
    </xf>
    <xf numFmtId="0" fontId="1" fillId="14" borderId="71" xfId="0" applyFont="1" applyFill="1" applyBorder="1" applyAlignment="1">
      <alignment vertical="top"/>
    </xf>
    <xf numFmtId="0" fontId="1" fillId="14" borderId="72" xfId="0" applyFont="1" applyFill="1" applyBorder="1" applyAlignment="1">
      <alignment horizontal="left" vertical="top" wrapText="1"/>
    </xf>
    <xf numFmtId="0" fontId="1" fillId="13" borderId="52" xfId="0" applyFont="1" applyFill="1" applyBorder="1" applyAlignment="1">
      <alignment vertical="center" wrapText="1"/>
    </xf>
    <xf numFmtId="0" fontId="1" fillId="13" borderId="74" xfId="0" applyFont="1" applyFill="1" applyBorder="1" applyAlignment="1">
      <alignment vertical="center" wrapText="1"/>
    </xf>
    <xf numFmtId="0" fontId="1" fillId="14" borderId="73" xfId="0" applyFont="1" applyFill="1" applyBorder="1" applyAlignment="1">
      <alignment vertical="top"/>
    </xf>
    <xf numFmtId="0" fontId="1" fillId="14" borderId="77" xfId="0" applyFont="1" applyFill="1" applyBorder="1" applyAlignment="1">
      <alignment horizontal="left" vertical="top" wrapText="1"/>
    </xf>
    <xf numFmtId="49" fontId="2" fillId="5" borderId="0" xfId="0" applyNumberFormat="1" applyFont="1" applyFill="1" applyAlignment="1">
      <alignment horizontal="center" vertical="top" wrapText="1"/>
    </xf>
    <xf numFmtId="0" fontId="1" fillId="15" borderId="78" xfId="0" applyFont="1" applyFill="1" applyBorder="1" applyAlignment="1">
      <alignment horizontal="left" vertical="top"/>
    </xf>
    <xf numFmtId="0" fontId="1" fillId="15" borderId="79" xfId="0" applyFont="1" applyFill="1" applyBorder="1" applyAlignment="1">
      <alignment horizontal="left" vertical="top" wrapText="1"/>
    </xf>
    <xf numFmtId="49" fontId="1" fillId="16" borderId="26" xfId="0" applyNumberFormat="1" applyFont="1" applyFill="1" applyBorder="1" applyAlignment="1">
      <alignment horizontal="center" vertical="center" wrapText="1"/>
    </xf>
    <xf numFmtId="49" fontId="1" fillId="16" borderId="70" xfId="0" applyNumberFormat="1" applyFont="1" applyFill="1" applyBorder="1" applyAlignment="1">
      <alignment horizontal="left" vertical="center" wrapText="1"/>
    </xf>
    <xf numFmtId="0" fontId="0" fillId="0" borderId="13" xfId="0" applyBorder="1" applyAlignment="1">
      <alignment horizontal="left" vertical="center" wrapText="1"/>
    </xf>
    <xf numFmtId="49" fontId="1" fillId="16" borderId="25" xfId="0" applyNumberFormat="1" applyFont="1" applyFill="1" applyBorder="1" applyAlignment="1">
      <alignment horizontal="center" vertical="center" wrapText="1"/>
    </xf>
    <xf numFmtId="49" fontId="1" fillId="16" borderId="80" xfId="0" applyNumberFormat="1" applyFont="1" applyFill="1" applyBorder="1" applyAlignment="1">
      <alignment horizontal="left" vertical="center" wrapText="1"/>
    </xf>
    <xf numFmtId="0" fontId="1" fillId="15" borderId="27" xfId="0" applyFont="1" applyFill="1" applyBorder="1" applyAlignment="1">
      <alignment horizontal="center" vertical="top"/>
    </xf>
    <xf numFmtId="0" fontId="1" fillId="15" borderId="5" xfId="0" applyFont="1" applyFill="1" applyBorder="1" applyAlignment="1">
      <alignment horizontal="left" vertical="top" wrapText="1"/>
    </xf>
    <xf numFmtId="49" fontId="1" fillId="16" borderId="27" xfId="0" applyNumberFormat="1" applyFont="1" applyFill="1" applyBorder="1" applyAlignment="1">
      <alignment horizontal="center" vertical="center" wrapText="1"/>
    </xf>
    <xf numFmtId="0" fontId="1" fillId="16" borderId="81" xfId="0" applyFont="1" applyFill="1" applyBorder="1" applyAlignment="1">
      <alignment vertical="center" wrapText="1"/>
    </xf>
    <xf numFmtId="0" fontId="1" fillId="15" borderId="78" xfId="0" applyFont="1" applyFill="1" applyBorder="1" applyAlignment="1">
      <alignment horizontal="center" vertical="top"/>
    </xf>
    <xf numFmtId="0" fontId="1" fillId="15" borderId="79" xfId="0" applyFont="1" applyFill="1" applyBorder="1" applyAlignment="1">
      <alignment horizontal="left" vertical="top" wrapText="1"/>
    </xf>
    <xf numFmtId="49" fontId="1" fillId="16" borderId="78" xfId="0" applyNumberFormat="1" applyFont="1" applyFill="1" applyBorder="1" applyAlignment="1">
      <alignment horizontal="center" vertical="center" wrapText="1"/>
    </xf>
    <xf numFmtId="0" fontId="1" fillId="16" borderId="52" xfId="0" applyFont="1" applyFill="1" applyBorder="1" applyAlignment="1">
      <alignment vertical="center" wrapText="1"/>
    </xf>
    <xf numFmtId="0" fontId="1" fillId="16" borderId="80" xfId="0" applyFont="1" applyFill="1" applyBorder="1" applyAlignment="1">
      <alignment vertical="center" wrapText="1"/>
    </xf>
    <xf numFmtId="0" fontId="1" fillId="16" borderId="81" xfId="0" applyFont="1" applyFill="1" applyBorder="1" applyAlignment="1">
      <alignment horizontal="left" vertical="center" wrapText="1"/>
    </xf>
    <xf numFmtId="0" fontId="1" fillId="16" borderId="52" xfId="0" applyFont="1" applyFill="1" applyBorder="1" applyAlignment="1">
      <alignment horizontal="left" vertical="center" wrapText="1"/>
    </xf>
    <xf numFmtId="0" fontId="1" fillId="16" borderId="80" xfId="0" applyFont="1" applyFill="1" applyBorder="1" applyAlignment="1">
      <alignment horizontal="left" vertical="center" wrapText="1"/>
    </xf>
    <xf numFmtId="49" fontId="1" fillId="16" borderId="25" xfId="0" applyNumberFormat="1" applyFont="1" applyFill="1" applyBorder="1" applyAlignment="1">
      <alignment horizontal="center" vertical="center" wrapText="1"/>
    </xf>
    <xf numFmtId="0" fontId="1" fillId="16" borderId="0" xfId="0" applyFont="1" applyFill="1" applyAlignment="1">
      <alignment horizontal="left" vertical="center" wrapText="1"/>
    </xf>
    <xf numFmtId="0" fontId="1" fillId="15" borderId="25" xfId="0" applyFont="1" applyFill="1" applyBorder="1" applyAlignment="1">
      <alignment horizontal="center" vertical="top"/>
    </xf>
    <xf numFmtId="0" fontId="1" fillId="15" borderId="78" xfId="0" applyFont="1" applyFill="1" applyBorder="1" applyAlignment="1">
      <alignment horizontal="center" vertical="top"/>
    </xf>
    <xf numFmtId="0" fontId="1" fillId="15" borderId="79" xfId="0" applyFont="1" applyFill="1" applyBorder="1" applyAlignment="1">
      <alignment horizontal="center" vertical="top" wrapText="1"/>
    </xf>
    <xf numFmtId="49" fontId="2" fillId="6" borderId="6" xfId="0" applyNumberFormat="1" applyFont="1" applyFill="1" applyBorder="1" applyAlignment="1">
      <alignment horizontal="center" vertical="top" wrapText="1"/>
    </xf>
    <xf numFmtId="0" fontId="1" fillId="18" borderId="29" xfId="0" applyFont="1" applyFill="1" applyBorder="1" applyAlignment="1">
      <alignment horizontal="center" vertical="top"/>
    </xf>
    <xf numFmtId="0" fontId="1" fillId="18" borderId="6" xfId="0" applyFont="1" applyFill="1" applyBorder="1" applyAlignment="1">
      <alignment horizontal="left" vertical="top" wrapText="1"/>
    </xf>
    <xf numFmtId="49" fontId="1" fillId="17" borderId="78" xfId="0" applyNumberFormat="1" applyFont="1" applyFill="1" applyBorder="1" applyAlignment="1">
      <alignment horizontal="center" vertical="center" wrapText="1"/>
    </xf>
    <xf numFmtId="0" fontId="1" fillId="17" borderId="81" xfId="0" applyFont="1" applyFill="1" applyBorder="1" applyAlignment="1">
      <alignment horizontal="left" vertical="center" wrapText="1"/>
    </xf>
    <xf numFmtId="0" fontId="1" fillId="17" borderId="52" xfId="0" applyFont="1" applyFill="1" applyBorder="1" applyAlignment="1">
      <alignment horizontal="left" vertical="center" wrapText="1"/>
    </xf>
    <xf numFmtId="49" fontId="1" fillId="17" borderId="82" xfId="0" applyNumberFormat="1" applyFont="1" applyFill="1" applyBorder="1" applyAlignment="1">
      <alignment horizontal="center" vertical="center" wrapText="1"/>
    </xf>
    <xf numFmtId="0" fontId="1" fillId="17" borderId="83" xfId="0" applyFont="1" applyFill="1" applyBorder="1" applyAlignment="1">
      <alignment horizontal="left" vertical="center" wrapText="1"/>
    </xf>
    <xf numFmtId="49" fontId="1" fillId="17" borderId="84" xfId="0" applyNumberFormat="1" applyFont="1" applyFill="1" applyBorder="1" applyAlignment="1">
      <alignment horizontal="center" vertical="center" wrapText="1"/>
    </xf>
    <xf numFmtId="0" fontId="1" fillId="17" borderId="85" xfId="0" applyFont="1" applyFill="1" applyBorder="1" applyAlignment="1">
      <alignment horizontal="center" vertical="center" wrapText="1"/>
    </xf>
    <xf numFmtId="0" fontId="1" fillId="17" borderId="52" xfId="0" applyFont="1" applyFill="1" applyBorder="1" applyAlignment="1">
      <alignment horizontal="center" vertical="center" wrapText="1"/>
    </xf>
    <xf numFmtId="0" fontId="1" fillId="17" borderId="83" xfId="0" applyFont="1" applyFill="1" applyBorder="1" applyAlignment="1">
      <alignment horizontal="center" vertical="center" wrapText="1"/>
    </xf>
    <xf numFmtId="49" fontId="1" fillId="17" borderId="31" xfId="0" applyNumberFormat="1" applyFont="1" applyFill="1" applyBorder="1" applyAlignment="1">
      <alignment horizontal="center" vertical="center" wrapText="1"/>
    </xf>
    <xf numFmtId="0" fontId="1" fillId="17" borderId="85" xfId="0" applyFont="1" applyFill="1" applyBorder="1" applyAlignment="1">
      <alignment horizontal="left" vertical="center" wrapText="1"/>
    </xf>
    <xf numFmtId="49" fontId="1" fillId="17" borderId="0" xfId="0" applyNumberFormat="1" applyFont="1" applyFill="1" applyBorder="1" applyAlignment="1">
      <alignment horizontal="center" vertical="center" wrapText="1"/>
    </xf>
    <xf numFmtId="49" fontId="1" fillId="17" borderId="86" xfId="0" applyNumberFormat="1" applyFont="1" applyFill="1" applyBorder="1" applyAlignment="1">
      <alignment horizontal="center" vertical="center" wrapText="1"/>
    </xf>
    <xf numFmtId="49" fontId="1" fillId="17" borderId="30" xfId="0" applyNumberFormat="1" applyFont="1" applyFill="1" applyBorder="1" applyAlignment="1">
      <alignment horizontal="center" vertical="center" wrapText="1"/>
    </xf>
    <xf numFmtId="49" fontId="1" fillId="17" borderId="29" xfId="0" applyNumberFormat="1" applyFont="1" applyFill="1" applyBorder="1" applyAlignment="1">
      <alignment horizontal="center" vertical="center" wrapText="1"/>
    </xf>
    <xf numFmtId="0" fontId="1" fillId="18" borderId="87" xfId="0" applyFont="1" applyFill="1" applyBorder="1" applyAlignment="1">
      <alignment horizontal="center" vertical="top"/>
    </xf>
    <xf numFmtId="0" fontId="1" fillId="18" borderId="88" xfId="0" applyFont="1" applyFill="1" applyBorder="1" applyAlignment="1">
      <alignment horizontal="left" vertical="top" wrapText="1"/>
    </xf>
    <xf numFmtId="49" fontId="1" fillId="17" borderId="87" xfId="0" applyNumberFormat="1" applyFont="1" applyFill="1" applyBorder="1" applyAlignment="1">
      <alignment horizontal="center" vertical="center" wrapText="1"/>
    </xf>
    <xf numFmtId="0" fontId="1" fillId="18" borderId="32" xfId="0" applyFont="1" applyFill="1" applyBorder="1" applyAlignment="1">
      <alignment horizontal="center" vertical="top"/>
    </xf>
    <xf numFmtId="0" fontId="1" fillId="18" borderId="7" xfId="0" applyFont="1" applyFill="1" applyBorder="1" applyAlignment="1">
      <alignment horizontal="left" vertical="top" wrapText="1"/>
    </xf>
    <xf numFmtId="49" fontId="1" fillId="17" borderId="32" xfId="0" applyNumberFormat="1" applyFont="1" applyFill="1" applyBorder="1" applyAlignment="1">
      <alignment horizontal="center" vertical="center" wrapText="1"/>
    </xf>
    <xf numFmtId="0" fontId="1" fillId="17" borderId="33" xfId="0" applyFont="1" applyFill="1" applyBorder="1" applyAlignment="1">
      <alignment horizontal="left" vertical="center" wrapText="1"/>
    </xf>
    <xf numFmtId="0" fontId="5" fillId="8" borderId="0" xfId="0" applyFont="1" applyFill="1" applyAlignment="1">
      <alignment horizontal="center" vertical="top" wrapText="1"/>
    </xf>
    <xf numFmtId="0" fontId="1" fillId="19" borderId="9" xfId="0" applyFont="1" applyFill="1" applyBorder="1" applyAlignment="1">
      <alignment horizontal="center" vertical="top"/>
    </xf>
    <xf numFmtId="0" fontId="1" fillId="19" borderId="8" xfId="0" applyFont="1" applyFill="1" applyBorder="1" applyAlignment="1">
      <alignment horizontal="left" vertical="top" wrapText="1"/>
    </xf>
    <xf numFmtId="0" fontId="1" fillId="22" borderId="34" xfId="0" applyFont="1" applyFill="1" applyBorder="1" applyAlignment="1">
      <alignment horizontal="center" vertical="center" wrapText="1"/>
    </xf>
    <xf numFmtId="0" fontId="1" fillId="22" borderId="89" xfId="0" applyFont="1" applyFill="1" applyBorder="1" applyAlignment="1">
      <alignment horizontal="left" vertical="center" wrapText="1"/>
    </xf>
    <xf numFmtId="0" fontId="1" fillId="19" borderId="0" xfId="0" applyFont="1" applyFill="1" applyBorder="1" applyAlignment="1">
      <alignment horizontal="center" vertical="top"/>
    </xf>
    <xf numFmtId="0" fontId="1" fillId="19" borderId="90" xfId="0" applyFont="1" applyFill="1" applyBorder="1" applyAlignment="1">
      <alignment horizontal="left" vertical="top" wrapText="1"/>
    </xf>
    <xf numFmtId="0" fontId="1" fillId="22" borderId="91" xfId="0" applyFont="1" applyFill="1" applyBorder="1" applyAlignment="1">
      <alignment horizontal="center" vertical="center" wrapText="1"/>
    </xf>
    <xf numFmtId="0" fontId="1" fillId="22" borderId="52" xfId="0" applyFont="1" applyFill="1" applyBorder="1" applyAlignment="1">
      <alignment horizontal="left" vertical="center" wrapText="1"/>
    </xf>
    <xf numFmtId="0" fontId="0" fillId="0" borderId="13" xfId="0" applyBorder="1" applyAlignment="1">
      <alignment horizontal="right" vertical="top" wrapText="1"/>
    </xf>
    <xf numFmtId="0" fontId="1" fillId="0" borderId="51" xfId="0" applyFont="1" applyBorder="1" applyAlignment="1">
      <alignment horizontal="left" vertical="center" wrapText="1"/>
    </xf>
    <xf numFmtId="0" fontId="1" fillId="0" borderId="51" xfId="0" applyFont="1" applyBorder="1" applyAlignment="1">
      <alignment horizontal="center" vertical="top" wrapText="1"/>
    </xf>
    <xf numFmtId="0" fontId="1" fillId="22" borderId="92" xfId="0" applyFont="1" applyFill="1" applyBorder="1" applyAlignment="1">
      <alignment horizontal="center" vertical="center" wrapText="1"/>
    </xf>
    <xf numFmtId="0" fontId="1" fillId="22" borderId="93" xfId="0" applyFont="1" applyFill="1" applyBorder="1" applyAlignment="1">
      <alignment horizontal="left" vertical="center" wrapText="1"/>
    </xf>
    <xf numFmtId="0" fontId="1" fillId="0" borderId="53" xfId="0" applyFont="1" applyBorder="1" applyAlignment="1">
      <alignment horizontal="left" vertical="center" wrapText="1"/>
    </xf>
    <xf numFmtId="0" fontId="1" fillId="0" borderId="53" xfId="0" applyFont="1" applyBorder="1" applyAlignment="1">
      <alignment horizontal="center" vertical="top" wrapText="1"/>
    </xf>
    <xf numFmtId="0" fontId="1" fillId="19" borderId="8" xfId="0" applyFont="1" applyFill="1" applyBorder="1" applyAlignment="1">
      <alignment horizontal="center" vertical="top" wrapText="1"/>
    </xf>
    <xf numFmtId="0" fontId="1" fillId="22" borderId="89" xfId="0" applyFont="1" applyFill="1" applyBorder="1" applyAlignment="1">
      <alignment horizontal="left" vertical="center" wrapText="1"/>
    </xf>
    <xf numFmtId="0" fontId="1" fillId="19" borderId="90" xfId="0" applyFont="1" applyFill="1" applyBorder="1" applyAlignment="1">
      <alignment horizontal="center" vertical="top" wrapText="1"/>
    </xf>
    <xf numFmtId="0" fontId="1" fillId="22" borderId="34" xfId="0" applyFont="1" applyFill="1" applyBorder="1" applyAlignment="1">
      <alignment horizontal="center" vertical="top" wrapText="1"/>
    </xf>
    <xf numFmtId="0" fontId="1" fillId="22" borderId="89" xfId="0" applyFont="1" applyFill="1" applyBorder="1" applyAlignment="1">
      <alignment horizontal="center" vertical="top" wrapText="1"/>
    </xf>
    <xf numFmtId="0" fontId="1" fillId="22" borderId="91" xfId="0" applyFont="1" applyFill="1" applyBorder="1" applyAlignment="1">
      <alignment horizontal="center" vertical="top" wrapText="1"/>
    </xf>
    <xf numFmtId="0" fontId="1" fillId="22" borderId="52" xfId="0" applyFont="1" applyFill="1" applyBorder="1" applyAlignment="1">
      <alignment horizontal="center" vertical="top" wrapText="1"/>
    </xf>
    <xf numFmtId="0" fontId="1" fillId="22" borderId="92" xfId="0" applyFont="1" applyFill="1" applyBorder="1" applyAlignment="1">
      <alignment horizontal="center" vertical="top" wrapText="1"/>
    </xf>
    <xf numFmtId="0" fontId="1" fillId="22" borderId="93" xfId="0" applyFont="1" applyFill="1" applyBorder="1" applyAlignment="1">
      <alignment horizontal="center" vertical="top" wrapText="1"/>
    </xf>
    <xf numFmtId="0" fontId="1" fillId="22" borderId="94" xfId="0" applyFont="1" applyFill="1" applyBorder="1" applyAlignment="1">
      <alignment horizontal="center" vertical="center" wrapText="1"/>
    </xf>
    <xf numFmtId="0" fontId="1" fillId="22" borderId="52" xfId="0" applyFont="1" applyFill="1" applyBorder="1" applyAlignment="1">
      <alignment horizontal="center" vertical="center" wrapText="1"/>
    </xf>
    <xf numFmtId="0" fontId="1" fillId="22" borderId="95" xfId="0" applyFont="1" applyFill="1" applyBorder="1" applyAlignment="1">
      <alignment horizontal="center" vertical="center" wrapText="1"/>
    </xf>
    <xf numFmtId="0" fontId="1" fillId="22" borderId="96" xfId="0" applyFont="1" applyFill="1" applyBorder="1" applyAlignment="1">
      <alignment horizontal="center" vertical="center" wrapText="1"/>
    </xf>
    <xf numFmtId="1" fontId="0" fillId="0" borderId="13" xfId="0" applyNumberFormat="1" applyBorder="1" applyAlignment="1">
      <alignment vertical="top"/>
    </xf>
    <xf numFmtId="0" fontId="1" fillId="35" borderId="0" xfId="0" applyFont="1" applyFill="1" applyAlignment="1">
      <alignment horizontal="left" vertical="center"/>
    </xf>
    <xf numFmtId="0" fontId="1" fillId="35" borderId="0" xfId="0" applyFont="1" applyFill="1" applyAlignment="1">
      <alignment horizontal="center" vertical="center"/>
    </xf>
    <xf numFmtId="0" fontId="1" fillId="35" borderId="0" xfId="0" applyFont="1" applyFill="1" applyAlignment="1">
      <alignment vertical="top"/>
    </xf>
    <xf numFmtId="0" fontId="0" fillId="35" borderId="0" xfId="0" applyFill="1" applyAlignment="1">
      <alignment horizontal="center" vertical="center"/>
    </xf>
    <xf numFmtId="0" fontId="1" fillId="35" borderId="0" xfId="0" applyFont="1" applyFill="1" applyAlignment="1">
      <alignment vertical="top" wrapText="1"/>
    </xf>
    <xf numFmtId="49" fontId="8" fillId="35" borderId="0" xfId="0" applyNumberFormat="1" applyFont="1" applyFill="1" applyAlignment="1">
      <alignment horizontal="left" vertical="top"/>
    </xf>
    <xf numFmtId="0" fontId="9" fillId="35" borderId="0" xfId="0" applyFont="1" applyFill="1" applyAlignment="1">
      <alignment vertical="top"/>
    </xf>
    <xf numFmtId="0" fontId="9" fillId="35" borderId="0" xfId="0" applyFont="1" applyFill="1" applyAlignment="1">
      <alignment vertical="top" wrapText="1"/>
    </xf>
    <xf numFmtId="49" fontId="1" fillId="35" borderId="0" xfId="0" applyNumberFormat="1" applyFont="1" applyFill="1" applyAlignment="1">
      <alignment horizontal="center" vertical="center" wrapText="1"/>
    </xf>
    <xf numFmtId="0" fontId="1" fillId="35" borderId="0" xfId="0" applyFont="1" applyFill="1" applyAlignment="1">
      <alignment vertical="center" wrapText="1"/>
    </xf>
    <xf numFmtId="0" fontId="1" fillId="35" borderId="0" xfId="0" applyFont="1" applyFill="1" applyAlignment="1">
      <alignment horizontal="center" vertical="center" wrapText="1"/>
    </xf>
    <xf numFmtId="0" fontId="1" fillId="35" borderId="0" xfId="0" applyFont="1" applyFill="1" applyAlignment="1">
      <alignment horizontal="left" vertical="center" wrapText="1"/>
    </xf>
    <xf numFmtId="0" fontId="0" fillId="35" borderId="0" xfId="0" applyFill="1" applyAlignment="1">
      <alignment horizontal="left" vertical="center" wrapText="1"/>
    </xf>
    <xf numFmtId="0" fontId="0" fillId="35" borderId="0" xfId="0" applyFill="1" applyAlignment="1">
      <alignment vertical="top"/>
    </xf>
  </cellXfs>
  <cellStyles count="1">
    <cellStyle name="Normal" xfId="0" builtinId="0"/>
  </cellStyles>
  <dxfs count="34">
    <dxf>
      <font>
        <color rgb="FF9C0006"/>
      </font>
      <fill>
        <patternFill>
          <bgColor rgb="FFFFC7CE"/>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
      <font>
        <color rgb="FF9C0006"/>
      </font>
      <fill>
        <patternFill>
          <bgColor rgb="FFFFC7CE"/>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36981662P\OneDrive%20-%20Generalitat%20de%20Catalunya\Plans%20estrat&#232;gics\0Models\Model%20Pla%20Estrategic%20ENP_2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rograma%20actuacions%20del%20Pla%20Estrategic%20PNMMBT%202026v2mar&#231;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2026\Programa%20actuacions%20i%20pressupost%202025%20versi&#243;%20amb%20gr&#224;fic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17/04476/PN_MONTGRI%20MEDES%20I%20BAIX%20%20TER/UO4500/EIX%203%20PLANIFICACI&#211;/Pressupost/Pressupost%202025/Junta/Programa%20actuacions%20i%20pressupost%202025%20versi&#243;%20amb%20gr&#224;fi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17/04476/PN_MONTGRI%20MEDES%20I%20BAIX%20%20TER/UO4500/EIX%203%20PLANIFICACI&#211;/Pla%20Estrat&#232;gic/Pla%20estrat&#232;gic%20PNMMBT/Pla/Versi&#243;%20aprovada/Pla%20EstrategicPNMMBT%20versi&#243;%20aprovada%20Junta%20Rectora%2024%20octubre%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s"/>
      <sheetName val="Full1"/>
      <sheetName val="PROGRAMA ANUAL"/>
      <sheetName val="PROGRAMA RAE sense Romanent"/>
      <sheetName val="PRESSUPOST RAE"/>
      <sheetName val="PRESSUPOST RAE SR SIMPLIF."/>
      <sheetName val="PRESSUPOST SIMP. RAE PER JUNTA"/>
      <sheetName val="PRESSUPOST RAE PER JUNTA"/>
      <sheetName val="PLA ESTRATÈGIC"/>
      <sheetName val="INGRESSOS RAE"/>
      <sheetName val="Llistes"/>
    </sheetNames>
    <sheetDataSet>
      <sheetData sheetId="0"/>
      <sheetData sheetId="1"/>
      <sheetData sheetId="2"/>
      <sheetData sheetId="3"/>
      <sheetData sheetId="4"/>
      <sheetData sheetId="5"/>
      <sheetData sheetId="6"/>
      <sheetData sheetId="7"/>
      <sheetData sheetId="8">
        <row r="43">
          <cell r="F43" t="str">
            <v>03.3.6</v>
          </cell>
        </row>
        <row r="86">
          <cell r="J86" t="str">
            <v>06.5.1</v>
          </cell>
        </row>
      </sheetData>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s"/>
      <sheetName val="Full3"/>
      <sheetName val="PROGRAMA ANUAL"/>
      <sheetName val="PROGRAMA RAE SENSE ROMANENT"/>
      <sheetName val="PRESSUPOST ROMANENT RAE"/>
      <sheetName val="PROGRAMA ANUAL RAE"/>
      <sheetName val="INGRESSOS RAE"/>
      <sheetName val="Pla Estratègic PNMMBT"/>
      <sheetName val="PE càrrega horaria"/>
      <sheetName val="Full4"/>
      <sheetName val="dades indicadors i hores PE"/>
      <sheetName val="Lliste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s"/>
      <sheetName val="Full3"/>
      <sheetName val="PROGRAMA ANUAL"/>
      <sheetName val="PROGRAMA RAE SENSE ROMANENT"/>
      <sheetName val="PRESSUPOST ROMANENT RAE"/>
      <sheetName val="PROGRAMA ANUAL RAE"/>
      <sheetName val="INGRESSOS RAE"/>
      <sheetName val="Pla Estratègic PNMMBT"/>
      <sheetName val="PE càrrega horaria"/>
      <sheetName val="Full4"/>
      <sheetName val="dades indicadors i hores PE"/>
      <sheetName val="Lliste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Full2"/>
      <sheetName val="Llistes"/>
      <sheetName val="Full1"/>
    </sheetNames>
    <sheetDataSet>
      <sheetData sheetId="0"/>
      <sheetData sheetId="1"/>
      <sheetData sheetId="2"/>
      <sheetData sheetId="3"/>
      <sheetData sheetId="4"/>
      <sheetData sheetId="5"/>
      <sheetData sheetId="6"/>
      <sheetData sheetId="7"/>
      <sheetData sheetId="8"/>
    </sheetDataSet>
  </externalBook>
</externalLink>
</file>

<file path=xl/tables/table1.xml><?xml version="1.0" encoding="utf-8"?>
<table xmlns="http://schemas.openxmlformats.org/spreadsheetml/2006/main" id="1" name="EspaiNatural" displayName="EspaiNatural" ref="A1:B15" totalsRowShown="0" headerRowDxfId="32" headerRowBorderDxfId="31" tableBorderDxfId="30">
  <autoFilter ref="A1:B15"/>
  <tableColumns count="2">
    <tableColumn id="1" name="Espai natural" dataDxfId="29"/>
    <tableColumn id="2" name="Referència Taula"/>
  </tableColumns>
  <tableStyleInfo name="TableStyleMedium2" showFirstColumn="0" showLastColumn="0" showRowStripes="1" showColumnStripes="0"/>
</table>
</file>

<file path=xl/tables/table2.xml><?xml version="1.0" encoding="utf-8"?>
<table xmlns="http://schemas.openxmlformats.org/spreadsheetml/2006/main" id="2" name="ALB" displayName="ALB" ref="D1:D4" totalsRowShown="0" headerRowDxfId="28">
  <autoFilter ref="D1:D4"/>
  <tableColumns count="1">
    <tableColumn id="1" name="Paratge Natural d'Interès Nacional de l'Albera" dataDxfId="27"/>
  </tableColumns>
  <tableStyleInfo name="TableStyleMedium2" showFirstColumn="0" showLastColumn="0" showRowStripes="1" showColumnStripes="0"/>
</table>
</file>

<file path=xl/tables/table3.xml><?xml version="1.0" encoding="utf-8"?>
<table xmlns="http://schemas.openxmlformats.org/spreadsheetml/2006/main" id="3" name="POB" displayName="POB" ref="E1:E7" totalsRowShown="0" headerRowDxfId="26">
  <autoFilter ref="E1:E7"/>
  <tableColumns count="1">
    <tableColumn id="1" name="Paratge Natural d'Interès Nacional de Poblet" dataDxfId="25"/>
  </tableColumns>
  <tableStyleInfo name="TableStyleMedium2" showFirstColumn="0" showLastColumn="0" showRowStripes="1" showColumnStripes="0"/>
</table>
</file>

<file path=xl/tables/table4.xml><?xml version="1.0" encoding="utf-8"?>
<table xmlns="http://schemas.openxmlformats.org/spreadsheetml/2006/main" id="4" name="AES" displayName="AES" ref="F1:F21" totalsRowShown="0" headerRowDxfId="24">
  <autoFilter ref="F1:F21"/>
  <tableColumns count="1">
    <tableColumn id="1" name="Parc Nacional d'Aigüestortes i Estany de Sant Maurici" dataDxfId="23"/>
  </tableColumns>
  <tableStyleInfo name="TableStyleMedium2" showFirstColumn="0" showLastColumn="0" showRowStripes="1" showColumnStripes="0"/>
</table>
</file>

<file path=xl/tables/table5.xml><?xml version="1.0" encoding="utf-8"?>
<table xmlns="http://schemas.openxmlformats.org/spreadsheetml/2006/main" id="5" name="CRE" displayName="CRE" ref="G1:G9" totalsRowShown="0" headerRowDxfId="22">
  <autoFilter ref="G1:G9"/>
  <tableColumns count="1">
    <tableColumn id="1" name="Parc Natural de Cap de Creus" dataDxfId="21"/>
  </tableColumns>
  <tableStyleInfo name="TableStyleMedium2" showFirstColumn="0" showLastColumn="0" showRowStripes="1" showColumnStripes="0"/>
</table>
</file>

<file path=xl/tables/table6.xml><?xml version="1.0" encoding="utf-8"?>
<table xmlns="http://schemas.openxmlformats.org/spreadsheetml/2006/main" id="6" name="MON" displayName="MON" ref="H1:H9" totalsRowShown="0" headerRowDxfId="20">
  <autoFilter ref="H1:H9"/>
  <tableColumns count="1">
    <tableColumn id="1" name="Parc Natural de la Serra de Montsant" dataDxfId="19"/>
  </tableColumns>
  <tableStyleInfo name="TableStyleMedium2" showFirstColumn="0" showLastColumn="0" showRowStripes="1" showColumnStripes="0"/>
</table>
</file>

<file path=xl/tables/table7.xml><?xml version="1.0" encoding="utf-8"?>
<table xmlns="http://schemas.openxmlformats.org/spreadsheetml/2006/main" id="7" name="ZVG" displayName="ZVG" ref="I1:I15" totalsRowShown="0" headerRowDxfId="18">
  <autoFilter ref="I1:I15"/>
  <tableColumns count="1">
    <tableColumn id="1" name="Parc Natural de la Zona Volcànica de la Garrotxa" dataDxfId="17"/>
  </tableColumns>
  <tableStyleInfo name="TableStyleMedium2" showFirstColumn="0" showLastColumn="0" showRowStripes="1" showColumnStripes="0"/>
</table>
</file>

<file path=xl/tables/table8.xml><?xml version="1.0" encoding="utf-8"?>
<table xmlns="http://schemas.openxmlformats.org/spreadsheetml/2006/main" id="8" name="API" displayName="API" ref="J1:J16" totalsRowShown="0" headerRowDxfId="16">
  <autoFilter ref="J1:J16"/>
  <tableColumns count="1">
    <tableColumn id="1" name="Parc Natural de l'Alt Pirineu" dataDxfId="15"/>
  </tableColumns>
  <tableStyleInfo name="TableStyleMedium2" showFirstColumn="0" showLastColumn="0" showRowStripes="1" showColumnStripes="0"/>
</table>
</file>

<file path=xl/tables/table9.xml><?xml version="1.0" encoding="utf-8"?>
<table xmlns="http://schemas.openxmlformats.org/spreadsheetml/2006/main" id="9" name="TFR" displayName="TFR" ref="K1:K6" totalsRowShown="0" headerRowDxfId="14">
  <autoFilter ref="K1:K6"/>
  <tableColumns count="1">
    <tableColumn id="1" name="Parc Natural de les Capçaleres del Ter i el Freser" dataDxfId="13"/>
  </tableColumns>
  <tableStyleInfo name="TableStyleMedium2" showFirstColumn="0" showLastColumn="0" showRowStripes="1" showColumnStripes="0"/>
</table>
</file>

<file path=xl/tables/table10.xml><?xml version="1.0" encoding="utf-8"?>
<table xmlns="http://schemas.openxmlformats.org/spreadsheetml/2006/main" id="10" name="CMO" displayName="CMO" ref="L1:L10" totalsRowShown="0" headerRowDxfId="12">
  <autoFilter ref="L1:L10"/>
  <tableColumns count="1">
    <tableColumn id="1" name="Parc Natural del Cadí-Moixeró" dataDxfId="11"/>
  </tableColumns>
  <tableStyleInfo name="TableStyleMedium2" showFirstColumn="0" showLastColumn="0" showRowStripes="1" showColumnStripes="0"/>
</table>
</file>

<file path=xl/tables/table11.xml><?xml version="1.0" encoding="utf-8"?>
<table xmlns="http://schemas.openxmlformats.org/spreadsheetml/2006/main" id="11" name="DEB" displayName="DEB" ref="M1:M15" totalsRowShown="0" headerRowDxfId="10">
  <autoFilter ref="M1:M15"/>
  <tableColumns count="1">
    <tableColumn id="1" name="Parc Natural del Delta de l'Ebre" dataDxfId="9"/>
  </tableColumns>
  <tableStyleInfo name="TableStyleMedium2" showFirstColumn="0" showLastColumn="0" showRowStripes="1" showColumnStripes="0"/>
</table>
</file>

<file path=xl/tables/table12.xml><?xml version="1.0" encoding="utf-8"?>
<table xmlns="http://schemas.openxmlformats.org/spreadsheetml/2006/main" id="12" name="MMB" displayName="MMB" ref="N1:N9" totalsRowShown="0" headerRowDxfId="8">
  <autoFilter ref="N1:N9"/>
  <tableColumns count="1">
    <tableColumn id="1" name="Parc Natural del Montgrí, les Illes Medes i el Baix Ter" dataDxfId="7"/>
  </tableColumns>
  <tableStyleInfo name="TableStyleMedium2" showFirstColumn="0" showLastColumn="0" showRowStripes="1" showColumnStripes="0"/>
</table>
</file>

<file path=xl/tables/table13.xml><?xml version="1.0" encoding="utf-8"?>
<table xmlns="http://schemas.openxmlformats.org/spreadsheetml/2006/main" id="13" name="AEM" displayName="AEM" ref="O1:O13" totalsRowShown="0" headerRowDxfId="6">
  <autoFilter ref="O1:O13"/>
  <tableColumns count="1">
    <tableColumn id="1" name="Parc Natural dels Aiguamolls de l'Empordà" dataDxfId="5"/>
  </tableColumns>
  <tableStyleInfo name="TableStyleMedium2" showFirstColumn="0" showLastColumn="0" showRowStripes="1" showColumnStripes="0"/>
</table>
</file>

<file path=xl/tables/table14.xml><?xml version="1.0" encoding="utf-8"?>
<table xmlns="http://schemas.openxmlformats.org/spreadsheetml/2006/main" id="14" name="POR" displayName="POR" ref="P1:P13" totalsRowShown="0" headerRowDxfId="4">
  <autoFilter ref="P1:P13"/>
  <tableColumns count="1">
    <tableColumn id="1" name="Parc Natural dels Ports" dataDxfId="3"/>
  </tableColumns>
  <tableStyleInfo name="TableStyleMedium2" showFirstColumn="0" showLastColumn="0" showRowStripes="1" showColumnStripes="0"/>
</table>
</file>

<file path=xl/tables/table15.xml><?xml version="1.0" encoding="utf-8"?>
<table xmlns="http://schemas.openxmlformats.org/spreadsheetml/2006/main" id="15" name="SEC" displayName="SEC" ref="Q1:Q8" totalsRowShown="0" headerRowDxfId="2">
  <autoFilter ref="Q1:Q8"/>
  <tableColumns count="1">
    <tableColumn id="1" name="Secans de Lleida"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
  <sheetViews>
    <sheetView topLeftCell="A3" workbookViewId="0">
      <selection activeCell="D14" sqref="D14"/>
    </sheetView>
  </sheetViews>
  <sheetFormatPr defaultRowHeight="14.5"/>
  <cols>
    <col min="1" max="1" width="19.453125" style="74" customWidth="1"/>
    <col min="2" max="2" width="95.7265625" style="74" customWidth="1"/>
  </cols>
  <sheetData>
    <row r="2" spans="1:2" ht="29">
      <c r="A2" s="75" t="s">
        <v>0</v>
      </c>
      <c r="B2" s="76" t="s">
        <v>1</v>
      </c>
    </row>
    <row r="3" spans="1:2">
      <c r="A3" s="75" t="s">
        <v>2</v>
      </c>
      <c r="B3" s="76" t="s">
        <v>3</v>
      </c>
    </row>
    <row r="4" spans="1:2" ht="29">
      <c r="A4" s="75" t="s">
        <v>4</v>
      </c>
      <c r="B4" s="76" t="s">
        <v>5</v>
      </c>
    </row>
    <row r="5" spans="1:2">
      <c r="A5" s="75" t="s">
        <v>6</v>
      </c>
      <c r="B5" s="76" t="s">
        <v>7</v>
      </c>
    </row>
    <row r="6" spans="1:2">
      <c r="A6" s="75" t="s">
        <v>8</v>
      </c>
      <c r="B6" s="76" t="s">
        <v>9</v>
      </c>
    </row>
    <row r="7" spans="1:2">
      <c r="A7" s="75" t="s">
        <v>10</v>
      </c>
      <c r="B7" s="76" t="s">
        <v>11</v>
      </c>
    </row>
    <row r="8" spans="1:2" ht="29">
      <c r="A8" s="75" t="s">
        <v>12</v>
      </c>
      <c r="B8" s="76" t="s">
        <v>13</v>
      </c>
    </row>
    <row r="9" spans="1:2" ht="29">
      <c r="A9" s="75" t="s">
        <v>14</v>
      </c>
      <c r="B9" s="76" t="s">
        <v>15</v>
      </c>
    </row>
    <row r="10" spans="1:2">
      <c r="A10" s="75" t="s">
        <v>16</v>
      </c>
      <c r="B10" s="76" t="s">
        <v>17</v>
      </c>
    </row>
    <row r="11" spans="1:2" ht="58">
      <c r="A11" s="75" t="s">
        <v>18</v>
      </c>
      <c r="B11" s="76" t="s">
        <v>19</v>
      </c>
    </row>
    <row r="14" spans="1:2" ht="87">
      <c r="A14" s="77" t="s">
        <v>20</v>
      </c>
      <c r="B14" s="76"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N102"/>
  <sheetViews>
    <sheetView topLeftCell="A81" workbookViewId="0">
      <selection activeCell="A102" sqref="A102"/>
    </sheetView>
  </sheetViews>
  <sheetFormatPr defaultRowHeight="14.5"/>
  <cols>
    <col min="3" max="3" width="38.1796875" customWidth="1"/>
    <col min="4" max="4" width="27.26953125" customWidth="1"/>
    <col min="5" max="5" width="31.1796875" customWidth="1"/>
    <col min="6" max="6" width="20.26953125" style="92" customWidth="1"/>
    <col min="7" max="7" width="26.54296875" customWidth="1"/>
    <col min="8" max="8" width="23.6328125" customWidth="1"/>
    <col min="9" max="9" width="38.26953125" customWidth="1"/>
    <col min="10" max="10" width="12.1796875" customWidth="1"/>
    <col min="11" max="11" width="23" customWidth="1"/>
    <col min="12" max="12" width="26.7265625" customWidth="1"/>
    <col min="13" max="13" width="23" customWidth="1"/>
    <col min="14" max="14" width="22.54296875" customWidth="1"/>
  </cols>
  <sheetData>
    <row r="1" spans="1:14">
      <c r="C1" s="72" t="s">
        <v>894</v>
      </c>
      <c r="D1" s="71"/>
      <c r="E1" s="71"/>
      <c r="F1" s="91"/>
      <c r="G1" s="71"/>
      <c r="M1" s="156" t="s">
        <v>22</v>
      </c>
      <c r="N1" s="157"/>
    </row>
    <row r="2" spans="1:14" ht="15" thickBot="1"/>
    <row r="3" spans="1:14" s="111" customFormat="1" ht="39">
      <c r="A3" s="82" t="s">
        <v>23</v>
      </c>
      <c r="B3" s="100" t="s">
        <v>24</v>
      </c>
      <c r="C3" s="83" t="s">
        <v>25</v>
      </c>
      <c r="D3" s="84" t="s">
        <v>26</v>
      </c>
      <c r="E3" s="84" t="s">
        <v>27</v>
      </c>
      <c r="F3" s="108" t="s">
        <v>28</v>
      </c>
      <c r="G3" s="84" t="s">
        <v>29</v>
      </c>
      <c r="H3" s="109" t="s">
        <v>30</v>
      </c>
      <c r="I3" s="84" t="s">
        <v>31</v>
      </c>
      <c r="J3" s="99" t="s">
        <v>32</v>
      </c>
      <c r="K3" s="109" t="s">
        <v>33</v>
      </c>
      <c r="L3" s="110" t="s">
        <v>34</v>
      </c>
      <c r="M3" s="110" t="s">
        <v>35</v>
      </c>
      <c r="N3" s="110" t="s">
        <v>36</v>
      </c>
    </row>
    <row r="4" spans="1:14" s="124" customFormat="1" ht="39.5" customHeight="1">
      <c r="A4" s="81" t="s">
        <v>895</v>
      </c>
      <c r="B4" s="101"/>
      <c r="C4" s="80" t="s">
        <v>896</v>
      </c>
      <c r="D4" s="158" t="s">
        <v>94</v>
      </c>
      <c r="E4" s="80" t="s">
        <v>294</v>
      </c>
      <c r="F4" s="80" t="s">
        <v>580</v>
      </c>
      <c r="G4" s="113" t="s">
        <v>578</v>
      </c>
      <c r="H4" s="113" t="s">
        <v>594</v>
      </c>
      <c r="I4" s="113" t="s">
        <v>632</v>
      </c>
      <c r="J4" s="159">
        <v>18000</v>
      </c>
      <c r="K4" s="160">
        <v>0.2</v>
      </c>
      <c r="L4" s="160" t="s">
        <v>586</v>
      </c>
      <c r="M4" s="158" t="s">
        <v>1130</v>
      </c>
      <c r="N4" s="158" t="s">
        <v>581</v>
      </c>
    </row>
    <row r="5" spans="1:14" s="125" customFormat="1" ht="31.5" customHeight="1">
      <c r="A5" s="81" t="s">
        <v>897</v>
      </c>
      <c r="B5" s="101"/>
      <c r="C5" s="112" t="s">
        <v>898</v>
      </c>
      <c r="D5" s="158" t="s">
        <v>74</v>
      </c>
      <c r="E5" s="113" t="s">
        <v>899</v>
      </c>
      <c r="F5" s="80" t="s">
        <v>580</v>
      </c>
      <c r="G5" s="80" t="s">
        <v>578</v>
      </c>
      <c r="H5" s="80" t="s">
        <v>594</v>
      </c>
      <c r="I5" s="80" t="s">
        <v>602</v>
      </c>
      <c r="J5" s="115">
        <v>18000</v>
      </c>
      <c r="K5" s="161">
        <v>0.2</v>
      </c>
      <c r="L5" s="80" t="s">
        <v>900</v>
      </c>
      <c r="M5" s="113" t="s">
        <v>1130</v>
      </c>
      <c r="N5" s="113" t="s">
        <v>581</v>
      </c>
    </row>
    <row r="6" spans="1:14" s="125" customFormat="1" ht="44.5" customHeight="1">
      <c r="A6" s="81" t="s">
        <v>901</v>
      </c>
      <c r="B6" s="101"/>
      <c r="C6" s="114" t="s">
        <v>902</v>
      </c>
      <c r="D6" s="158" t="s">
        <v>113</v>
      </c>
      <c r="E6" s="80" t="s">
        <v>232</v>
      </c>
      <c r="F6" s="80" t="s">
        <v>580</v>
      </c>
      <c r="G6" s="80" t="s">
        <v>578</v>
      </c>
      <c r="H6" s="80" t="s">
        <v>613</v>
      </c>
      <c r="I6" s="80" t="s">
        <v>619</v>
      </c>
      <c r="J6" s="115">
        <v>2000</v>
      </c>
      <c r="K6" s="161">
        <v>0.1</v>
      </c>
      <c r="L6" s="80" t="s">
        <v>586</v>
      </c>
      <c r="M6" s="80" t="s">
        <v>1131</v>
      </c>
      <c r="N6" s="80" t="s">
        <v>581</v>
      </c>
    </row>
    <row r="7" spans="1:14" s="125" customFormat="1" ht="34.5">
      <c r="A7" s="81" t="s">
        <v>903</v>
      </c>
      <c r="B7" s="101"/>
      <c r="C7" s="114" t="s">
        <v>904</v>
      </c>
      <c r="D7" s="158" t="s">
        <v>905</v>
      </c>
      <c r="E7" s="80"/>
      <c r="F7" s="80" t="s">
        <v>580</v>
      </c>
      <c r="G7" s="80" t="s">
        <v>578</v>
      </c>
      <c r="H7" s="80" t="s">
        <v>668</v>
      </c>
      <c r="I7" s="80" t="s">
        <v>579</v>
      </c>
      <c r="J7" s="115">
        <v>25000</v>
      </c>
      <c r="K7" s="161">
        <v>0.15</v>
      </c>
      <c r="L7" s="80" t="s">
        <v>906</v>
      </c>
      <c r="M7" s="80" t="s">
        <v>1132</v>
      </c>
      <c r="N7" s="80" t="s">
        <v>581</v>
      </c>
    </row>
    <row r="8" spans="1:14" s="125" customFormat="1" ht="37" customHeight="1">
      <c r="A8" s="81" t="s">
        <v>907</v>
      </c>
      <c r="B8" s="101"/>
      <c r="C8" s="114" t="s">
        <v>908</v>
      </c>
      <c r="D8" s="158" t="str">
        <f>+'[2]PLA ESTRATÈGIC'!F43</f>
        <v>03.3.6</v>
      </c>
      <c r="E8" s="80"/>
      <c r="F8" s="80" t="s">
        <v>580</v>
      </c>
      <c r="G8" s="80" t="s">
        <v>578</v>
      </c>
      <c r="H8" s="80" t="s">
        <v>598</v>
      </c>
      <c r="I8" s="80" t="s">
        <v>593</v>
      </c>
      <c r="J8" s="115">
        <v>18000</v>
      </c>
      <c r="K8" s="161">
        <v>0.1</v>
      </c>
      <c r="L8" s="80" t="s">
        <v>900</v>
      </c>
      <c r="M8" s="80" t="s">
        <v>1132</v>
      </c>
      <c r="N8" s="80" t="s">
        <v>581</v>
      </c>
    </row>
    <row r="9" spans="1:14" s="125" customFormat="1" ht="34.5" customHeight="1">
      <c r="A9" s="81" t="s">
        <v>909</v>
      </c>
      <c r="B9" s="101"/>
      <c r="C9" s="114" t="s">
        <v>910</v>
      </c>
      <c r="D9" s="158" t="s">
        <v>123</v>
      </c>
      <c r="E9" s="80"/>
      <c r="F9" s="80" t="s">
        <v>580</v>
      </c>
      <c r="G9" s="80" t="s">
        <v>578</v>
      </c>
      <c r="H9" s="80" t="s">
        <v>594</v>
      </c>
      <c r="I9" s="80" t="s">
        <v>628</v>
      </c>
      <c r="J9" s="115">
        <v>18000</v>
      </c>
      <c r="K9" s="161">
        <v>0.1</v>
      </c>
      <c r="L9" s="80" t="s">
        <v>586</v>
      </c>
      <c r="M9" s="113" t="s">
        <v>1130</v>
      </c>
      <c r="N9" s="80" t="s">
        <v>581</v>
      </c>
    </row>
    <row r="10" spans="1:14" s="125" customFormat="1" ht="23" customHeight="1">
      <c r="A10" s="81" t="s">
        <v>911</v>
      </c>
      <c r="B10" s="101"/>
      <c r="C10" s="114" t="s">
        <v>912</v>
      </c>
      <c r="D10" s="158" t="s">
        <v>899</v>
      </c>
      <c r="E10" s="80"/>
      <c r="F10" s="80" t="s">
        <v>580</v>
      </c>
      <c r="G10" s="80" t="s">
        <v>578</v>
      </c>
      <c r="H10" s="80" t="s">
        <v>668</v>
      </c>
      <c r="I10" s="80" t="s">
        <v>593</v>
      </c>
      <c r="J10" s="115">
        <v>4000</v>
      </c>
      <c r="K10" s="161">
        <v>0.1</v>
      </c>
      <c r="L10" s="80" t="s">
        <v>900</v>
      </c>
      <c r="M10" s="80" t="s">
        <v>1132</v>
      </c>
      <c r="N10" s="80" t="s">
        <v>581</v>
      </c>
    </row>
    <row r="11" spans="1:14" s="125" customFormat="1" ht="34.5">
      <c r="A11" s="81" t="s">
        <v>913</v>
      </c>
      <c r="B11" s="101"/>
      <c r="C11" s="114" t="s">
        <v>914</v>
      </c>
      <c r="D11" s="158" t="s">
        <v>915</v>
      </c>
      <c r="E11" s="80"/>
      <c r="F11" s="80" t="s">
        <v>580</v>
      </c>
      <c r="G11" s="80" t="s">
        <v>578</v>
      </c>
      <c r="H11" s="80" t="s">
        <v>668</v>
      </c>
      <c r="I11" s="80" t="s">
        <v>602</v>
      </c>
      <c r="J11" s="115">
        <v>18000</v>
      </c>
      <c r="K11" s="161">
        <v>0.1</v>
      </c>
      <c r="L11" s="80" t="s">
        <v>900</v>
      </c>
      <c r="M11" s="80" t="s">
        <v>1132</v>
      </c>
      <c r="N11" s="80" t="s">
        <v>581</v>
      </c>
    </row>
    <row r="12" spans="1:14" s="125" customFormat="1" ht="22" customHeight="1">
      <c r="A12" s="81" t="s">
        <v>916</v>
      </c>
      <c r="B12" s="101"/>
      <c r="C12" s="114" t="s">
        <v>917</v>
      </c>
      <c r="D12" s="158" t="s">
        <v>905</v>
      </c>
      <c r="E12" s="80"/>
      <c r="F12" s="80" t="s">
        <v>580</v>
      </c>
      <c r="G12" s="80" t="s">
        <v>578</v>
      </c>
      <c r="H12" s="80" t="s">
        <v>668</v>
      </c>
      <c r="I12" s="80" t="s">
        <v>593</v>
      </c>
      <c r="J12" s="115">
        <v>6040</v>
      </c>
      <c r="K12" s="161">
        <v>0.1</v>
      </c>
      <c r="L12" s="80" t="s">
        <v>586</v>
      </c>
      <c r="M12" s="80" t="s">
        <v>1130</v>
      </c>
      <c r="N12" s="80" t="s">
        <v>581</v>
      </c>
    </row>
    <row r="13" spans="1:14" s="125" customFormat="1" ht="34.5">
      <c r="A13" s="81" t="s">
        <v>918</v>
      </c>
      <c r="B13" s="101"/>
      <c r="C13" s="114" t="s">
        <v>919</v>
      </c>
      <c r="D13" s="158" t="s">
        <v>74</v>
      </c>
      <c r="E13" s="80"/>
      <c r="F13" s="80" t="s">
        <v>580</v>
      </c>
      <c r="G13" s="80" t="s">
        <v>578</v>
      </c>
      <c r="H13" s="80" t="s">
        <v>668</v>
      </c>
      <c r="I13" s="80" t="s">
        <v>632</v>
      </c>
      <c r="J13" s="115">
        <v>14000</v>
      </c>
      <c r="K13" s="161">
        <v>0.1</v>
      </c>
      <c r="L13" s="80" t="s">
        <v>586</v>
      </c>
      <c r="M13" s="80" t="s">
        <v>1130</v>
      </c>
      <c r="N13" s="80" t="s">
        <v>581</v>
      </c>
    </row>
    <row r="14" spans="1:14" s="125" customFormat="1" ht="19" customHeight="1">
      <c r="A14" s="81" t="s">
        <v>920</v>
      </c>
      <c r="B14" s="101"/>
      <c r="C14" s="114" t="s">
        <v>921</v>
      </c>
      <c r="D14" s="158" t="s">
        <v>905</v>
      </c>
      <c r="E14" s="80"/>
      <c r="F14" s="80" t="s">
        <v>580</v>
      </c>
      <c r="G14" s="80" t="s">
        <v>578</v>
      </c>
      <c r="H14" s="80" t="s">
        <v>668</v>
      </c>
      <c r="I14" s="80" t="s">
        <v>593</v>
      </c>
      <c r="J14" s="115">
        <v>6040</v>
      </c>
      <c r="K14" s="161">
        <v>0.1</v>
      </c>
      <c r="L14" s="80" t="s">
        <v>586</v>
      </c>
      <c r="M14" s="80" t="s">
        <v>1130</v>
      </c>
      <c r="N14" s="80" t="s">
        <v>581</v>
      </c>
    </row>
    <row r="15" spans="1:14" s="125" customFormat="1" ht="19.5" customHeight="1">
      <c r="A15" s="81" t="s">
        <v>922</v>
      </c>
      <c r="B15" s="101"/>
      <c r="C15" s="114" t="s">
        <v>923</v>
      </c>
      <c r="D15" s="158" t="s">
        <v>905</v>
      </c>
      <c r="E15" s="80"/>
      <c r="F15" s="80" t="s">
        <v>580</v>
      </c>
      <c r="G15" s="80" t="s">
        <v>578</v>
      </c>
      <c r="H15" s="80" t="s">
        <v>668</v>
      </c>
      <c r="I15" s="80" t="s">
        <v>593</v>
      </c>
      <c r="J15" s="115">
        <v>12000</v>
      </c>
      <c r="K15" s="161">
        <v>0.1</v>
      </c>
      <c r="L15" s="80" t="s">
        <v>586</v>
      </c>
      <c r="M15" s="80" t="s">
        <v>1130</v>
      </c>
      <c r="N15" s="80" t="s">
        <v>581</v>
      </c>
    </row>
    <row r="16" spans="1:14" s="125" customFormat="1" ht="17.5" customHeight="1">
      <c r="A16" s="81" t="s">
        <v>924</v>
      </c>
      <c r="B16" s="101"/>
      <c r="C16" s="114" t="s">
        <v>925</v>
      </c>
      <c r="D16" s="158" t="s">
        <v>905</v>
      </c>
      <c r="E16" s="80"/>
      <c r="F16" s="80" t="s">
        <v>580</v>
      </c>
      <c r="G16" s="80" t="s">
        <v>578</v>
      </c>
      <c r="H16" s="80" t="s">
        <v>668</v>
      </c>
      <c r="I16" s="80" t="s">
        <v>593</v>
      </c>
      <c r="J16" s="115">
        <v>4000</v>
      </c>
      <c r="K16" s="161">
        <v>0.1</v>
      </c>
      <c r="L16" s="80" t="s">
        <v>586</v>
      </c>
      <c r="M16" s="80" t="s">
        <v>1130</v>
      </c>
      <c r="N16" s="80" t="s">
        <v>581</v>
      </c>
    </row>
    <row r="17" spans="1:14" s="125" customFormat="1" ht="34.5">
      <c r="A17" s="81" t="s">
        <v>926</v>
      </c>
      <c r="B17" s="101"/>
      <c r="C17" s="114" t="s">
        <v>927</v>
      </c>
      <c r="D17" s="158" t="s">
        <v>74</v>
      </c>
      <c r="E17" s="80"/>
      <c r="F17" s="80" t="s">
        <v>580</v>
      </c>
      <c r="G17" s="80" t="s">
        <v>578</v>
      </c>
      <c r="H17" s="80" t="s">
        <v>668</v>
      </c>
      <c r="I17" s="80" t="s">
        <v>632</v>
      </c>
      <c r="J17" s="115">
        <v>12000</v>
      </c>
      <c r="K17" s="161">
        <v>0.1</v>
      </c>
      <c r="L17" s="80" t="s">
        <v>586</v>
      </c>
      <c r="M17" s="80" t="s">
        <v>1130</v>
      </c>
      <c r="N17" s="80" t="s">
        <v>581</v>
      </c>
    </row>
    <row r="18" spans="1:14" s="125" customFormat="1" ht="17" customHeight="1">
      <c r="A18" s="81" t="s">
        <v>928</v>
      </c>
      <c r="B18" s="101"/>
      <c r="C18" s="114" t="s">
        <v>929</v>
      </c>
      <c r="D18" s="158" t="s">
        <v>905</v>
      </c>
      <c r="E18" s="80"/>
      <c r="F18" s="80" t="s">
        <v>580</v>
      </c>
      <c r="G18" s="80" t="s">
        <v>578</v>
      </c>
      <c r="H18" s="80" t="s">
        <v>668</v>
      </c>
      <c r="I18" s="80" t="s">
        <v>593</v>
      </c>
      <c r="J18" s="115">
        <v>14000</v>
      </c>
      <c r="K18" s="161">
        <v>0.1</v>
      </c>
      <c r="L18" s="80" t="s">
        <v>586</v>
      </c>
      <c r="M18" s="80" t="s">
        <v>1130</v>
      </c>
      <c r="N18" s="80" t="s">
        <v>581</v>
      </c>
    </row>
    <row r="19" spans="1:14" s="125" customFormat="1" ht="15" customHeight="1">
      <c r="A19" s="81" t="s">
        <v>930</v>
      </c>
      <c r="B19" s="101"/>
      <c r="C19" s="114" t="s">
        <v>931</v>
      </c>
      <c r="D19" s="158" t="s">
        <v>905</v>
      </c>
      <c r="E19" s="80"/>
      <c r="F19" s="80" t="s">
        <v>580</v>
      </c>
      <c r="G19" s="80" t="s">
        <v>578</v>
      </c>
      <c r="H19" s="80" t="s">
        <v>668</v>
      </c>
      <c r="I19" s="80" t="s">
        <v>593</v>
      </c>
      <c r="J19" s="115">
        <f>6040+3630+13300+6040</f>
        <v>29010</v>
      </c>
      <c r="K19" s="161">
        <v>0.1</v>
      </c>
      <c r="L19" s="80" t="s">
        <v>586</v>
      </c>
      <c r="M19" s="80" t="s">
        <v>1130</v>
      </c>
      <c r="N19" s="80" t="s">
        <v>581</v>
      </c>
    </row>
    <row r="20" spans="1:14" s="125" customFormat="1" ht="15.5" customHeight="1">
      <c r="A20" s="81" t="s">
        <v>932</v>
      </c>
      <c r="B20" s="101"/>
      <c r="C20" s="114" t="s">
        <v>933</v>
      </c>
      <c r="D20" s="158" t="s">
        <v>74</v>
      </c>
      <c r="E20" s="80"/>
      <c r="F20" s="80" t="s">
        <v>580</v>
      </c>
      <c r="G20" s="80" t="s">
        <v>578</v>
      </c>
      <c r="H20" s="80" t="s">
        <v>668</v>
      </c>
      <c r="I20" s="80" t="s">
        <v>593</v>
      </c>
      <c r="J20" s="115">
        <v>6040</v>
      </c>
      <c r="K20" s="161">
        <v>0.1</v>
      </c>
      <c r="L20" s="80" t="s">
        <v>586</v>
      </c>
      <c r="M20" s="80" t="s">
        <v>1130</v>
      </c>
      <c r="N20" s="80" t="s">
        <v>581</v>
      </c>
    </row>
    <row r="21" spans="1:14" s="125" customFormat="1" ht="14.5" customHeight="1">
      <c r="A21" s="81" t="s">
        <v>934</v>
      </c>
      <c r="B21" s="101"/>
      <c r="C21" s="114" t="s">
        <v>935</v>
      </c>
      <c r="D21" s="158" t="s">
        <v>905</v>
      </c>
      <c r="E21" s="80"/>
      <c r="F21" s="80" t="s">
        <v>580</v>
      </c>
      <c r="G21" s="80" t="s">
        <v>578</v>
      </c>
      <c r="H21" s="80" t="s">
        <v>668</v>
      </c>
      <c r="I21" s="80" t="s">
        <v>593</v>
      </c>
      <c r="J21" s="115">
        <v>10300</v>
      </c>
      <c r="K21" s="161">
        <v>0.1</v>
      </c>
      <c r="L21" s="80" t="s">
        <v>586</v>
      </c>
      <c r="M21" s="80" t="s">
        <v>1130</v>
      </c>
      <c r="N21" s="80" t="s">
        <v>581</v>
      </c>
    </row>
    <row r="22" spans="1:14" s="125" customFormat="1" ht="16.5" customHeight="1">
      <c r="A22" s="81" t="s">
        <v>936</v>
      </c>
      <c r="B22" s="101"/>
      <c r="C22" s="114" t="s">
        <v>937</v>
      </c>
      <c r="D22" s="158" t="s">
        <v>905</v>
      </c>
      <c r="E22" s="80"/>
      <c r="F22" s="80" t="s">
        <v>580</v>
      </c>
      <c r="G22" s="80" t="s">
        <v>578</v>
      </c>
      <c r="H22" s="80" t="s">
        <v>668</v>
      </c>
      <c r="I22" s="80" t="s">
        <v>593</v>
      </c>
      <c r="J22" s="115">
        <v>5420</v>
      </c>
      <c r="K22" s="161">
        <v>0.1</v>
      </c>
      <c r="L22" s="80" t="s">
        <v>586</v>
      </c>
      <c r="M22" s="80" t="s">
        <v>1130</v>
      </c>
      <c r="N22" s="80" t="s">
        <v>581</v>
      </c>
    </row>
    <row r="23" spans="1:14" s="125" customFormat="1" ht="34.5">
      <c r="A23" s="81" t="s">
        <v>938</v>
      </c>
      <c r="B23" s="101"/>
      <c r="C23" s="114" t="s">
        <v>939</v>
      </c>
      <c r="D23" s="158" t="s">
        <v>940</v>
      </c>
      <c r="E23" s="80"/>
      <c r="F23" s="80" t="s">
        <v>580</v>
      </c>
      <c r="G23" s="80" t="s">
        <v>578</v>
      </c>
      <c r="H23" s="80" t="s">
        <v>640</v>
      </c>
      <c r="I23" s="80" t="s">
        <v>632</v>
      </c>
      <c r="J23" s="115">
        <v>6040</v>
      </c>
      <c r="K23" s="161">
        <v>0.1</v>
      </c>
      <c r="L23" s="80" t="s">
        <v>586</v>
      </c>
      <c r="M23" s="80" t="s">
        <v>1130</v>
      </c>
      <c r="N23" s="80" t="s">
        <v>581</v>
      </c>
    </row>
    <row r="24" spans="1:14" s="125" customFormat="1" ht="34.5">
      <c r="A24" s="93" t="s">
        <v>941</v>
      </c>
      <c r="B24" s="102"/>
      <c r="C24" s="126" t="s">
        <v>942</v>
      </c>
      <c r="D24" s="126" t="s">
        <v>203</v>
      </c>
      <c r="E24" s="116" t="s">
        <v>943</v>
      </c>
      <c r="F24" s="85" t="s">
        <v>39</v>
      </c>
      <c r="G24" s="128" t="s">
        <v>592</v>
      </c>
      <c r="H24" s="162"/>
      <c r="I24" s="163" t="s">
        <v>632</v>
      </c>
      <c r="J24" s="127">
        <v>1244660.93</v>
      </c>
      <c r="K24" s="164">
        <v>0.6</v>
      </c>
      <c r="L24" s="85" t="s">
        <v>900</v>
      </c>
      <c r="M24" s="162" t="s">
        <v>1132</v>
      </c>
      <c r="N24" s="162" t="s">
        <v>581</v>
      </c>
    </row>
    <row r="25" spans="1:14" s="125" customFormat="1" ht="19.5" customHeight="1">
      <c r="A25" s="93" t="s">
        <v>944</v>
      </c>
      <c r="B25" s="102"/>
      <c r="C25" s="126" t="s">
        <v>945</v>
      </c>
      <c r="D25" s="126" t="s">
        <v>208</v>
      </c>
      <c r="E25" s="116"/>
      <c r="F25" s="85" t="s">
        <v>39</v>
      </c>
      <c r="G25" s="128" t="s">
        <v>578</v>
      </c>
      <c r="H25" s="162" t="s">
        <v>668</v>
      </c>
      <c r="I25" s="163" t="s">
        <v>593</v>
      </c>
      <c r="J25" s="127">
        <v>5000</v>
      </c>
      <c r="K25" s="164">
        <v>0.1</v>
      </c>
      <c r="L25" s="85" t="s">
        <v>900</v>
      </c>
      <c r="M25" s="162" t="s">
        <v>1131</v>
      </c>
      <c r="N25" s="162" t="s">
        <v>581</v>
      </c>
    </row>
    <row r="26" spans="1:14" s="125" customFormat="1" ht="34.5">
      <c r="A26" s="93" t="s">
        <v>946</v>
      </c>
      <c r="B26" s="102"/>
      <c r="C26" s="126" t="s">
        <v>947</v>
      </c>
      <c r="D26" s="126" t="s">
        <v>182</v>
      </c>
      <c r="E26" s="117"/>
      <c r="F26" s="85" t="s">
        <v>39</v>
      </c>
      <c r="G26" s="163" t="s">
        <v>578</v>
      </c>
      <c r="H26" s="162" t="s">
        <v>598</v>
      </c>
      <c r="I26" s="163" t="s">
        <v>635</v>
      </c>
      <c r="J26" s="127">
        <v>6040</v>
      </c>
      <c r="K26" s="164">
        <v>0.1</v>
      </c>
      <c r="L26" s="162" t="s">
        <v>586</v>
      </c>
      <c r="M26" s="162" t="s">
        <v>1132</v>
      </c>
      <c r="N26" s="162" t="s">
        <v>581</v>
      </c>
    </row>
    <row r="27" spans="1:14" s="125" customFormat="1" ht="23">
      <c r="A27" s="93" t="s">
        <v>948</v>
      </c>
      <c r="B27" s="102"/>
      <c r="C27" s="126" t="s">
        <v>949</v>
      </c>
      <c r="D27" s="126" t="s">
        <v>176</v>
      </c>
      <c r="E27" s="117"/>
      <c r="F27" s="85" t="s">
        <v>39</v>
      </c>
      <c r="G27" s="163" t="s">
        <v>578</v>
      </c>
      <c r="H27" s="162" t="s">
        <v>668</v>
      </c>
      <c r="I27" s="163" t="s">
        <v>635</v>
      </c>
      <c r="J27" s="127">
        <v>5000</v>
      </c>
      <c r="K27" s="164">
        <v>0.05</v>
      </c>
      <c r="L27" s="162" t="s">
        <v>900</v>
      </c>
      <c r="M27" s="162" t="s">
        <v>1131</v>
      </c>
      <c r="N27" s="162" t="s">
        <v>581</v>
      </c>
    </row>
    <row r="28" spans="1:14" s="125" customFormat="1" ht="23">
      <c r="A28" s="93" t="s">
        <v>950</v>
      </c>
      <c r="B28" s="102"/>
      <c r="C28" s="126" t="s">
        <v>951</v>
      </c>
      <c r="D28" s="126" t="s">
        <v>201</v>
      </c>
      <c r="E28" s="117"/>
      <c r="F28" s="85" t="s">
        <v>39</v>
      </c>
      <c r="G28" s="163" t="s">
        <v>578</v>
      </c>
      <c r="H28" s="162" t="s">
        <v>683</v>
      </c>
      <c r="I28" s="163" t="s">
        <v>623</v>
      </c>
      <c r="J28" s="127">
        <f>40000*1.21</f>
        <v>48400</v>
      </c>
      <c r="K28" s="164">
        <v>0.15</v>
      </c>
      <c r="L28" s="162" t="s">
        <v>586</v>
      </c>
      <c r="M28" s="162" t="s">
        <v>1131</v>
      </c>
      <c r="N28" s="162" t="s">
        <v>581</v>
      </c>
    </row>
    <row r="29" spans="1:14" s="125" customFormat="1" ht="17" customHeight="1">
      <c r="A29" s="93" t="s">
        <v>952</v>
      </c>
      <c r="B29" s="102"/>
      <c r="C29" s="126" t="s">
        <v>953</v>
      </c>
      <c r="D29" s="126" t="s">
        <v>174</v>
      </c>
      <c r="E29" s="117"/>
      <c r="F29" s="85" t="s">
        <v>39</v>
      </c>
      <c r="G29" s="163" t="s">
        <v>578</v>
      </c>
      <c r="H29" s="162" t="s">
        <v>954</v>
      </c>
      <c r="I29" s="163" t="s">
        <v>635</v>
      </c>
      <c r="J29" s="127">
        <v>6000</v>
      </c>
      <c r="K29" s="164">
        <v>0.05</v>
      </c>
      <c r="L29" s="162" t="s">
        <v>586</v>
      </c>
      <c r="M29" s="162" t="s">
        <v>1132</v>
      </c>
      <c r="N29" s="162" t="s">
        <v>581</v>
      </c>
    </row>
    <row r="30" spans="1:14" s="125" customFormat="1" ht="17" customHeight="1">
      <c r="A30" s="93" t="s">
        <v>955</v>
      </c>
      <c r="B30" s="102"/>
      <c r="C30" s="126" t="s">
        <v>956</v>
      </c>
      <c r="D30" s="126" t="s">
        <v>185</v>
      </c>
      <c r="E30" s="117"/>
      <c r="F30" s="85" t="s">
        <v>39</v>
      </c>
      <c r="G30" s="163" t="s">
        <v>578</v>
      </c>
      <c r="H30" s="162" t="s">
        <v>668</v>
      </c>
      <c r="I30" s="163" t="s">
        <v>635</v>
      </c>
      <c r="J30" s="127">
        <v>6000</v>
      </c>
      <c r="K30" s="164">
        <v>0.05</v>
      </c>
      <c r="L30" s="162" t="s">
        <v>586</v>
      </c>
      <c r="M30" s="162" t="s">
        <v>1131</v>
      </c>
      <c r="N30" s="162" t="s">
        <v>581</v>
      </c>
    </row>
    <row r="31" spans="1:14" s="125" customFormat="1" ht="23">
      <c r="A31" s="94" t="s">
        <v>957</v>
      </c>
      <c r="B31" s="103"/>
      <c r="C31" s="129" t="s">
        <v>958</v>
      </c>
      <c r="D31" s="130" t="s">
        <v>254</v>
      </c>
      <c r="E31" s="118"/>
      <c r="F31" s="86" t="s">
        <v>40</v>
      </c>
      <c r="G31" s="131" t="s">
        <v>592</v>
      </c>
      <c r="H31" s="86"/>
      <c r="I31" s="131" t="s">
        <v>602</v>
      </c>
      <c r="J31" s="131">
        <f>0.42*2392550.73</f>
        <v>1004871.3066</v>
      </c>
      <c r="K31" s="165">
        <v>0.25</v>
      </c>
      <c r="L31" s="86" t="s">
        <v>900</v>
      </c>
      <c r="M31" s="86" t="s">
        <v>1132</v>
      </c>
      <c r="N31" s="86" t="s">
        <v>581</v>
      </c>
    </row>
    <row r="32" spans="1:14" s="125" customFormat="1" ht="11.5">
      <c r="A32" s="94" t="s">
        <v>959</v>
      </c>
      <c r="B32" s="103"/>
      <c r="C32" s="129" t="s">
        <v>960</v>
      </c>
      <c r="D32" s="130" t="s">
        <v>254</v>
      </c>
      <c r="E32" s="118"/>
      <c r="F32" s="86" t="s">
        <v>40</v>
      </c>
      <c r="G32" s="131" t="s">
        <v>578</v>
      </c>
      <c r="H32" s="86" t="s">
        <v>668</v>
      </c>
      <c r="I32" s="131" t="s">
        <v>635</v>
      </c>
      <c r="J32" s="131">
        <v>15000</v>
      </c>
      <c r="K32" s="165">
        <v>0.05</v>
      </c>
      <c r="L32" s="86" t="s">
        <v>900</v>
      </c>
      <c r="M32" s="86" t="s">
        <v>1132</v>
      </c>
      <c r="N32" s="86" t="s">
        <v>581</v>
      </c>
    </row>
    <row r="33" spans="1:14" s="125" customFormat="1" ht="34.5">
      <c r="A33" s="94" t="s">
        <v>961</v>
      </c>
      <c r="B33" s="103"/>
      <c r="C33" s="129" t="s">
        <v>962</v>
      </c>
      <c r="D33" s="130" t="s">
        <v>254</v>
      </c>
      <c r="E33" s="118"/>
      <c r="F33" s="86" t="s">
        <v>40</v>
      </c>
      <c r="G33" s="131" t="s">
        <v>578</v>
      </c>
      <c r="H33" s="86" t="s">
        <v>678</v>
      </c>
      <c r="I33" s="131" t="s">
        <v>635</v>
      </c>
      <c r="J33" s="131">
        <f>40000*1.21</f>
        <v>48400</v>
      </c>
      <c r="K33" s="165">
        <v>0.05</v>
      </c>
      <c r="L33" s="86" t="s">
        <v>900</v>
      </c>
      <c r="M33" s="86" t="s">
        <v>1132</v>
      </c>
      <c r="N33" s="86" t="s">
        <v>581</v>
      </c>
    </row>
    <row r="34" spans="1:14" s="125" customFormat="1" ht="23">
      <c r="A34" s="94" t="s">
        <v>963</v>
      </c>
      <c r="B34" s="103"/>
      <c r="C34" s="129" t="s">
        <v>964</v>
      </c>
      <c r="D34" s="130" t="s">
        <v>254</v>
      </c>
      <c r="E34" s="118"/>
      <c r="F34" s="86" t="s">
        <v>40</v>
      </c>
      <c r="G34" s="131" t="s">
        <v>578</v>
      </c>
      <c r="H34" s="86" t="s">
        <v>616</v>
      </c>
      <c r="I34" s="131" t="s">
        <v>635</v>
      </c>
      <c r="J34" s="131">
        <v>800</v>
      </c>
      <c r="K34" s="165">
        <v>0.05</v>
      </c>
      <c r="L34" s="86" t="s">
        <v>900</v>
      </c>
      <c r="M34" s="86" t="s">
        <v>1132</v>
      </c>
      <c r="N34" s="86" t="s">
        <v>581</v>
      </c>
    </row>
    <row r="35" spans="1:14" s="125" customFormat="1" ht="11.5">
      <c r="A35" s="94" t="s">
        <v>965</v>
      </c>
      <c r="B35" s="103"/>
      <c r="C35" s="129" t="s">
        <v>966</v>
      </c>
      <c r="D35" s="130" t="s">
        <v>967</v>
      </c>
      <c r="E35" s="118"/>
      <c r="F35" s="86" t="s">
        <v>40</v>
      </c>
      <c r="G35" s="131" t="s">
        <v>578</v>
      </c>
      <c r="H35" s="86" t="s">
        <v>668</v>
      </c>
      <c r="I35" s="131" t="s">
        <v>593</v>
      </c>
      <c r="J35" s="131">
        <v>18000</v>
      </c>
      <c r="K35" s="165">
        <v>0.05</v>
      </c>
      <c r="L35" s="86" t="s">
        <v>900</v>
      </c>
      <c r="M35" s="86" t="s">
        <v>1132</v>
      </c>
      <c r="N35" s="86" t="s">
        <v>581</v>
      </c>
    </row>
    <row r="36" spans="1:14" s="125" customFormat="1" ht="23">
      <c r="A36" s="94" t="s">
        <v>968</v>
      </c>
      <c r="B36" s="103"/>
      <c r="C36" s="129" t="s">
        <v>969</v>
      </c>
      <c r="D36" s="130" t="s">
        <v>232</v>
      </c>
      <c r="E36" s="118"/>
      <c r="F36" s="86" t="s">
        <v>40</v>
      </c>
      <c r="G36" s="131" t="s">
        <v>578</v>
      </c>
      <c r="H36" s="86" t="s">
        <v>668</v>
      </c>
      <c r="I36" s="131" t="s">
        <v>602</v>
      </c>
      <c r="J36" s="131">
        <v>8000</v>
      </c>
      <c r="K36" s="165">
        <v>0.05</v>
      </c>
      <c r="L36" s="86" t="s">
        <v>900</v>
      </c>
      <c r="M36" s="86" t="s">
        <v>1132</v>
      </c>
      <c r="N36" s="86" t="s">
        <v>581</v>
      </c>
    </row>
    <row r="37" spans="1:14" s="125" customFormat="1" ht="34.5">
      <c r="A37" s="94" t="s">
        <v>970</v>
      </c>
      <c r="B37" s="103"/>
      <c r="C37" s="129" t="s">
        <v>971</v>
      </c>
      <c r="D37" s="130" t="s">
        <v>229</v>
      </c>
      <c r="E37" s="118"/>
      <c r="F37" s="86" t="s">
        <v>40</v>
      </c>
      <c r="G37" s="131" t="s">
        <v>578</v>
      </c>
      <c r="H37" s="86" t="s">
        <v>668</v>
      </c>
      <c r="I37" s="131" t="s">
        <v>579</v>
      </c>
      <c r="J37" s="131">
        <v>8470</v>
      </c>
      <c r="K37" s="165">
        <v>0.05</v>
      </c>
      <c r="L37" s="86" t="s">
        <v>900</v>
      </c>
      <c r="M37" s="86" t="s">
        <v>1131</v>
      </c>
      <c r="N37" s="86" t="s">
        <v>581</v>
      </c>
    </row>
    <row r="38" spans="1:14" s="125" customFormat="1" ht="14.5" customHeight="1">
      <c r="A38" s="94" t="s">
        <v>972</v>
      </c>
      <c r="B38" s="103"/>
      <c r="C38" s="129" t="s">
        <v>973</v>
      </c>
      <c r="D38" s="130" t="s">
        <v>229</v>
      </c>
      <c r="E38" s="118"/>
      <c r="F38" s="86" t="s">
        <v>40</v>
      </c>
      <c r="G38" s="131" t="s">
        <v>587</v>
      </c>
      <c r="H38" s="86" t="s">
        <v>668</v>
      </c>
      <c r="I38" s="131" t="s">
        <v>597</v>
      </c>
      <c r="J38" s="131">
        <v>107223.99</v>
      </c>
      <c r="K38" s="165">
        <v>0.05</v>
      </c>
      <c r="L38" s="86" t="s">
        <v>900</v>
      </c>
      <c r="M38" s="86" t="s">
        <v>1132</v>
      </c>
      <c r="N38" s="86" t="s">
        <v>581</v>
      </c>
    </row>
    <row r="39" spans="1:14" s="125" customFormat="1" ht="15.5" customHeight="1">
      <c r="A39" s="94" t="s">
        <v>974</v>
      </c>
      <c r="B39" s="103"/>
      <c r="C39" s="129" t="s">
        <v>975</v>
      </c>
      <c r="D39" s="130" t="s">
        <v>229</v>
      </c>
      <c r="E39" s="86" t="s">
        <v>976</v>
      </c>
      <c r="F39" s="86" t="s">
        <v>40</v>
      </c>
      <c r="G39" s="131" t="s">
        <v>38</v>
      </c>
      <c r="H39" s="86" t="s">
        <v>668</v>
      </c>
      <c r="I39" s="132" t="s">
        <v>602</v>
      </c>
      <c r="J39" s="166">
        <v>111989.94</v>
      </c>
      <c r="K39" s="165">
        <v>0.05</v>
      </c>
      <c r="L39" s="86" t="s">
        <v>900</v>
      </c>
      <c r="M39" s="86" t="s">
        <v>1132</v>
      </c>
      <c r="N39" s="86" t="s">
        <v>581</v>
      </c>
    </row>
    <row r="40" spans="1:14" s="125" customFormat="1" ht="17.5" customHeight="1">
      <c r="A40" s="94" t="s">
        <v>977</v>
      </c>
      <c r="B40" s="103"/>
      <c r="C40" s="129" t="s">
        <v>978</v>
      </c>
      <c r="D40" s="130" t="s">
        <v>275</v>
      </c>
      <c r="E40" s="118"/>
      <c r="F40" s="86" t="s">
        <v>40</v>
      </c>
      <c r="G40" s="131" t="s">
        <v>578</v>
      </c>
      <c r="H40" s="86" t="s">
        <v>668</v>
      </c>
      <c r="I40" s="132" t="s">
        <v>579</v>
      </c>
      <c r="J40" s="166">
        <v>15000</v>
      </c>
      <c r="K40" s="165">
        <v>0.05</v>
      </c>
      <c r="L40" s="86" t="s">
        <v>900</v>
      </c>
      <c r="M40" s="86" t="s">
        <v>1132</v>
      </c>
      <c r="N40" s="86" t="s">
        <v>581</v>
      </c>
    </row>
    <row r="41" spans="1:14" s="125" customFormat="1" ht="16.5" customHeight="1">
      <c r="A41" s="94" t="s">
        <v>979</v>
      </c>
      <c r="B41" s="103"/>
      <c r="C41" s="129" t="s">
        <v>980</v>
      </c>
      <c r="D41" s="130" t="s">
        <v>275</v>
      </c>
      <c r="E41" s="118"/>
      <c r="F41" s="86" t="s">
        <v>40</v>
      </c>
      <c r="G41" s="131" t="s">
        <v>578</v>
      </c>
      <c r="H41" s="86" t="s">
        <v>668</v>
      </c>
      <c r="I41" s="132" t="s">
        <v>579</v>
      </c>
      <c r="J41" s="166">
        <v>18000</v>
      </c>
      <c r="K41" s="165">
        <v>0.05</v>
      </c>
      <c r="L41" s="86" t="s">
        <v>900</v>
      </c>
      <c r="M41" s="86" t="s">
        <v>1132</v>
      </c>
      <c r="N41" s="86" t="s">
        <v>581</v>
      </c>
    </row>
    <row r="42" spans="1:14" s="125" customFormat="1" ht="34.5">
      <c r="A42" s="95" t="s">
        <v>981</v>
      </c>
      <c r="B42" s="104"/>
      <c r="C42" s="133" t="s">
        <v>982</v>
      </c>
      <c r="D42" s="133" t="s">
        <v>329</v>
      </c>
      <c r="E42" s="119" t="s">
        <v>983</v>
      </c>
      <c r="F42" s="87" t="s">
        <v>41</v>
      </c>
      <c r="G42" s="134" t="s">
        <v>587</v>
      </c>
      <c r="H42" s="87"/>
      <c r="I42" s="134" t="s">
        <v>635</v>
      </c>
      <c r="J42" s="134">
        <v>48000</v>
      </c>
      <c r="K42" s="167">
        <v>0.1</v>
      </c>
      <c r="L42" s="87" t="s">
        <v>900</v>
      </c>
      <c r="M42" s="87" t="s">
        <v>1133</v>
      </c>
      <c r="N42" s="87" t="s">
        <v>581</v>
      </c>
    </row>
    <row r="43" spans="1:14" s="125" customFormat="1" ht="19.5" customHeight="1">
      <c r="A43" s="95" t="s">
        <v>984</v>
      </c>
      <c r="B43" s="104"/>
      <c r="C43" s="133" t="s">
        <v>985</v>
      </c>
      <c r="D43" s="133" t="s">
        <v>329</v>
      </c>
      <c r="E43" s="119"/>
      <c r="F43" s="87" t="s">
        <v>41</v>
      </c>
      <c r="G43" s="134" t="s">
        <v>587</v>
      </c>
      <c r="H43" s="87" t="s">
        <v>986</v>
      </c>
      <c r="I43" s="134" t="s">
        <v>597</v>
      </c>
      <c r="J43" s="134">
        <v>66066</v>
      </c>
      <c r="K43" s="167">
        <v>0.1</v>
      </c>
      <c r="L43" s="87" t="s">
        <v>900</v>
      </c>
      <c r="M43" s="87" t="s">
        <v>1133</v>
      </c>
      <c r="N43" s="87" t="s">
        <v>581</v>
      </c>
    </row>
    <row r="44" spans="1:14" s="125" customFormat="1" ht="23">
      <c r="A44" s="95" t="s">
        <v>987</v>
      </c>
      <c r="B44" s="104"/>
      <c r="C44" s="133" t="s">
        <v>988</v>
      </c>
      <c r="D44" s="133" t="s">
        <v>335</v>
      </c>
      <c r="E44" s="119"/>
      <c r="F44" s="87" t="s">
        <v>41</v>
      </c>
      <c r="G44" s="135" t="s">
        <v>578</v>
      </c>
      <c r="H44" s="87" t="s">
        <v>668</v>
      </c>
      <c r="I44" s="135" t="s">
        <v>597</v>
      </c>
      <c r="J44" s="135">
        <f>23*350</f>
        <v>8050</v>
      </c>
      <c r="K44" s="167">
        <v>0.1</v>
      </c>
      <c r="L44" s="87" t="s">
        <v>900</v>
      </c>
      <c r="M44" s="87" t="s">
        <v>1133</v>
      </c>
      <c r="N44" s="87" t="s">
        <v>581</v>
      </c>
    </row>
    <row r="45" spans="1:14" s="125" customFormat="1" ht="19" customHeight="1">
      <c r="A45" s="95" t="s">
        <v>989</v>
      </c>
      <c r="B45" s="104"/>
      <c r="C45" s="133" t="s">
        <v>990</v>
      </c>
      <c r="D45" s="133" t="s">
        <v>337</v>
      </c>
      <c r="E45" s="119"/>
      <c r="F45" s="87" t="s">
        <v>41</v>
      </c>
      <c r="G45" s="134" t="s">
        <v>578</v>
      </c>
      <c r="H45" s="87" t="s">
        <v>668</v>
      </c>
      <c r="I45" s="134" t="s">
        <v>597</v>
      </c>
      <c r="J45" s="134">
        <f>43*200</f>
        <v>8600</v>
      </c>
      <c r="K45" s="167">
        <v>0.1</v>
      </c>
      <c r="L45" s="87" t="s">
        <v>900</v>
      </c>
      <c r="M45" s="87" t="s">
        <v>1133</v>
      </c>
      <c r="N45" s="87" t="s">
        <v>581</v>
      </c>
    </row>
    <row r="46" spans="1:14" s="125" customFormat="1" ht="15.5" customHeight="1">
      <c r="A46" s="95" t="s">
        <v>991</v>
      </c>
      <c r="B46" s="104"/>
      <c r="C46" s="133" t="s">
        <v>992</v>
      </c>
      <c r="D46" s="133" t="s">
        <v>322</v>
      </c>
      <c r="E46" s="119"/>
      <c r="F46" s="87" t="s">
        <v>41</v>
      </c>
      <c r="G46" s="134" t="s">
        <v>578</v>
      </c>
      <c r="H46" s="87" t="s">
        <v>668</v>
      </c>
      <c r="I46" s="134" t="s">
        <v>602</v>
      </c>
      <c r="J46" s="134">
        <v>18000</v>
      </c>
      <c r="K46" s="167">
        <v>0.05</v>
      </c>
      <c r="L46" s="87" t="s">
        <v>900</v>
      </c>
      <c r="M46" s="87" t="s">
        <v>1132</v>
      </c>
      <c r="N46" s="87" t="s">
        <v>581</v>
      </c>
    </row>
    <row r="47" spans="1:14" s="125" customFormat="1" ht="23">
      <c r="A47" s="95" t="s">
        <v>993</v>
      </c>
      <c r="B47" s="104"/>
      <c r="C47" s="133" t="s">
        <v>994</v>
      </c>
      <c r="D47" s="133" t="s">
        <v>995</v>
      </c>
      <c r="E47" s="119"/>
      <c r="F47" s="87" t="s">
        <v>41</v>
      </c>
      <c r="G47" s="134" t="s">
        <v>578</v>
      </c>
      <c r="H47" s="87" t="s">
        <v>996</v>
      </c>
      <c r="I47" s="134" t="s">
        <v>597</v>
      </c>
      <c r="J47" s="134">
        <v>6000</v>
      </c>
      <c r="K47" s="167">
        <v>0.05</v>
      </c>
      <c r="L47" s="87" t="s">
        <v>900</v>
      </c>
      <c r="M47" s="87" t="s">
        <v>1132</v>
      </c>
      <c r="N47" s="87" t="s">
        <v>581</v>
      </c>
    </row>
    <row r="48" spans="1:14" s="125" customFormat="1" ht="23">
      <c r="A48" s="95" t="s">
        <v>997</v>
      </c>
      <c r="B48" s="104"/>
      <c r="C48" s="133" t="s">
        <v>998</v>
      </c>
      <c r="D48" s="133" t="s">
        <v>999</v>
      </c>
      <c r="E48" s="119"/>
      <c r="F48" s="87" t="s">
        <v>41</v>
      </c>
      <c r="G48" s="134" t="s">
        <v>578</v>
      </c>
      <c r="H48" s="87" t="s">
        <v>668</v>
      </c>
      <c r="I48" s="134" t="s">
        <v>635</v>
      </c>
      <c r="J48" s="134">
        <v>3630</v>
      </c>
      <c r="K48" s="167">
        <v>0.2</v>
      </c>
      <c r="L48" s="87" t="s">
        <v>586</v>
      </c>
      <c r="M48" s="87" t="s">
        <v>1131</v>
      </c>
      <c r="N48" s="87" t="s">
        <v>581</v>
      </c>
    </row>
    <row r="49" spans="1:14" s="125" customFormat="1" ht="23">
      <c r="A49" s="95" t="s">
        <v>1000</v>
      </c>
      <c r="B49" s="104"/>
      <c r="C49" s="133" t="s">
        <v>1001</v>
      </c>
      <c r="D49" s="133" t="s">
        <v>999</v>
      </c>
      <c r="E49" s="119"/>
      <c r="F49" s="87" t="s">
        <v>41</v>
      </c>
      <c r="G49" s="134" t="s">
        <v>578</v>
      </c>
      <c r="H49" s="87" t="s">
        <v>668</v>
      </c>
      <c r="I49" s="136" t="s">
        <v>635</v>
      </c>
      <c r="J49" s="136">
        <v>1815</v>
      </c>
      <c r="K49" s="167">
        <v>0.2</v>
      </c>
      <c r="L49" s="87" t="s">
        <v>586</v>
      </c>
      <c r="M49" s="87" t="s">
        <v>1131</v>
      </c>
      <c r="N49" s="87" t="s">
        <v>581</v>
      </c>
    </row>
    <row r="50" spans="1:14" s="125" customFormat="1" ht="34.5">
      <c r="A50" s="95" t="s">
        <v>1002</v>
      </c>
      <c r="B50" s="104"/>
      <c r="C50" s="133" t="s">
        <v>1003</v>
      </c>
      <c r="D50" s="133" t="s">
        <v>999</v>
      </c>
      <c r="E50" s="119"/>
      <c r="F50" s="87" t="s">
        <v>41</v>
      </c>
      <c r="G50" s="134" t="s">
        <v>578</v>
      </c>
      <c r="H50" s="87" t="s">
        <v>594</v>
      </c>
      <c r="I50" s="136" t="s">
        <v>619</v>
      </c>
      <c r="J50" s="136">
        <v>3630</v>
      </c>
      <c r="K50" s="167">
        <v>0.2</v>
      </c>
      <c r="L50" s="87" t="s">
        <v>586</v>
      </c>
      <c r="M50" s="87" t="s">
        <v>1131</v>
      </c>
      <c r="N50" s="87" t="s">
        <v>581</v>
      </c>
    </row>
    <row r="51" spans="1:14" s="125" customFormat="1" ht="18" customHeight="1">
      <c r="A51" s="95" t="s">
        <v>1004</v>
      </c>
      <c r="B51" s="104"/>
      <c r="C51" s="133" t="s">
        <v>1005</v>
      </c>
      <c r="D51" s="133" t="s">
        <v>320</v>
      </c>
      <c r="E51" s="119"/>
      <c r="F51" s="87" t="s">
        <v>41</v>
      </c>
      <c r="G51" s="134" t="s">
        <v>578</v>
      </c>
      <c r="H51" s="87" t="s">
        <v>668</v>
      </c>
      <c r="I51" s="136" t="s">
        <v>593</v>
      </c>
      <c r="J51" s="136">
        <v>6040</v>
      </c>
      <c r="K51" s="167">
        <v>0.15</v>
      </c>
      <c r="L51" s="87" t="s">
        <v>586</v>
      </c>
      <c r="M51" s="87" t="s">
        <v>1130</v>
      </c>
      <c r="N51" s="87" t="s">
        <v>581</v>
      </c>
    </row>
    <row r="52" spans="1:14" s="125" customFormat="1" ht="23">
      <c r="A52" s="95" t="s">
        <v>1006</v>
      </c>
      <c r="B52" s="104"/>
      <c r="C52" s="133" t="s">
        <v>1007</v>
      </c>
      <c r="D52" s="133" t="s">
        <v>999</v>
      </c>
      <c r="E52" s="119"/>
      <c r="F52" s="87" t="s">
        <v>41</v>
      </c>
      <c r="G52" s="134" t="s">
        <v>578</v>
      </c>
      <c r="H52" s="87" t="s">
        <v>1008</v>
      </c>
      <c r="I52" s="135" t="s">
        <v>593</v>
      </c>
      <c r="J52" s="135">
        <v>1120</v>
      </c>
      <c r="K52" s="167">
        <v>0.3</v>
      </c>
      <c r="L52" s="87" t="s">
        <v>586</v>
      </c>
      <c r="M52" s="87" t="s">
        <v>1131</v>
      </c>
      <c r="N52" s="87" t="s">
        <v>581</v>
      </c>
    </row>
    <row r="53" spans="1:14" s="125" customFormat="1" ht="23">
      <c r="A53" s="95" t="s">
        <v>1009</v>
      </c>
      <c r="B53" s="104"/>
      <c r="C53" s="133" t="s">
        <v>1010</v>
      </c>
      <c r="D53" s="133" t="s">
        <v>337</v>
      </c>
      <c r="E53" s="119" t="s">
        <v>308</v>
      </c>
      <c r="F53" s="87" t="s">
        <v>41</v>
      </c>
      <c r="G53" s="134" t="s">
        <v>578</v>
      </c>
      <c r="H53" s="87" t="s">
        <v>668</v>
      </c>
      <c r="I53" s="135" t="s">
        <v>597</v>
      </c>
      <c r="J53" s="135">
        <v>8000</v>
      </c>
      <c r="K53" s="167">
        <v>0.1</v>
      </c>
      <c r="L53" s="87" t="s">
        <v>586</v>
      </c>
      <c r="M53" s="87" t="s">
        <v>1133</v>
      </c>
      <c r="N53" s="87" t="s">
        <v>581</v>
      </c>
    </row>
    <row r="54" spans="1:14" s="125" customFormat="1" ht="22" customHeight="1">
      <c r="A54" s="95" t="s">
        <v>1011</v>
      </c>
      <c r="B54" s="104"/>
      <c r="C54" s="133" t="s">
        <v>1012</v>
      </c>
      <c r="D54" s="133" t="s">
        <v>335</v>
      </c>
      <c r="E54" s="119"/>
      <c r="F54" s="87" t="s">
        <v>41</v>
      </c>
      <c r="G54" s="134" t="s">
        <v>578</v>
      </c>
      <c r="H54" s="87" t="s">
        <v>668</v>
      </c>
      <c r="I54" s="135" t="s">
        <v>593</v>
      </c>
      <c r="J54" s="135">
        <v>3620</v>
      </c>
      <c r="K54" s="167">
        <v>0.1</v>
      </c>
      <c r="L54" s="87" t="s">
        <v>900</v>
      </c>
      <c r="M54" s="87" t="s">
        <v>1133</v>
      </c>
      <c r="N54" s="87" t="s">
        <v>581</v>
      </c>
    </row>
    <row r="55" spans="1:14" s="125" customFormat="1" ht="11.5">
      <c r="A55" s="96" t="s">
        <v>1013</v>
      </c>
      <c r="B55" s="105"/>
      <c r="C55" s="137" t="s">
        <v>1014</v>
      </c>
      <c r="D55" s="138" t="s">
        <v>409</v>
      </c>
      <c r="E55" s="120"/>
      <c r="F55" s="88" t="s">
        <v>42</v>
      </c>
      <c r="G55" s="139" t="s">
        <v>587</v>
      </c>
      <c r="H55" s="88"/>
      <c r="I55" s="139" t="s">
        <v>588</v>
      </c>
      <c r="J55" s="139">
        <v>112167.73</v>
      </c>
      <c r="K55" s="168">
        <v>0.15</v>
      </c>
      <c r="L55" s="120" t="s">
        <v>900</v>
      </c>
      <c r="M55" s="88" t="s">
        <v>1132</v>
      </c>
      <c r="N55" s="88" t="s">
        <v>581</v>
      </c>
    </row>
    <row r="56" spans="1:14" s="125" customFormat="1" ht="11.5">
      <c r="A56" s="96" t="s">
        <v>1015</v>
      </c>
      <c r="B56" s="105"/>
      <c r="C56" s="137" t="s">
        <v>1016</v>
      </c>
      <c r="D56" s="138" t="s">
        <v>409</v>
      </c>
      <c r="E56" s="120"/>
      <c r="F56" s="88" t="s">
        <v>42</v>
      </c>
      <c r="G56" s="139" t="s">
        <v>587</v>
      </c>
      <c r="H56" s="88"/>
      <c r="I56" s="169" t="s">
        <v>588</v>
      </c>
      <c r="J56" s="169">
        <v>45648.46</v>
      </c>
      <c r="K56" s="168">
        <v>0.15</v>
      </c>
      <c r="L56" s="120" t="s">
        <v>900</v>
      </c>
      <c r="M56" s="88" t="s">
        <v>1132</v>
      </c>
      <c r="N56" s="88" t="s">
        <v>581</v>
      </c>
    </row>
    <row r="57" spans="1:14" s="125" customFormat="1" ht="34.5">
      <c r="A57" s="96" t="s">
        <v>1017</v>
      </c>
      <c r="B57" s="105"/>
      <c r="C57" s="137" t="s">
        <v>1018</v>
      </c>
      <c r="D57" s="138" t="s">
        <v>514</v>
      </c>
      <c r="E57" s="120"/>
      <c r="F57" s="88" t="s">
        <v>42</v>
      </c>
      <c r="G57" s="139" t="s">
        <v>578</v>
      </c>
      <c r="H57" s="88" t="s">
        <v>1019</v>
      </c>
      <c r="I57" s="139" t="s">
        <v>597</v>
      </c>
      <c r="J57" s="139">
        <v>3000</v>
      </c>
      <c r="K57" s="168">
        <v>0.3</v>
      </c>
      <c r="L57" s="120" t="s">
        <v>586</v>
      </c>
      <c r="M57" s="88" t="s">
        <v>1133</v>
      </c>
      <c r="N57" s="88" t="s">
        <v>581</v>
      </c>
    </row>
    <row r="58" spans="1:14" s="125" customFormat="1" ht="34.5">
      <c r="A58" s="96" t="s">
        <v>1020</v>
      </c>
      <c r="B58" s="105"/>
      <c r="C58" s="137" t="s">
        <v>1134</v>
      </c>
      <c r="D58" s="138" t="s">
        <v>514</v>
      </c>
      <c r="E58" s="120"/>
      <c r="F58" s="88" t="s">
        <v>42</v>
      </c>
      <c r="G58" s="139" t="s">
        <v>578</v>
      </c>
      <c r="H58" s="88" t="s">
        <v>1019</v>
      </c>
      <c r="I58" s="139" t="s">
        <v>597</v>
      </c>
      <c r="J58" s="139">
        <v>3000</v>
      </c>
      <c r="K58" s="168">
        <v>0.3</v>
      </c>
      <c r="L58" s="120" t="s">
        <v>586</v>
      </c>
      <c r="M58" s="88" t="s">
        <v>1133</v>
      </c>
      <c r="N58" s="88" t="s">
        <v>581</v>
      </c>
    </row>
    <row r="59" spans="1:14" s="125" customFormat="1" ht="34.5">
      <c r="A59" s="96" t="s">
        <v>1021</v>
      </c>
      <c r="B59" s="105"/>
      <c r="C59" s="137" t="s">
        <v>1022</v>
      </c>
      <c r="D59" s="138" t="s">
        <v>514</v>
      </c>
      <c r="E59" s="120"/>
      <c r="F59" s="88" t="s">
        <v>42</v>
      </c>
      <c r="G59" s="139" t="s">
        <v>578</v>
      </c>
      <c r="H59" s="88" t="s">
        <v>1019</v>
      </c>
      <c r="I59" s="139" t="s">
        <v>597</v>
      </c>
      <c r="J59" s="139">
        <v>3000</v>
      </c>
      <c r="K59" s="168">
        <v>0.3</v>
      </c>
      <c r="L59" s="120" t="s">
        <v>900</v>
      </c>
      <c r="M59" s="88" t="s">
        <v>1132</v>
      </c>
      <c r="N59" s="88" t="s">
        <v>581</v>
      </c>
    </row>
    <row r="60" spans="1:14" s="125" customFormat="1" ht="23">
      <c r="A60" s="96" t="s">
        <v>1023</v>
      </c>
      <c r="B60" s="105"/>
      <c r="C60" s="137" t="s">
        <v>1024</v>
      </c>
      <c r="D60" s="138" t="s">
        <v>402</v>
      </c>
      <c r="E60" s="120"/>
      <c r="F60" s="88" t="s">
        <v>42</v>
      </c>
      <c r="G60" s="139" t="s">
        <v>578</v>
      </c>
      <c r="H60" s="88" t="s">
        <v>1025</v>
      </c>
      <c r="I60" s="139" t="s">
        <v>597</v>
      </c>
      <c r="J60" s="139">
        <v>25000</v>
      </c>
      <c r="K60" s="168">
        <v>0.3</v>
      </c>
      <c r="L60" s="120" t="s">
        <v>900</v>
      </c>
      <c r="M60" s="88" t="s">
        <v>1133</v>
      </c>
      <c r="N60" s="88" t="s">
        <v>581</v>
      </c>
    </row>
    <row r="61" spans="1:14" s="125" customFormat="1" ht="23">
      <c r="A61" s="96" t="s">
        <v>1026</v>
      </c>
      <c r="B61" s="105"/>
      <c r="C61" s="137" t="s">
        <v>1027</v>
      </c>
      <c r="D61" s="138" t="s">
        <v>402</v>
      </c>
      <c r="E61" s="120"/>
      <c r="F61" s="88" t="s">
        <v>42</v>
      </c>
      <c r="G61" s="139" t="s">
        <v>578</v>
      </c>
      <c r="H61" s="88" t="s">
        <v>1025</v>
      </c>
      <c r="I61" s="139" t="s">
        <v>597</v>
      </c>
      <c r="J61" s="139">
        <v>6000</v>
      </c>
      <c r="K61" s="168">
        <v>0.3</v>
      </c>
      <c r="L61" s="120" t="s">
        <v>900</v>
      </c>
      <c r="M61" s="88" t="s">
        <v>1133</v>
      </c>
      <c r="N61" s="88" t="s">
        <v>581</v>
      </c>
    </row>
    <row r="62" spans="1:14" s="125" customFormat="1" ht="23">
      <c r="A62" s="96" t="s">
        <v>1028</v>
      </c>
      <c r="B62" s="105"/>
      <c r="C62" s="137" t="s">
        <v>1029</v>
      </c>
      <c r="D62" s="138" t="s">
        <v>409</v>
      </c>
      <c r="E62" s="120"/>
      <c r="F62" s="88" t="s">
        <v>42</v>
      </c>
      <c r="G62" s="139" t="s">
        <v>578</v>
      </c>
      <c r="H62" s="88" t="s">
        <v>1030</v>
      </c>
      <c r="I62" s="139" t="s">
        <v>588</v>
      </c>
      <c r="J62" s="139">
        <v>18500</v>
      </c>
      <c r="K62" s="168">
        <v>0.3</v>
      </c>
      <c r="L62" s="120" t="s">
        <v>586</v>
      </c>
      <c r="M62" s="88" t="s">
        <v>1132</v>
      </c>
      <c r="N62" s="88" t="s">
        <v>581</v>
      </c>
    </row>
    <row r="63" spans="1:14" s="125" customFormat="1" ht="23">
      <c r="A63" s="96" t="s">
        <v>1031</v>
      </c>
      <c r="B63" s="105"/>
      <c r="C63" s="137" t="s">
        <v>1032</v>
      </c>
      <c r="D63" s="138" t="s">
        <v>385</v>
      </c>
      <c r="E63" s="120"/>
      <c r="F63" s="88" t="s">
        <v>42</v>
      </c>
      <c r="G63" s="139" t="s">
        <v>578</v>
      </c>
      <c r="H63" s="88" t="s">
        <v>1033</v>
      </c>
      <c r="I63" s="139" t="s">
        <v>597</v>
      </c>
      <c r="J63" s="139">
        <v>15000</v>
      </c>
      <c r="K63" s="168">
        <v>0.15</v>
      </c>
      <c r="L63" s="120" t="s">
        <v>586</v>
      </c>
      <c r="M63" s="88" t="s">
        <v>1133</v>
      </c>
      <c r="N63" s="88" t="s">
        <v>581</v>
      </c>
    </row>
    <row r="64" spans="1:14" s="125" customFormat="1" ht="23">
      <c r="A64" s="96" t="s">
        <v>1034</v>
      </c>
      <c r="B64" s="105"/>
      <c r="C64" s="137" t="s">
        <v>1035</v>
      </c>
      <c r="D64" s="138" t="s">
        <v>396</v>
      </c>
      <c r="E64" s="120"/>
      <c r="F64" s="88" t="s">
        <v>42</v>
      </c>
      <c r="G64" s="139" t="s">
        <v>578</v>
      </c>
      <c r="H64" s="88" t="s">
        <v>683</v>
      </c>
      <c r="I64" s="139" t="s">
        <v>635</v>
      </c>
      <c r="J64" s="139">
        <v>30000</v>
      </c>
      <c r="K64" s="168">
        <v>0.3</v>
      </c>
      <c r="L64" s="120" t="s">
        <v>900</v>
      </c>
      <c r="M64" s="88" t="s">
        <v>1132</v>
      </c>
      <c r="N64" s="88" t="s">
        <v>581</v>
      </c>
    </row>
    <row r="65" spans="1:14" s="125" customFormat="1" ht="23">
      <c r="A65" s="96" t="s">
        <v>1036</v>
      </c>
      <c r="B65" s="105"/>
      <c r="C65" s="137" t="s">
        <v>1037</v>
      </c>
      <c r="D65" s="138" t="s">
        <v>396</v>
      </c>
      <c r="E65" s="120"/>
      <c r="F65" s="88" t="s">
        <v>42</v>
      </c>
      <c r="G65" s="139" t="s">
        <v>578</v>
      </c>
      <c r="H65" s="88" t="s">
        <v>683</v>
      </c>
      <c r="I65" s="139" t="s">
        <v>635</v>
      </c>
      <c r="J65" s="139">
        <v>10000</v>
      </c>
      <c r="K65" s="168">
        <v>0.2</v>
      </c>
      <c r="L65" s="120" t="s">
        <v>586</v>
      </c>
      <c r="M65" s="88" t="s">
        <v>1130</v>
      </c>
      <c r="N65" s="88" t="s">
        <v>581</v>
      </c>
    </row>
    <row r="66" spans="1:14" s="125" customFormat="1" ht="23">
      <c r="A66" s="96" t="s">
        <v>1038</v>
      </c>
      <c r="B66" s="105"/>
      <c r="C66" s="137" t="s">
        <v>1039</v>
      </c>
      <c r="D66" s="138" t="s">
        <v>398</v>
      </c>
      <c r="E66" s="120"/>
      <c r="F66" s="88" t="s">
        <v>42</v>
      </c>
      <c r="G66" s="139" t="s">
        <v>578</v>
      </c>
      <c r="H66" s="88" t="s">
        <v>683</v>
      </c>
      <c r="I66" s="139" t="s">
        <v>597</v>
      </c>
      <c r="J66" s="139">
        <v>6000</v>
      </c>
      <c r="K66" s="168">
        <v>0.05</v>
      </c>
      <c r="L66" s="120" t="s">
        <v>900</v>
      </c>
      <c r="M66" s="88" t="s">
        <v>1132</v>
      </c>
      <c r="N66" s="88" t="s">
        <v>581</v>
      </c>
    </row>
    <row r="67" spans="1:14" s="125" customFormat="1" ht="23">
      <c r="A67" s="96" t="s">
        <v>1040</v>
      </c>
      <c r="B67" s="105"/>
      <c r="C67" s="137" t="s">
        <v>1135</v>
      </c>
      <c r="D67" s="138" t="s">
        <v>1041</v>
      </c>
      <c r="E67" s="120"/>
      <c r="F67" s="88" t="s">
        <v>42</v>
      </c>
      <c r="G67" s="139" t="s">
        <v>578</v>
      </c>
      <c r="H67" s="88" t="s">
        <v>1042</v>
      </c>
      <c r="I67" s="139" t="s">
        <v>597</v>
      </c>
      <c r="J67" s="139">
        <v>9000</v>
      </c>
      <c r="K67" s="120"/>
      <c r="L67" s="120" t="s">
        <v>900</v>
      </c>
      <c r="M67" s="88" t="s">
        <v>1132</v>
      </c>
      <c r="N67" s="88" t="s">
        <v>581</v>
      </c>
    </row>
    <row r="68" spans="1:14" s="125" customFormat="1" ht="23">
      <c r="A68" s="96" t="s">
        <v>1043</v>
      </c>
      <c r="B68" s="105"/>
      <c r="C68" s="137" t="s">
        <v>1044</v>
      </c>
      <c r="D68" s="138" t="s">
        <v>362</v>
      </c>
      <c r="E68" s="120"/>
      <c r="F68" s="88" t="s">
        <v>42</v>
      </c>
      <c r="G68" s="139" t="s">
        <v>578</v>
      </c>
      <c r="H68" s="88" t="s">
        <v>1042</v>
      </c>
      <c r="I68" s="139" t="s">
        <v>597</v>
      </c>
      <c r="J68" s="139">
        <f>10*600*1.21</f>
        <v>7260</v>
      </c>
      <c r="K68" s="120"/>
      <c r="L68" s="120" t="s">
        <v>586</v>
      </c>
      <c r="M68" s="88" t="s">
        <v>1133</v>
      </c>
      <c r="N68" s="88" t="s">
        <v>581</v>
      </c>
    </row>
    <row r="69" spans="1:14" s="125" customFormat="1" ht="23">
      <c r="A69" s="97" t="s">
        <v>1045</v>
      </c>
      <c r="B69" s="106"/>
      <c r="C69" s="140" t="s">
        <v>1046</v>
      </c>
      <c r="D69" s="140" t="s">
        <v>426</v>
      </c>
      <c r="E69" s="121"/>
      <c r="F69" s="89" t="s">
        <v>43</v>
      </c>
      <c r="G69" s="142" t="s">
        <v>587</v>
      </c>
      <c r="H69" s="121"/>
      <c r="I69" s="142" t="s">
        <v>635</v>
      </c>
      <c r="J69" s="142">
        <v>402049.72</v>
      </c>
      <c r="K69" s="170">
        <v>0.25</v>
      </c>
      <c r="L69" s="171" t="s">
        <v>900</v>
      </c>
      <c r="M69" s="171" t="s">
        <v>1133</v>
      </c>
      <c r="N69" s="171" t="s">
        <v>581</v>
      </c>
    </row>
    <row r="70" spans="1:14" s="125" customFormat="1" ht="23">
      <c r="A70" s="97" t="s">
        <v>1047</v>
      </c>
      <c r="B70" s="106"/>
      <c r="C70" s="140" t="s">
        <v>1048</v>
      </c>
      <c r="D70" s="140" t="s">
        <v>433</v>
      </c>
      <c r="E70" s="121"/>
      <c r="F70" s="89" t="s">
        <v>43</v>
      </c>
      <c r="G70" s="142" t="s">
        <v>578</v>
      </c>
      <c r="H70" s="121" t="s">
        <v>996</v>
      </c>
      <c r="I70" s="142" t="s">
        <v>597</v>
      </c>
      <c r="J70" s="142">
        <v>8000</v>
      </c>
      <c r="K70" s="121">
        <v>255</v>
      </c>
      <c r="L70" s="171" t="s">
        <v>900</v>
      </c>
      <c r="M70" s="171" t="s">
        <v>1133</v>
      </c>
      <c r="N70" s="171" t="s">
        <v>581</v>
      </c>
    </row>
    <row r="71" spans="1:14" s="125" customFormat="1" ht="23">
      <c r="A71" s="97" t="s">
        <v>1049</v>
      </c>
      <c r="B71" s="106"/>
      <c r="C71" s="140" t="s">
        <v>1050</v>
      </c>
      <c r="D71" s="140" t="s">
        <v>433</v>
      </c>
      <c r="E71" s="121"/>
      <c r="F71" s="89" t="s">
        <v>43</v>
      </c>
      <c r="G71" s="141" t="s">
        <v>578</v>
      </c>
      <c r="H71" s="121" t="s">
        <v>1025</v>
      </c>
      <c r="I71" s="142" t="s">
        <v>597</v>
      </c>
      <c r="J71" s="141">
        <v>8000</v>
      </c>
      <c r="K71" s="170">
        <v>0.25</v>
      </c>
      <c r="L71" s="171" t="s">
        <v>900</v>
      </c>
      <c r="M71" s="171" t="s">
        <v>1133</v>
      </c>
      <c r="N71" s="171" t="s">
        <v>581</v>
      </c>
    </row>
    <row r="72" spans="1:14" s="125" customFormat="1" ht="23">
      <c r="A72" s="97" t="s">
        <v>1051</v>
      </c>
      <c r="B72" s="106"/>
      <c r="C72" s="143" t="s">
        <v>1052</v>
      </c>
      <c r="D72" s="140" t="s">
        <v>476</v>
      </c>
      <c r="E72" s="121"/>
      <c r="F72" s="89" t="s">
        <v>43</v>
      </c>
      <c r="G72" s="142" t="s">
        <v>578</v>
      </c>
      <c r="H72" s="121" t="s">
        <v>1025</v>
      </c>
      <c r="I72" s="142" t="s">
        <v>597</v>
      </c>
      <c r="J72" s="142">
        <v>2000</v>
      </c>
      <c r="K72" s="170">
        <v>0.25</v>
      </c>
      <c r="L72" s="171" t="s">
        <v>586</v>
      </c>
      <c r="M72" s="171" t="s">
        <v>1133</v>
      </c>
      <c r="N72" s="171" t="s">
        <v>581</v>
      </c>
    </row>
    <row r="73" spans="1:14" s="125" customFormat="1" ht="23">
      <c r="A73" s="97" t="s">
        <v>1053</v>
      </c>
      <c r="B73" s="106"/>
      <c r="C73" s="140" t="s">
        <v>1054</v>
      </c>
      <c r="D73" s="140" t="s">
        <v>472</v>
      </c>
      <c r="E73" s="121"/>
      <c r="F73" s="89" t="s">
        <v>43</v>
      </c>
      <c r="G73" s="141" t="s">
        <v>578</v>
      </c>
      <c r="H73" s="121" t="s">
        <v>1025</v>
      </c>
      <c r="I73" s="142" t="s">
        <v>597</v>
      </c>
      <c r="J73" s="141">
        <v>3000</v>
      </c>
      <c r="K73" s="170">
        <v>0.25</v>
      </c>
      <c r="L73" s="171" t="s">
        <v>586</v>
      </c>
      <c r="M73" s="171" t="s">
        <v>1133</v>
      </c>
      <c r="N73" s="171" t="s">
        <v>581</v>
      </c>
    </row>
    <row r="74" spans="1:14" s="92" customFormat="1" ht="23">
      <c r="A74" s="97" t="s">
        <v>1055</v>
      </c>
      <c r="B74" s="106"/>
      <c r="C74" s="140" t="s">
        <v>1056</v>
      </c>
      <c r="D74" s="140" t="s">
        <v>438</v>
      </c>
      <c r="E74" s="121"/>
      <c r="F74" s="89" t="s">
        <v>43</v>
      </c>
      <c r="G74" s="142" t="s">
        <v>578</v>
      </c>
      <c r="H74" s="121" t="s">
        <v>1025</v>
      </c>
      <c r="I74" s="142" t="s">
        <v>597</v>
      </c>
      <c r="J74" s="142">
        <v>5000</v>
      </c>
      <c r="K74" s="170">
        <v>0.25</v>
      </c>
      <c r="L74" s="171" t="s">
        <v>900</v>
      </c>
      <c r="M74" s="171" t="s">
        <v>1133</v>
      </c>
      <c r="N74" s="171" t="s">
        <v>581</v>
      </c>
    </row>
    <row r="75" spans="1:14" s="92" customFormat="1" ht="23">
      <c r="A75" s="97" t="s">
        <v>1057</v>
      </c>
      <c r="B75" s="106"/>
      <c r="C75" s="140" t="s">
        <v>1058</v>
      </c>
      <c r="D75" s="140" t="s">
        <v>514</v>
      </c>
      <c r="E75" s="121"/>
      <c r="F75" s="89" t="s">
        <v>43</v>
      </c>
      <c r="G75" s="142" t="s">
        <v>578</v>
      </c>
      <c r="H75" s="121" t="s">
        <v>1042</v>
      </c>
      <c r="I75" s="142" t="s">
        <v>597</v>
      </c>
      <c r="J75" s="142">
        <v>13000</v>
      </c>
      <c r="K75" s="170">
        <v>0.25</v>
      </c>
      <c r="L75" s="171" t="s">
        <v>900</v>
      </c>
      <c r="M75" s="171" t="s">
        <v>1132</v>
      </c>
      <c r="N75" s="171" t="s">
        <v>581</v>
      </c>
    </row>
    <row r="76" spans="1:14" s="92" customFormat="1" ht="23">
      <c r="A76" s="97" t="s">
        <v>1059</v>
      </c>
      <c r="B76" s="106"/>
      <c r="C76" s="140" t="s">
        <v>1060</v>
      </c>
      <c r="D76" s="140" t="s">
        <v>514</v>
      </c>
      <c r="E76" s="121"/>
      <c r="F76" s="89" t="s">
        <v>43</v>
      </c>
      <c r="G76" s="142" t="s">
        <v>578</v>
      </c>
      <c r="H76" s="121" t="s">
        <v>1033</v>
      </c>
      <c r="I76" s="142" t="s">
        <v>597</v>
      </c>
      <c r="J76" s="142">
        <v>8000</v>
      </c>
      <c r="K76" s="170">
        <v>0.25</v>
      </c>
      <c r="L76" s="171" t="s">
        <v>900</v>
      </c>
      <c r="M76" s="171" t="s">
        <v>1133</v>
      </c>
      <c r="N76" s="171" t="s">
        <v>581</v>
      </c>
    </row>
    <row r="77" spans="1:14" ht="34.5">
      <c r="A77" s="97" t="s">
        <v>1061</v>
      </c>
      <c r="B77" s="106"/>
      <c r="C77" s="140" t="s">
        <v>1062</v>
      </c>
      <c r="D77" s="140" t="s">
        <v>514</v>
      </c>
      <c r="E77" s="121"/>
      <c r="F77" s="89" t="s">
        <v>43</v>
      </c>
      <c r="G77" s="142" t="s">
        <v>578</v>
      </c>
      <c r="H77" s="121" t="s">
        <v>1008</v>
      </c>
      <c r="I77" s="142" t="s">
        <v>597</v>
      </c>
      <c r="J77" s="142">
        <v>6000</v>
      </c>
      <c r="K77" s="170">
        <v>0.3</v>
      </c>
      <c r="L77" s="171" t="s">
        <v>900</v>
      </c>
      <c r="M77" s="171" t="s">
        <v>1132</v>
      </c>
      <c r="N77" s="171" t="s">
        <v>581</v>
      </c>
    </row>
    <row r="78" spans="1:14" ht="23">
      <c r="A78" s="97" t="s">
        <v>1063</v>
      </c>
      <c r="B78" s="106"/>
      <c r="C78" s="140" t="s">
        <v>1064</v>
      </c>
      <c r="D78" s="140" t="s">
        <v>466</v>
      </c>
      <c r="E78" s="121"/>
      <c r="F78" s="89" t="s">
        <v>43</v>
      </c>
      <c r="G78" s="142" t="s">
        <v>578</v>
      </c>
      <c r="H78" s="121" t="s">
        <v>1033</v>
      </c>
      <c r="I78" s="142" t="s">
        <v>597</v>
      </c>
      <c r="J78" s="142">
        <v>9000</v>
      </c>
      <c r="K78" s="170">
        <v>0.3</v>
      </c>
      <c r="L78" s="171" t="s">
        <v>900</v>
      </c>
      <c r="M78" s="171" t="s">
        <v>1132</v>
      </c>
      <c r="N78" s="171" t="s">
        <v>581</v>
      </c>
    </row>
    <row r="79" spans="1:14" ht="23">
      <c r="A79" s="97" t="s">
        <v>1065</v>
      </c>
      <c r="B79" s="106"/>
      <c r="C79" s="140" t="s">
        <v>1066</v>
      </c>
      <c r="D79" s="140" t="s">
        <v>466</v>
      </c>
      <c r="E79" s="121"/>
      <c r="F79" s="89" t="s">
        <v>43</v>
      </c>
      <c r="G79" s="142" t="s">
        <v>578</v>
      </c>
      <c r="H79" s="121" t="s">
        <v>1033</v>
      </c>
      <c r="I79" s="142" t="s">
        <v>597</v>
      </c>
      <c r="J79" s="142">
        <v>10000</v>
      </c>
      <c r="K79" s="170">
        <v>0.3</v>
      </c>
      <c r="L79" s="171" t="s">
        <v>900</v>
      </c>
      <c r="M79" s="171" t="s">
        <v>1133</v>
      </c>
      <c r="N79" s="171" t="s">
        <v>581</v>
      </c>
    </row>
    <row r="80" spans="1:14" ht="23">
      <c r="A80" s="97" t="s">
        <v>1067</v>
      </c>
      <c r="B80" s="106"/>
      <c r="C80" s="140" t="s">
        <v>1068</v>
      </c>
      <c r="D80" s="140" t="s">
        <v>466</v>
      </c>
      <c r="E80" s="121"/>
      <c r="F80" s="89" t="s">
        <v>43</v>
      </c>
      <c r="G80" s="142" t="s">
        <v>578</v>
      </c>
      <c r="H80" s="121" t="s">
        <v>1033</v>
      </c>
      <c r="I80" s="142" t="s">
        <v>635</v>
      </c>
      <c r="J80" s="142">
        <v>20000</v>
      </c>
      <c r="K80" s="170">
        <v>0.3</v>
      </c>
      <c r="L80" s="171" t="s">
        <v>900</v>
      </c>
      <c r="M80" s="171" t="s">
        <v>1133</v>
      </c>
      <c r="N80" s="171" t="s">
        <v>581</v>
      </c>
    </row>
    <row r="81" spans="1:14" ht="23">
      <c r="A81" s="97" t="s">
        <v>1069</v>
      </c>
      <c r="B81" s="106"/>
      <c r="C81" s="140" t="s">
        <v>1070</v>
      </c>
      <c r="D81" s="140" t="s">
        <v>438</v>
      </c>
      <c r="E81" s="121"/>
      <c r="F81" s="89" t="s">
        <v>43</v>
      </c>
      <c r="G81" s="142" t="s">
        <v>578</v>
      </c>
      <c r="H81" s="121" t="s">
        <v>1033</v>
      </c>
      <c r="I81" s="142" t="s">
        <v>597</v>
      </c>
      <c r="J81" s="142">
        <v>17500</v>
      </c>
      <c r="K81" s="170">
        <v>0.3</v>
      </c>
      <c r="L81" s="171" t="s">
        <v>900</v>
      </c>
      <c r="M81" s="171" t="s">
        <v>1133</v>
      </c>
      <c r="N81" s="171" t="s">
        <v>581</v>
      </c>
    </row>
    <row r="82" spans="1:14" ht="23">
      <c r="A82" s="97" t="s">
        <v>1071</v>
      </c>
      <c r="B82" s="106"/>
      <c r="C82" s="140" t="s">
        <v>1072</v>
      </c>
      <c r="D82" s="140" t="s">
        <v>514</v>
      </c>
      <c r="E82" s="121"/>
      <c r="F82" s="89" t="s">
        <v>43</v>
      </c>
      <c r="G82" s="142" t="s">
        <v>578</v>
      </c>
      <c r="H82" s="121" t="s">
        <v>668</v>
      </c>
      <c r="I82" s="142" t="s">
        <v>597</v>
      </c>
      <c r="J82" s="142">
        <v>4000</v>
      </c>
      <c r="K82" s="170">
        <v>0.3</v>
      </c>
      <c r="L82" s="171" t="s">
        <v>900</v>
      </c>
      <c r="M82" s="171" t="s">
        <v>1133</v>
      </c>
      <c r="N82" s="171" t="s">
        <v>581</v>
      </c>
    </row>
    <row r="83" spans="1:14" ht="23">
      <c r="A83" s="97" t="s">
        <v>1073</v>
      </c>
      <c r="B83" s="106"/>
      <c r="C83" s="140" t="s">
        <v>1074</v>
      </c>
      <c r="D83" s="140" t="s">
        <v>433</v>
      </c>
      <c r="E83" s="121"/>
      <c r="F83" s="89" t="s">
        <v>43</v>
      </c>
      <c r="G83" s="142" t="s">
        <v>578</v>
      </c>
      <c r="H83" s="121" t="s">
        <v>668</v>
      </c>
      <c r="I83" s="142" t="s">
        <v>597</v>
      </c>
      <c r="J83" s="142">
        <v>5000</v>
      </c>
      <c r="K83" s="170">
        <v>0.3</v>
      </c>
      <c r="L83" s="171" t="s">
        <v>586</v>
      </c>
      <c r="M83" s="171" t="s">
        <v>1132</v>
      </c>
      <c r="N83" s="171" t="s">
        <v>581</v>
      </c>
    </row>
    <row r="84" spans="1:14" ht="23">
      <c r="A84" s="97" t="s">
        <v>1075</v>
      </c>
      <c r="B84" s="106"/>
      <c r="C84" s="140" t="s">
        <v>1076</v>
      </c>
      <c r="D84" s="140" t="s">
        <v>509</v>
      </c>
      <c r="E84" s="121"/>
      <c r="F84" s="89" t="s">
        <v>43</v>
      </c>
      <c r="G84" s="142" t="s">
        <v>578</v>
      </c>
      <c r="H84" s="121" t="s">
        <v>1077</v>
      </c>
      <c r="I84" s="142" t="s">
        <v>597</v>
      </c>
      <c r="J84" s="142">
        <v>18000</v>
      </c>
      <c r="K84" s="170">
        <v>0.3</v>
      </c>
      <c r="L84" s="171" t="s">
        <v>900</v>
      </c>
      <c r="M84" s="171" t="s">
        <v>1132</v>
      </c>
      <c r="N84" s="171" t="s">
        <v>581</v>
      </c>
    </row>
    <row r="85" spans="1:14" ht="23">
      <c r="A85" s="97" t="s">
        <v>1078</v>
      </c>
      <c r="B85" s="106"/>
      <c r="C85" s="140" t="s">
        <v>1079</v>
      </c>
      <c r="D85" s="140" t="s">
        <v>501</v>
      </c>
      <c r="E85" s="121"/>
      <c r="F85" s="89" t="s">
        <v>43</v>
      </c>
      <c r="G85" s="142" t="s">
        <v>578</v>
      </c>
      <c r="H85" s="121" t="s">
        <v>1077</v>
      </c>
      <c r="I85" s="142" t="s">
        <v>597</v>
      </c>
      <c r="J85" s="142">
        <v>4000</v>
      </c>
      <c r="K85" s="170">
        <v>0.3</v>
      </c>
      <c r="L85" s="171" t="s">
        <v>586</v>
      </c>
      <c r="M85" s="171" t="s">
        <v>1130</v>
      </c>
      <c r="N85" s="171" t="s">
        <v>581</v>
      </c>
    </row>
    <row r="86" spans="1:14" ht="23">
      <c r="A86" s="98" t="s">
        <v>1080</v>
      </c>
      <c r="B86" s="107"/>
      <c r="C86" s="144" t="s">
        <v>1081</v>
      </c>
      <c r="D86" s="145" t="s">
        <v>1082</v>
      </c>
      <c r="E86" s="122"/>
      <c r="F86" s="90" t="s">
        <v>44</v>
      </c>
      <c r="G86" s="146" t="s">
        <v>578</v>
      </c>
      <c r="H86" s="122" t="s">
        <v>1083</v>
      </c>
      <c r="I86" s="146" t="s">
        <v>635</v>
      </c>
      <c r="J86" s="146">
        <v>5577.4</v>
      </c>
      <c r="K86" s="172">
        <v>0.05</v>
      </c>
      <c r="L86" s="122" t="s">
        <v>900</v>
      </c>
      <c r="M86" s="173" t="s">
        <v>1132</v>
      </c>
      <c r="N86" s="173" t="s">
        <v>581</v>
      </c>
    </row>
    <row r="87" spans="1:14" ht="23">
      <c r="A87" s="98" t="s">
        <v>1084</v>
      </c>
      <c r="B87" s="107"/>
      <c r="C87" s="144" t="s">
        <v>1085</v>
      </c>
      <c r="D87" s="145" t="s">
        <v>1086</v>
      </c>
      <c r="E87" s="122"/>
      <c r="F87" s="90" t="s">
        <v>44</v>
      </c>
      <c r="G87" s="146" t="s">
        <v>578</v>
      </c>
      <c r="H87" s="122" t="s">
        <v>1083</v>
      </c>
      <c r="I87" s="146" t="s">
        <v>635</v>
      </c>
      <c r="J87" s="146">
        <v>4237.08</v>
      </c>
      <c r="K87" s="172">
        <v>0.05</v>
      </c>
      <c r="L87" s="122" t="s">
        <v>900</v>
      </c>
      <c r="M87" s="173" t="s">
        <v>1132</v>
      </c>
      <c r="N87" s="173" t="s">
        <v>581</v>
      </c>
    </row>
    <row r="88" spans="1:14" ht="34.5">
      <c r="A88" s="98" t="s">
        <v>1087</v>
      </c>
      <c r="B88" s="107"/>
      <c r="C88" s="144" t="s">
        <v>1088</v>
      </c>
      <c r="D88" s="145" t="s">
        <v>1082</v>
      </c>
      <c r="E88" s="122" t="s">
        <v>1089</v>
      </c>
      <c r="F88" s="90" t="s">
        <v>44</v>
      </c>
      <c r="G88" s="146" t="s">
        <v>578</v>
      </c>
      <c r="H88" s="122" t="s">
        <v>598</v>
      </c>
      <c r="I88" s="123" t="s">
        <v>597</v>
      </c>
      <c r="J88" s="146">
        <v>30000</v>
      </c>
      <c r="K88" s="172">
        <v>0.05</v>
      </c>
      <c r="L88" s="122" t="s">
        <v>900</v>
      </c>
      <c r="M88" s="173" t="s">
        <v>1132</v>
      </c>
      <c r="N88" s="173" t="s">
        <v>581</v>
      </c>
    </row>
    <row r="89" spans="1:14" ht="34.5">
      <c r="A89" s="98" t="s">
        <v>1090</v>
      </c>
      <c r="B89" s="107"/>
      <c r="C89" s="144" t="s">
        <v>1091</v>
      </c>
      <c r="D89" s="145" t="s">
        <v>1092</v>
      </c>
      <c r="E89" s="122" t="s">
        <v>1093</v>
      </c>
      <c r="F89" s="90" t="s">
        <v>44</v>
      </c>
      <c r="G89" s="146" t="s">
        <v>578</v>
      </c>
      <c r="H89" s="122" t="s">
        <v>1094</v>
      </c>
      <c r="I89" s="146"/>
      <c r="J89" s="146">
        <v>25000</v>
      </c>
      <c r="K89" s="172">
        <v>0.1</v>
      </c>
      <c r="L89" s="122" t="s">
        <v>900</v>
      </c>
      <c r="M89" s="173" t="s">
        <v>1136</v>
      </c>
      <c r="N89" s="173" t="s">
        <v>581</v>
      </c>
    </row>
    <row r="90" spans="1:14" ht="34.5">
      <c r="A90" s="98" t="s">
        <v>1095</v>
      </c>
      <c r="B90" s="107"/>
      <c r="C90" s="144" t="s">
        <v>1096</v>
      </c>
      <c r="D90" s="145" t="s">
        <v>555</v>
      </c>
      <c r="E90" s="122"/>
      <c r="F90" s="90" t="s">
        <v>44</v>
      </c>
      <c r="G90" s="146" t="s">
        <v>578</v>
      </c>
      <c r="H90" s="122" t="s">
        <v>598</v>
      </c>
      <c r="I90" s="146" t="s">
        <v>635</v>
      </c>
      <c r="J90" s="146">
        <v>14000</v>
      </c>
      <c r="K90" s="172">
        <v>0.05</v>
      </c>
      <c r="L90" s="122" t="s">
        <v>586</v>
      </c>
      <c r="M90" s="173" t="s">
        <v>1132</v>
      </c>
      <c r="N90" s="173" t="s">
        <v>581</v>
      </c>
    </row>
    <row r="91" spans="1:14" ht="23">
      <c r="A91" s="98" t="s">
        <v>1097</v>
      </c>
      <c r="B91" s="107"/>
      <c r="C91" s="144" t="s">
        <v>1098</v>
      </c>
      <c r="D91" s="145" t="s">
        <v>570</v>
      </c>
      <c r="E91" s="122"/>
      <c r="F91" s="90" t="s">
        <v>44</v>
      </c>
      <c r="G91" s="146" t="s">
        <v>578</v>
      </c>
      <c r="H91" s="122" t="s">
        <v>1099</v>
      </c>
      <c r="I91" s="146" t="s">
        <v>635</v>
      </c>
      <c r="J91" s="146">
        <v>8000</v>
      </c>
      <c r="K91" s="172">
        <v>0.05</v>
      </c>
      <c r="L91" s="122" t="s">
        <v>900</v>
      </c>
      <c r="M91" s="173" t="s">
        <v>1136</v>
      </c>
      <c r="N91" s="173" t="s">
        <v>581</v>
      </c>
    </row>
    <row r="92" spans="1:14">
      <c r="A92" s="98" t="s">
        <v>1100</v>
      </c>
      <c r="B92" s="107"/>
      <c r="C92" s="144" t="s">
        <v>1101</v>
      </c>
      <c r="D92" s="145" t="s">
        <v>570</v>
      </c>
      <c r="E92" s="122"/>
      <c r="F92" s="90" t="s">
        <v>44</v>
      </c>
      <c r="G92" s="146" t="s">
        <v>578</v>
      </c>
      <c r="H92" s="122" t="s">
        <v>1102</v>
      </c>
      <c r="I92" s="146" t="s">
        <v>635</v>
      </c>
      <c r="J92" s="146">
        <v>8500</v>
      </c>
      <c r="K92" s="172">
        <v>0.05</v>
      </c>
      <c r="L92" s="122" t="s">
        <v>900</v>
      </c>
      <c r="M92" s="173" t="s">
        <v>1132</v>
      </c>
      <c r="N92" s="173" t="s">
        <v>581</v>
      </c>
    </row>
    <row r="93" spans="1:14" ht="23">
      <c r="A93" s="98" t="s">
        <v>1103</v>
      </c>
      <c r="B93" s="107"/>
      <c r="C93" s="144" t="s">
        <v>1104</v>
      </c>
      <c r="D93" s="145" t="s">
        <v>1092</v>
      </c>
      <c r="E93" s="122"/>
      <c r="F93" s="90" t="s">
        <v>44</v>
      </c>
      <c r="G93" s="146" t="s">
        <v>578</v>
      </c>
      <c r="H93" s="122" t="s">
        <v>1105</v>
      </c>
      <c r="I93" s="146" t="s">
        <v>635</v>
      </c>
      <c r="J93" s="146">
        <v>600</v>
      </c>
      <c r="K93" s="172">
        <v>0.05</v>
      </c>
      <c r="L93" s="122" t="s">
        <v>900</v>
      </c>
      <c r="M93" s="173" t="s">
        <v>1136</v>
      </c>
      <c r="N93" s="173" t="s">
        <v>581</v>
      </c>
    </row>
    <row r="94" spans="1:14">
      <c r="A94" s="98" t="s">
        <v>1106</v>
      </c>
      <c r="B94" s="107"/>
      <c r="C94" s="144" t="s">
        <v>1107</v>
      </c>
      <c r="D94" s="145" t="s">
        <v>1108</v>
      </c>
      <c r="E94" s="122"/>
      <c r="F94" s="90" t="s">
        <v>44</v>
      </c>
      <c r="G94" s="146" t="s">
        <v>578</v>
      </c>
      <c r="H94" s="122" t="s">
        <v>1109</v>
      </c>
      <c r="I94" s="146" t="s">
        <v>635</v>
      </c>
      <c r="J94" s="146">
        <v>500</v>
      </c>
      <c r="K94" s="172">
        <v>0.05</v>
      </c>
      <c r="L94" s="122" t="s">
        <v>586</v>
      </c>
      <c r="M94" s="173" t="s">
        <v>1132</v>
      </c>
      <c r="N94" s="173" t="s">
        <v>581</v>
      </c>
    </row>
    <row r="95" spans="1:14" ht="23">
      <c r="A95" s="98" t="s">
        <v>1110</v>
      </c>
      <c r="B95" s="107"/>
      <c r="C95" s="144" t="s">
        <v>1111</v>
      </c>
      <c r="D95" s="145" t="s">
        <v>570</v>
      </c>
      <c r="E95" s="122"/>
      <c r="F95" s="90" t="s">
        <v>44</v>
      </c>
      <c r="G95" s="146" t="s">
        <v>578</v>
      </c>
      <c r="H95" s="122" t="s">
        <v>996</v>
      </c>
      <c r="I95" s="146" t="s">
        <v>635</v>
      </c>
      <c r="J95" s="146">
        <f>62638.87+1169.95</f>
        <v>63808.82</v>
      </c>
      <c r="K95" s="172">
        <v>0.05</v>
      </c>
      <c r="L95" s="122" t="s">
        <v>900</v>
      </c>
      <c r="M95" s="173" t="s">
        <v>1132</v>
      </c>
      <c r="N95" s="173" t="s">
        <v>581</v>
      </c>
    </row>
    <row r="96" spans="1:14" ht="23">
      <c r="A96" s="98" t="s">
        <v>1112</v>
      </c>
      <c r="B96" s="107"/>
      <c r="C96" s="144" t="s">
        <v>1113</v>
      </c>
      <c r="D96" s="145" t="s">
        <v>1108</v>
      </c>
      <c r="E96" s="122"/>
      <c r="F96" s="90" t="s">
        <v>44</v>
      </c>
      <c r="G96" s="146" t="s">
        <v>578</v>
      </c>
      <c r="H96" s="122" t="s">
        <v>1114</v>
      </c>
      <c r="I96" s="146" t="s">
        <v>635</v>
      </c>
      <c r="J96" s="146">
        <v>500</v>
      </c>
      <c r="K96" s="172">
        <v>0.1</v>
      </c>
      <c r="L96" s="122" t="s">
        <v>586</v>
      </c>
      <c r="M96" s="173" t="s">
        <v>1137</v>
      </c>
      <c r="N96" s="173" t="s">
        <v>581</v>
      </c>
    </row>
    <row r="97" spans="1:14">
      <c r="A97" s="98" t="s">
        <v>1115</v>
      </c>
      <c r="B97" s="107"/>
      <c r="C97" s="144" t="s">
        <v>1116</v>
      </c>
      <c r="D97" s="145" t="s">
        <v>570</v>
      </c>
      <c r="E97" s="122"/>
      <c r="F97" s="90" t="s">
        <v>44</v>
      </c>
      <c r="G97" s="146" t="s">
        <v>578</v>
      </c>
      <c r="H97" s="122" t="s">
        <v>1117</v>
      </c>
      <c r="I97" s="146" t="s">
        <v>635</v>
      </c>
      <c r="J97" s="146">
        <v>5000</v>
      </c>
      <c r="K97" s="172">
        <v>0.05</v>
      </c>
      <c r="L97" s="122" t="s">
        <v>900</v>
      </c>
      <c r="M97" s="173" t="s">
        <v>1136</v>
      </c>
      <c r="N97" s="173" t="s">
        <v>581</v>
      </c>
    </row>
    <row r="98" spans="1:14">
      <c r="A98" s="98" t="s">
        <v>1118</v>
      </c>
      <c r="B98" s="107"/>
      <c r="C98" s="144" t="s">
        <v>1119</v>
      </c>
      <c r="D98" s="145" t="s">
        <v>1108</v>
      </c>
      <c r="E98" s="122"/>
      <c r="F98" s="90" t="s">
        <v>44</v>
      </c>
      <c r="G98" s="146" t="s">
        <v>578</v>
      </c>
      <c r="H98" s="122" t="s">
        <v>1120</v>
      </c>
      <c r="I98" s="146" t="s">
        <v>635</v>
      </c>
      <c r="J98" s="146">
        <v>1100</v>
      </c>
      <c r="K98" s="172">
        <v>0.05</v>
      </c>
      <c r="L98" s="122" t="s">
        <v>586</v>
      </c>
      <c r="M98" s="173" t="s">
        <v>1138</v>
      </c>
      <c r="N98" s="173" t="s">
        <v>581</v>
      </c>
    </row>
    <row r="99" spans="1:14">
      <c r="A99" s="98" t="s">
        <v>1121</v>
      </c>
      <c r="B99" s="107"/>
      <c r="C99" s="144" t="s">
        <v>1122</v>
      </c>
      <c r="D99" s="145" t="s">
        <v>1123</v>
      </c>
      <c r="E99" s="122"/>
      <c r="F99" s="90" t="s">
        <v>44</v>
      </c>
      <c r="G99" s="146" t="s">
        <v>578</v>
      </c>
      <c r="H99" s="122" t="s">
        <v>668</v>
      </c>
      <c r="I99" s="146" t="s">
        <v>579</v>
      </c>
      <c r="J99" s="146">
        <v>12000</v>
      </c>
      <c r="K99" s="172">
        <v>0.05</v>
      </c>
      <c r="L99" s="122" t="s">
        <v>900</v>
      </c>
      <c r="M99" s="173" t="s">
        <v>1132</v>
      </c>
      <c r="N99" s="173" t="s">
        <v>581</v>
      </c>
    </row>
    <row r="100" spans="1:14" ht="34.5">
      <c r="A100" s="98" t="s">
        <v>1124</v>
      </c>
      <c r="B100" s="107"/>
      <c r="C100" s="144" t="s">
        <v>1125</v>
      </c>
      <c r="D100" s="145" t="s">
        <v>1092</v>
      </c>
      <c r="E100" s="122"/>
      <c r="F100" s="90" t="s">
        <v>44</v>
      </c>
      <c r="G100" s="146" t="s">
        <v>578</v>
      </c>
      <c r="H100" s="122" t="s">
        <v>598</v>
      </c>
      <c r="I100" s="146" t="s">
        <v>635</v>
      </c>
      <c r="J100" s="146">
        <v>6000</v>
      </c>
      <c r="K100" s="172">
        <v>0.15</v>
      </c>
      <c r="L100" s="122" t="s">
        <v>900</v>
      </c>
      <c r="M100" s="173" t="s">
        <v>1132</v>
      </c>
      <c r="N100" s="173" t="s">
        <v>581</v>
      </c>
    </row>
    <row r="101" spans="1:14">
      <c r="A101" s="98" t="s">
        <v>1126</v>
      </c>
      <c r="B101" s="107"/>
      <c r="C101" s="144" t="s">
        <v>1127</v>
      </c>
      <c r="D101" s="145" t="str">
        <f>+'[2]PLA ESTRATÈGIC'!J86</f>
        <v>06.5.1</v>
      </c>
      <c r="E101" s="122"/>
      <c r="F101" s="90" t="s">
        <v>44</v>
      </c>
      <c r="G101" s="146" t="s">
        <v>587</v>
      </c>
      <c r="H101" s="122"/>
      <c r="I101" s="146" t="s">
        <v>588</v>
      </c>
      <c r="J101" s="146">
        <f>1500642/3+905273.6</f>
        <v>1405487.6</v>
      </c>
      <c r="K101" s="172">
        <v>0.75</v>
      </c>
      <c r="L101" s="122" t="s">
        <v>900</v>
      </c>
      <c r="M101" s="173" t="s">
        <v>1132</v>
      </c>
      <c r="N101" s="173" t="s">
        <v>581</v>
      </c>
    </row>
    <row r="102" spans="1:14">
      <c r="A102" s="98" t="s">
        <v>1128</v>
      </c>
      <c r="B102" s="107"/>
      <c r="C102" s="144" t="s">
        <v>1129</v>
      </c>
      <c r="D102" s="145"/>
      <c r="E102" s="122"/>
      <c r="F102" s="90" t="s">
        <v>44</v>
      </c>
      <c r="G102" s="146" t="s">
        <v>635</v>
      </c>
      <c r="H102" s="122"/>
      <c r="I102" s="146" t="s">
        <v>583</v>
      </c>
      <c r="J102" s="146">
        <f>1.2*1.25*(68897.53+38545.88*3.5+50110.97+48043.23*0.5+47651.72+31508.85+20906.57)</f>
        <v>567011.75250000006</v>
      </c>
      <c r="K102" s="122"/>
      <c r="L102" s="122"/>
      <c r="M102" s="173" t="s">
        <v>1132</v>
      </c>
      <c r="N102" s="173" t="s">
        <v>581</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6">
        <x14:dataValidation type="list" allowBlank="1" showInputMessage="1" showErrorMessage="1">
          <x14:formula1>
            <xm:f>Llistes!$B$2:$B$15</xm:f>
          </x14:formula1>
          <xm:sqref>G1:G3 G103:G1048576</xm:sqref>
        </x14:dataValidation>
        <x14:dataValidation type="list" allowBlank="1" showInputMessage="1" showErrorMessage="1">
          <x14:formula1>
            <xm:f>Llistes!$C$2:$C$19</xm:f>
          </x14:formula1>
          <xm:sqref>I1:I3 I103:I1048576</xm:sqref>
        </x14:dataValidation>
        <x14:dataValidation type="list" allowBlank="1" showInputMessage="1" showErrorMessage="1">
          <x14:formula1>
            <xm:f>Llistes!$G$3:$G$38</xm:f>
          </x14:formula1>
          <xm:sqref>H1:H3 H103:H1048576</xm:sqref>
        </x14:dataValidation>
        <x14:dataValidation type="list" allowBlank="1" showInputMessage="1" showErrorMessage="1">
          <x14:formula1>
            <xm:f>Llistes!$E$2:$E$8</xm:f>
          </x14:formula1>
          <xm:sqref>F1:F3 F103:F1048576</xm:sqref>
        </x14:dataValidation>
        <x14:dataValidation type="list" allowBlank="1" showInputMessage="1" showErrorMessage="1" errorTitle="Seleccioneu un parc del llistat" error="Seleccioneu un parc del llistat per tal de poder veure els possibles gestors responsables">
          <x14:formula1>
            <xm:f>Gestors!$A$2:$A$15</xm:f>
          </x14:formula1>
          <xm:sqref>N1</xm:sqref>
        </x14:dataValidation>
        <x14:dataValidation type="list" allowBlank="1" showInputMessage="1" showErrorMessage="1" errorTitle="Camp obligatori" error="Aquest camp és obligatori i ha de respondre's &quot;Sí&quot; o &quot;No&quot;">
          <x14:formula1>
            <xm:f>Llistes!$K$2:$K$3</xm:f>
          </x14:formula1>
          <xm:sqref>N4:N1048576</xm:sqref>
        </x14:dataValidation>
        <x14:dataValidation type="list" allowBlank="1" showInputMessage="1" showErrorMessage="1">
          <x14:formula1>
            <xm:f>INDIRECT(VLOOKUP($N$1,Gestors!$A$1:$B$15,2,FALSE))</xm:f>
          </x14:formula1>
          <xm:sqref>M4:M1048576</xm:sqref>
        </x14:dataValidation>
        <x14:dataValidation type="list" allowBlank="1" showInputMessage="1" showErrorMessage="1">
          <x14:formula1>
            <xm:f>'PLA ESTRATÈGIC'!$F$5:$F$185</xm:f>
          </x14:formula1>
          <xm:sqref>D103:D1048576</xm:sqref>
        </x14:dataValidation>
        <x14:dataValidation type="list" allowBlank="1" showInputMessage="1" showErrorMessage="1">
          <x14:formula1>
            <xm:f>'[Programa actuacions del Pla Estrategic PNMMBT 2026v2març2026.xlsx]Llistes'!#REF!</xm:f>
          </x14:formula1>
          <xm:sqref>F4:F102</xm:sqref>
        </x14:dataValidation>
        <x14:dataValidation type="list" allowBlank="1" showInputMessage="1" showErrorMessage="1">
          <x14:formula1>
            <xm:f>'[Programa actuacions del Pla Estrategic PNMMBT 2026v2març2026.xlsx]Llistes'!#REF!</xm:f>
          </x14:formula1>
          <xm:sqref>L4:L102</xm:sqref>
        </x14:dataValidation>
        <x14:dataValidation type="list" allowBlank="1" showInputMessage="1" showErrorMessage="1">
          <x14:formula1>
            <xm:f>'D:\2026\[Programa actuacions i pressupost 2025 versió amb gràfics.xlsx]Llistes'!#REF!</xm:f>
          </x14:formula1>
          <xm:sqref>I86:I100</xm:sqref>
        </x14:dataValidation>
        <x14:dataValidation type="list" allowBlank="1" showInputMessage="1" showErrorMessage="1">
          <x14:formula1>
            <xm:f>'[Programa actuacions del Pla Estrategic PNMMBT 2026v2març2026.xlsx]Llistes'!#REF!</xm:f>
          </x14:formula1>
          <xm:sqref>G69 G86:G102 G4:G57</xm:sqref>
        </x14:dataValidation>
        <x14:dataValidation type="list" allowBlank="1" showInputMessage="1" showErrorMessage="1">
          <x14:formula1>
            <xm:f>'[Programa actuacions del Pla Estrategic PNMMBT 2026v2març2026.xlsx]Llistes'!#REF!</xm:f>
          </x14:formula1>
          <xm:sqref>H25:H30 H32:H37 H40:H41 H44:H54 H58:H68 H70:H100 H4:H23</xm:sqref>
        </x14:dataValidation>
        <x14:dataValidation type="list" allowBlank="1" showInputMessage="1" showErrorMessage="1">
          <x14:formula1>
            <xm:f>'Z:\317\04476\PN_MONTGRI MEDES I BAIX  TER\UO4500\EIX 3 PLANIFICACIÓ\Pressupost\Pressupost 2025\Junta\[Programa actuacions i pressupost 2025 versió amb gràfics.xlsx]Llistes'!#REF!</xm:f>
          </x14:formula1>
          <xm:sqref>H24 H42:I43 I44:I54 H55:I57 I58:I68 G58:G68 H69:I69 G70:G85 I70:I85</xm:sqref>
        </x14:dataValidation>
        <x14:dataValidation type="list" allowBlank="1" showInputMessage="1" showErrorMessage="1">
          <x14:formula1>
            <xm:f>'[Programa actuacions del Pla Estrategic PNMMBT 2026v2març2026.xlsx]Llistes'!#REF!</xm:f>
          </x14:formula1>
          <xm:sqref>H38:H39 H31 H101:H102</xm:sqref>
        </x14:dataValidation>
        <x14:dataValidation type="list" allowBlank="1" showInputMessage="1" showErrorMessage="1">
          <x14:formula1>
            <xm:f>'[Programa actuacions del Pla Estrategic PNMMBT 2026v2març2026.xlsx]Llistes'!#REF!</xm:f>
          </x14:formula1>
          <xm:sqref>I101:I102 I4:I41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heetPr>
  <dimension ref="A1:AE206"/>
  <sheetViews>
    <sheetView showGridLines="0" tabSelected="1" zoomScaleNormal="100" workbookViewId="0">
      <pane ySplit="4" topLeftCell="A5" activePane="bottomLeft" state="frozen"/>
      <selection pane="bottomLeft" activeCell="F2" sqref="F2"/>
    </sheetView>
  </sheetViews>
  <sheetFormatPr defaultColWidth="8.7265625" defaultRowHeight="14.5"/>
  <cols>
    <col min="1" max="1" width="22.81640625" style="69" customWidth="1"/>
    <col min="2" max="2" width="4" style="14" customWidth="1"/>
    <col min="3" max="3" width="34.1796875" style="16" customWidth="1"/>
    <col min="4" max="4" width="7.26953125" style="12" customWidth="1"/>
    <col min="5" max="5" width="50" style="5" customWidth="1"/>
    <col min="6" max="6" width="7.81640625" style="7" customWidth="1"/>
    <col min="7" max="7" width="54.81640625" style="6" customWidth="1"/>
    <col min="8" max="8" width="15.453125" style="13" customWidth="1"/>
    <col min="9" max="9" width="18.1796875" style="13" customWidth="1"/>
    <col min="10" max="10" width="48.7265625" style="6" customWidth="1"/>
    <col min="11" max="11" width="30.7265625" style="13" hidden="1" customWidth="1"/>
    <col min="12" max="12" width="28.1796875" style="14" hidden="1" customWidth="1"/>
    <col min="13" max="13" width="10.54296875" style="15" customWidth="1"/>
    <col min="14" max="14" width="56" style="16" customWidth="1"/>
    <col min="15" max="15" width="24.7265625" style="15" hidden="1" customWidth="1"/>
    <col min="16" max="16" width="47.54296875" style="17" hidden="1" customWidth="1"/>
    <col min="17" max="16384" width="8.7265625" style="3"/>
  </cols>
  <sheetData>
    <row r="1" spans="1:31" s="417" customFormat="1" ht="18.5">
      <c r="A1" s="409"/>
      <c r="B1" s="410"/>
      <c r="C1" s="411"/>
      <c r="D1" s="412"/>
      <c r="E1" s="413"/>
      <c r="F1" s="414"/>
      <c r="G1" s="415"/>
      <c r="H1" s="405"/>
      <c r="I1" s="405"/>
      <c r="J1" s="415"/>
      <c r="K1" s="405"/>
      <c r="L1" s="406"/>
      <c r="M1" s="407"/>
      <c r="N1" s="408"/>
      <c r="O1" s="407"/>
      <c r="P1" s="416"/>
    </row>
    <row r="2" spans="1:31" ht="37">
      <c r="A2" s="18"/>
      <c r="B2" s="19" t="s">
        <v>45</v>
      </c>
      <c r="C2" s="20" t="s">
        <v>735</v>
      </c>
      <c r="J2" s="404"/>
      <c r="K2" s="405"/>
      <c r="L2" s="406"/>
      <c r="M2" s="407"/>
      <c r="N2" s="408"/>
    </row>
    <row r="3" spans="1:31" ht="18.5">
      <c r="A3" s="18"/>
      <c r="B3" s="19"/>
      <c r="C3" s="21"/>
      <c r="J3" s="13"/>
      <c r="K3" s="6"/>
      <c r="L3" s="13"/>
      <c r="M3" s="14"/>
      <c r="N3" s="15"/>
      <c r="O3" s="16"/>
      <c r="P3" s="15"/>
      <c r="Q3" s="17"/>
      <c r="S3" s="174" t="s">
        <v>1139</v>
      </c>
      <c r="T3" s="175"/>
      <c r="U3" s="174" t="s">
        <v>1140</v>
      </c>
      <c r="V3" s="176"/>
      <c r="W3" s="175"/>
      <c r="X3" s="174" t="s">
        <v>1141</v>
      </c>
      <c r="Y3" s="176"/>
      <c r="Z3" s="175"/>
      <c r="AD3" s="3" t="s">
        <v>1142</v>
      </c>
      <c r="AE3" s="3" t="s">
        <v>1137</v>
      </c>
    </row>
    <row r="4" spans="1:31" s="27" customFormat="1" ht="60" customHeight="1">
      <c r="A4" s="26" t="s">
        <v>46</v>
      </c>
      <c r="B4" s="177"/>
      <c r="C4" s="178" t="s">
        <v>47</v>
      </c>
      <c r="D4" s="179"/>
      <c r="E4" s="178" t="s">
        <v>48</v>
      </c>
      <c r="F4" s="22"/>
      <c r="G4" s="22" t="s">
        <v>1143</v>
      </c>
      <c r="H4" s="22" t="s">
        <v>49</v>
      </c>
      <c r="I4" s="23" t="s">
        <v>50</v>
      </c>
      <c r="J4" s="43"/>
      <c r="K4" s="11" t="s">
        <v>1144</v>
      </c>
      <c r="L4" s="10" t="s">
        <v>51</v>
      </c>
      <c r="M4" s="10" t="s">
        <v>52</v>
      </c>
      <c r="N4" s="24" t="s">
        <v>53</v>
      </c>
      <c r="O4" s="10" t="s">
        <v>54</v>
      </c>
      <c r="P4" s="25" t="s">
        <v>55</v>
      </c>
      <c r="Q4" s="26" t="s">
        <v>56</v>
      </c>
      <c r="R4" s="180" t="s">
        <v>1145</v>
      </c>
      <c r="S4" s="180" t="s">
        <v>1146</v>
      </c>
      <c r="T4" s="180" t="s">
        <v>1147</v>
      </c>
      <c r="U4" s="180" t="s">
        <v>1148</v>
      </c>
      <c r="V4" s="180" t="s">
        <v>1149</v>
      </c>
      <c r="W4" s="180" t="s">
        <v>1150</v>
      </c>
      <c r="X4" s="180" t="s">
        <v>1148</v>
      </c>
      <c r="Y4" s="180" t="s">
        <v>1149</v>
      </c>
      <c r="Z4" s="180" t="s">
        <v>1150</v>
      </c>
      <c r="AD4" s="3" t="s">
        <v>1151</v>
      </c>
      <c r="AE4" s="3" t="s">
        <v>1130</v>
      </c>
    </row>
    <row r="5" spans="1:31" ht="141.65" customHeight="1">
      <c r="A5" s="181" t="s">
        <v>57</v>
      </c>
      <c r="B5" s="182">
        <v>1</v>
      </c>
      <c r="C5" s="183" t="s">
        <v>58</v>
      </c>
      <c r="D5" s="184" t="s">
        <v>59</v>
      </c>
      <c r="E5" s="185" t="s">
        <v>60</v>
      </c>
      <c r="F5" s="186" t="s">
        <v>61</v>
      </c>
      <c r="G5" s="187" t="s">
        <v>1152</v>
      </c>
      <c r="H5" s="188" t="s">
        <v>62</v>
      </c>
      <c r="I5" s="188" t="s">
        <v>63</v>
      </c>
      <c r="J5" s="43" t="s">
        <v>905</v>
      </c>
      <c r="K5" s="32" t="s">
        <v>1153</v>
      </c>
      <c r="L5" s="43" t="s">
        <v>1154</v>
      </c>
      <c r="M5" s="34" t="s">
        <v>900</v>
      </c>
      <c r="N5" s="35" t="s">
        <v>1155</v>
      </c>
      <c r="O5" s="34" t="s">
        <v>1156</v>
      </c>
      <c r="P5" s="36" t="s">
        <v>64</v>
      </c>
      <c r="Q5" s="37" t="s">
        <v>65</v>
      </c>
      <c r="R5" s="189" t="s">
        <v>1157</v>
      </c>
      <c r="S5" s="189">
        <v>1</v>
      </c>
      <c r="T5" s="189">
        <v>3</v>
      </c>
      <c r="U5" s="189">
        <f t="shared" ref="U5:U23" si="0">0.4*X5</f>
        <v>160</v>
      </c>
      <c r="V5" s="190" t="s">
        <v>1158</v>
      </c>
      <c r="W5" s="190" t="s">
        <v>1159</v>
      </c>
      <c r="X5" s="189">
        <f>2*10*20</f>
        <v>400</v>
      </c>
      <c r="Y5" s="190" t="s">
        <v>1158</v>
      </c>
      <c r="Z5" s="190" t="s">
        <v>1159</v>
      </c>
      <c r="AD5" s="3" t="s">
        <v>1160</v>
      </c>
      <c r="AE5" s="3" t="s">
        <v>1161</v>
      </c>
    </row>
    <row r="6" spans="1:31" ht="107.5" customHeight="1">
      <c r="A6" s="191"/>
      <c r="B6" s="182"/>
      <c r="C6" s="192"/>
      <c r="D6" s="193"/>
      <c r="E6" s="194"/>
      <c r="F6" s="195"/>
      <c r="G6" s="196"/>
      <c r="H6" s="197"/>
      <c r="I6" s="197"/>
      <c r="J6" s="43" t="s">
        <v>899</v>
      </c>
      <c r="K6" s="32" t="s">
        <v>1162</v>
      </c>
      <c r="L6" s="43" t="s">
        <v>1154</v>
      </c>
      <c r="M6" s="34" t="s">
        <v>900</v>
      </c>
      <c r="N6" s="35" t="s">
        <v>1155</v>
      </c>
      <c r="O6" s="34" t="s">
        <v>1163</v>
      </c>
      <c r="P6" s="36" t="s">
        <v>64</v>
      </c>
      <c r="Q6" s="37" t="s">
        <v>65</v>
      </c>
      <c r="R6" s="189" t="s">
        <v>1157</v>
      </c>
      <c r="S6" s="189">
        <v>1</v>
      </c>
      <c r="T6" s="189">
        <v>3</v>
      </c>
      <c r="U6" s="189">
        <f t="shared" si="0"/>
        <v>160</v>
      </c>
      <c r="V6" s="190" t="s">
        <v>1164</v>
      </c>
      <c r="W6" s="190" t="s">
        <v>1165</v>
      </c>
      <c r="X6" s="189">
        <f>2*10*20</f>
        <v>400</v>
      </c>
      <c r="Y6" s="190" t="s">
        <v>1164</v>
      </c>
      <c r="Z6" s="190" t="s">
        <v>1165</v>
      </c>
      <c r="AD6" s="3" t="s">
        <v>1166</v>
      </c>
      <c r="AE6" s="3" t="s">
        <v>1167</v>
      </c>
    </row>
    <row r="7" spans="1:31" ht="57" customHeight="1">
      <c r="A7" s="191"/>
      <c r="B7" s="182"/>
      <c r="C7" s="192"/>
      <c r="D7" s="198"/>
      <c r="E7" s="199"/>
      <c r="F7" s="29" t="s">
        <v>66</v>
      </c>
      <c r="G7" s="30" t="s">
        <v>67</v>
      </c>
      <c r="H7" s="31" t="s">
        <v>62</v>
      </c>
      <c r="I7" s="31" t="s">
        <v>63</v>
      </c>
      <c r="J7" s="43" t="s">
        <v>66</v>
      </c>
      <c r="K7" s="32" t="s">
        <v>1168</v>
      </c>
      <c r="L7" s="33" t="s">
        <v>1169</v>
      </c>
      <c r="M7" s="38" t="s">
        <v>900</v>
      </c>
      <c r="N7" s="35" t="s">
        <v>1155</v>
      </c>
      <c r="O7" s="34" t="s">
        <v>1170</v>
      </c>
      <c r="P7" s="36"/>
      <c r="Q7" s="39"/>
      <c r="R7" s="190" t="s">
        <v>1171</v>
      </c>
      <c r="S7" s="189">
        <v>3</v>
      </c>
      <c r="T7" s="189">
        <v>10</v>
      </c>
      <c r="U7" s="189">
        <f t="shared" si="0"/>
        <v>40</v>
      </c>
      <c r="V7" s="190" t="s">
        <v>1158</v>
      </c>
      <c r="W7" s="189" t="s">
        <v>1166</v>
      </c>
      <c r="X7" s="189">
        <f>5*20</f>
        <v>100</v>
      </c>
      <c r="Y7" s="190" t="s">
        <v>1158</v>
      </c>
      <c r="Z7" s="189" t="s">
        <v>1166</v>
      </c>
      <c r="AD7" s="3" t="s">
        <v>1172</v>
      </c>
      <c r="AE7" s="3" t="s">
        <v>1173</v>
      </c>
    </row>
    <row r="8" spans="1:31" ht="65.150000000000006" customHeight="1">
      <c r="A8" s="191"/>
      <c r="B8" s="182"/>
      <c r="C8" s="192"/>
      <c r="D8" s="200" t="s">
        <v>68</v>
      </c>
      <c r="E8" s="201" t="s">
        <v>69</v>
      </c>
      <c r="F8" s="188" t="s">
        <v>70</v>
      </c>
      <c r="G8" s="187" t="s">
        <v>1174</v>
      </c>
      <c r="H8" s="188" t="s">
        <v>62</v>
      </c>
      <c r="I8" s="188" t="s">
        <v>71</v>
      </c>
      <c r="J8" s="43" t="s">
        <v>1175</v>
      </c>
      <c r="K8" s="32" t="s">
        <v>1176</v>
      </c>
      <c r="L8" s="33" t="s">
        <v>1177</v>
      </c>
      <c r="M8" s="38" t="s">
        <v>900</v>
      </c>
      <c r="N8" s="35" t="s">
        <v>1178</v>
      </c>
      <c r="O8" s="34" t="s">
        <v>1179</v>
      </c>
      <c r="P8" s="36" t="s">
        <v>72</v>
      </c>
      <c r="Q8" s="37" t="s">
        <v>73</v>
      </c>
      <c r="R8" s="190" t="s">
        <v>1180</v>
      </c>
      <c r="S8" s="189">
        <v>1</v>
      </c>
      <c r="T8" s="189">
        <v>3</v>
      </c>
      <c r="U8" s="189">
        <f t="shared" si="0"/>
        <v>72</v>
      </c>
      <c r="V8" s="190" t="s">
        <v>1158</v>
      </c>
      <c r="W8" s="190" t="s">
        <v>1181</v>
      </c>
      <c r="X8" s="189">
        <f>3*5*20-X9</f>
        <v>180</v>
      </c>
      <c r="Y8" s="190" t="s">
        <v>1158</v>
      </c>
      <c r="Z8" s="190" t="s">
        <v>1181</v>
      </c>
      <c r="AD8" s="3" t="s">
        <v>1182</v>
      </c>
      <c r="AE8" s="3" t="s">
        <v>1183</v>
      </c>
    </row>
    <row r="9" spans="1:31" ht="73" customHeight="1">
      <c r="A9" s="191"/>
      <c r="B9" s="182"/>
      <c r="C9" s="192"/>
      <c r="D9" s="193"/>
      <c r="E9" s="194"/>
      <c r="F9" s="197"/>
      <c r="G9" s="196"/>
      <c r="H9" s="197"/>
      <c r="I9" s="197"/>
      <c r="J9" s="43" t="s">
        <v>1184</v>
      </c>
      <c r="K9" s="32" t="s">
        <v>1185</v>
      </c>
      <c r="L9" s="33" t="s">
        <v>1177</v>
      </c>
      <c r="M9" s="38" t="s">
        <v>900</v>
      </c>
      <c r="N9" s="35" t="s">
        <v>1178</v>
      </c>
      <c r="O9" s="34" t="s">
        <v>1186</v>
      </c>
      <c r="P9" s="36" t="s">
        <v>72</v>
      </c>
      <c r="Q9" s="37" t="s">
        <v>73</v>
      </c>
      <c r="R9" s="190" t="s">
        <v>1180</v>
      </c>
      <c r="S9" s="189">
        <v>1</v>
      </c>
      <c r="T9" s="189">
        <v>2</v>
      </c>
      <c r="U9" s="189">
        <f t="shared" si="0"/>
        <v>48</v>
      </c>
      <c r="V9" s="190" t="s">
        <v>1164</v>
      </c>
      <c r="W9" s="190" t="s">
        <v>1187</v>
      </c>
      <c r="X9" s="189">
        <f>3*2*20</f>
        <v>120</v>
      </c>
      <c r="Y9" s="190" t="s">
        <v>1164</v>
      </c>
      <c r="Z9" s="190" t="s">
        <v>1187</v>
      </c>
      <c r="AD9" s="3" t="s">
        <v>1188</v>
      </c>
      <c r="AE9" s="3" t="s">
        <v>1189</v>
      </c>
    </row>
    <row r="10" spans="1:31" ht="111.65" customHeight="1">
      <c r="A10" s="191"/>
      <c r="B10" s="182"/>
      <c r="C10" s="192"/>
      <c r="D10" s="193"/>
      <c r="E10" s="194"/>
      <c r="F10" s="31" t="s">
        <v>74</v>
      </c>
      <c r="G10" s="30" t="s">
        <v>75</v>
      </c>
      <c r="H10" s="31" t="s">
        <v>62</v>
      </c>
      <c r="I10" s="31" t="s">
        <v>63</v>
      </c>
      <c r="J10" s="43" t="s">
        <v>74</v>
      </c>
      <c r="K10" s="32" t="str">
        <f>G10</f>
        <v>Executar les mesures previstes en els plans de conservació o recuperació d'espècies amenaçades de forma coordinada amb el Servei de Flora i Fauna en l'àmbit de l'ENP</v>
      </c>
      <c r="L10" s="33"/>
      <c r="M10" s="34" t="s">
        <v>900</v>
      </c>
      <c r="N10" s="35" t="s">
        <v>1155</v>
      </c>
      <c r="O10" s="34" t="s">
        <v>1190</v>
      </c>
      <c r="P10" s="40" t="s">
        <v>76</v>
      </c>
      <c r="Q10" s="37" t="s">
        <v>77</v>
      </c>
      <c r="R10" s="190" t="s">
        <v>1191</v>
      </c>
      <c r="S10" s="189">
        <v>6</v>
      </c>
      <c r="T10" s="189">
        <v>10</v>
      </c>
      <c r="U10" s="189">
        <f t="shared" si="0"/>
        <v>128</v>
      </c>
      <c r="V10" s="190" t="s">
        <v>1158</v>
      </c>
      <c r="W10" s="190" t="s">
        <v>1181</v>
      </c>
      <c r="X10" s="189">
        <f>8*2*20</f>
        <v>320</v>
      </c>
      <c r="Y10" s="190" t="s">
        <v>1158</v>
      </c>
      <c r="Z10" s="190" t="s">
        <v>1181</v>
      </c>
      <c r="AD10" s="3" t="s">
        <v>1192</v>
      </c>
      <c r="AE10" s="3" t="s">
        <v>1132</v>
      </c>
    </row>
    <row r="11" spans="1:31" ht="98.5" customHeight="1">
      <c r="A11" s="191"/>
      <c r="B11" s="182"/>
      <c r="C11" s="192"/>
      <c r="D11" s="193"/>
      <c r="E11" s="194"/>
      <c r="F11" s="188" t="s">
        <v>37</v>
      </c>
      <c r="G11" s="187" t="s">
        <v>1193</v>
      </c>
      <c r="H11" s="188" t="s">
        <v>62</v>
      </c>
      <c r="I11" s="188" t="s">
        <v>63</v>
      </c>
      <c r="J11" s="43" t="s">
        <v>940</v>
      </c>
      <c r="K11" s="32" t="s">
        <v>1194</v>
      </c>
      <c r="L11" s="33"/>
      <c r="M11" s="34" t="s">
        <v>900</v>
      </c>
      <c r="N11" s="35" t="s">
        <v>1155</v>
      </c>
      <c r="O11" s="34" t="s">
        <v>1195</v>
      </c>
      <c r="P11" s="40" t="s">
        <v>78</v>
      </c>
      <c r="Q11" s="37" t="s">
        <v>79</v>
      </c>
      <c r="R11" s="190" t="s">
        <v>1196</v>
      </c>
      <c r="S11" s="202">
        <v>0.3</v>
      </c>
      <c r="T11" s="202">
        <v>0.5</v>
      </c>
      <c r="U11" s="189">
        <f t="shared" si="0"/>
        <v>216</v>
      </c>
      <c r="V11" s="190" t="s">
        <v>1158</v>
      </c>
      <c r="W11" s="190" t="s">
        <v>1181</v>
      </c>
      <c r="X11" s="189">
        <f>15*2*20-X12</f>
        <v>540</v>
      </c>
      <c r="Y11" s="190" t="s">
        <v>1158</v>
      </c>
      <c r="Z11" s="190" t="s">
        <v>1181</v>
      </c>
    </row>
    <row r="12" spans="1:31" ht="99.65" customHeight="1">
      <c r="A12" s="191"/>
      <c r="B12" s="182"/>
      <c r="C12" s="192"/>
      <c r="D12" s="193"/>
      <c r="E12" s="194"/>
      <c r="F12" s="197"/>
      <c r="G12" s="196"/>
      <c r="H12" s="197"/>
      <c r="I12" s="197"/>
      <c r="J12" s="43" t="s">
        <v>1197</v>
      </c>
      <c r="K12" s="32" t="s">
        <v>1198</v>
      </c>
      <c r="L12" s="33"/>
      <c r="M12" s="34" t="s">
        <v>900</v>
      </c>
      <c r="N12" s="35" t="s">
        <v>1155</v>
      </c>
      <c r="O12" s="34" t="s">
        <v>1199</v>
      </c>
      <c r="P12" s="40" t="s">
        <v>78</v>
      </c>
      <c r="Q12" s="37" t="s">
        <v>79</v>
      </c>
      <c r="R12" s="190" t="s">
        <v>1196</v>
      </c>
      <c r="S12" s="202">
        <v>0.1</v>
      </c>
      <c r="T12" s="202">
        <v>0.25</v>
      </c>
      <c r="U12" s="189">
        <f t="shared" si="0"/>
        <v>24</v>
      </c>
      <c r="V12" s="190" t="s">
        <v>1164</v>
      </c>
      <c r="W12" s="190" t="s">
        <v>1165</v>
      </c>
      <c r="X12" s="189">
        <f>15*2*2</f>
        <v>60</v>
      </c>
      <c r="Y12" s="190" t="s">
        <v>1164</v>
      </c>
      <c r="Z12" s="190" t="s">
        <v>1165</v>
      </c>
    </row>
    <row r="13" spans="1:31" ht="104.15" customHeight="1">
      <c r="A13" s="191"/>
      <c r="B13" s="182"/>
      <c r="C13" s="192"/>
      <c r="D13" s="198"/>
      <c r="E13" s="199"/>
      <c r="F13" s="31" t="s">
        <v>80</v>
      </c>
      <c r="G13" s="30" t="s">
        <v>81</v>
      </c>
      <c r="H13" s="31" t="s">
        <v>82</v>
      </c>
      <c r="I13" s="31" t="s">
        <v>83</v>
      </c>
      <c r="J13" s="43" t="s">
        <v>80</v>
      </c>
      <c r="K13" s="32" t="str">
        <f>G13</f>
        <v xml:space="preserve">Desplegar els objectius i tasques recollits en els instruments de referència i compromisos internacionals  </v>
      </c>
      <c r="L13" s="33"/>
      <c r="M13" s="34" t="s">
        <v>900</v>
      </c>
      <c r="N13" s="35" t="s">
        <v>1178</v>
      </c>
      <c r="O13" s="34" t="s">
        <v>1200</v>
      </c>
      <c r="P13" s="40"/>
      <c r="Q13" s="37"/>
      <c r="R13" s="190" t="s">
        <v>1201</v>
      </c>
      <c r="S13" s="189">
        <v>4</v>
      </c>
      <c r="T13" s="189">
        <v>6</v>
      </c>
      <c r="U13" s="189">
        <f t="shared" si="0"/>
        <v>240</v>
      </c>
      <c r="V13" s="190" t="s">
        <v>1164</v>
      </c>
      <c r="W13" s="190" t="s">
        <v>1165</v>
      </c>
      <c r="X13" s="189">
        <f>5*6*20</f>
        <v>600</v>
      </c>
      <c r="Y13" s="190" t="s">
        <v>1164</v>
      </c>
      <c r="Z13" s="190" t="s">
        <v>1165</v>
      </c>
    </row>
    <row r="14" spans="1:31" ht="86.15" customHeight="1">
      <c r="A14" s="191"/>
      <c r="B14" s="182"/>
      <c r="C14" s="192"/>
      <c r="D14" s="200" t="s">
        <v>84</v>
      </c>
      <c r="E14" s="201" t="s">
        <v>85</v>
      </c>
      <c r="F14" s="186" t="s">
        <v>86</v>
      </c>
      <c r="G14" s="187" t="s">
        <v>1202</v>
      </c>
      <c r="H14" s="188" t="s">
        <v>62</v>
      </c>
      <c r="I14" s="188" t="s">
        <v>63</v>
      </c>
      <c r="J14" s="43" t="s">
        <v>1203</v>
      </c>
      <c r="K14" s="32" t="s">
        <v>1204</v>
      </c>
      <c r="L14" s="43" t="s">
        <v>1205</v>
      </c>
      <c r="M14" s="34" t="s">
        <v>900</v>
      </c>
      <c r="N14" s="35" t="s">
        <v>1178</v>
      </c>
      <c r="O14" s="34" t="s">
        <v>1206</v>
      </c>
      <c r="P14" s="36" t="s">
        <v>72</v>
      </c>
      <c r="Q14" s="37" t="s">
        <v>87</v>
      </c>
      <c r="R14" s="190" t="s">
        <v>1207</v>
      </c>
      <c r="S14" s="189">
        <v>1</v>
      </c>
      <c r="T14" s="189">
        <v>1</v>
      </c>
      <c r="U14" s="189">
        <f t="shared" si="0"/>
        <v>480</v>
      </c>
      <c r="V14" s="189" t="s">
        <v>1208</v>
      </c>
      <c r="W14" s="190" t="s">
        <v>1209</v>
      </c>
      <c r="X14" s="189">
        <f>60*20</f>
        <v>1200</v>
      </c>
      <c r="Y14" s="189" t="s">
        <v>1208</v>
      </c>
      <c r="Z14" s="190" t="s">
        <v>1209</v>
      </c>
    </row>
    <row r="15" spans="1:31" ht="83.5" customHeight="1">
      <c r="A15" s="191"/>
      <c r="B15" s="182"/>
      <c r="C15" s="192"/>
      <c r="D15" s="193"/>
      <c r="E15" s="194"/>
      <c r="F15" s="195"/>
      <c r="G15" s="196"/>
      <c r="H15" s="197"/>
      <c r="I15" s="197"/>
      <c r="J15" s="43" t="s">
        <v>1210</v>
      </c>
      <c r="K15" s="32" t="s">
        <v>1211</v>
      </c>
      <c r="L15" s="43" t="s">
        <v>1205</v>
      </c>
      <c r="M15" s="34" t="s">
        <v>900</v>
      </c>
      <c r="N15" s="35" t="s">
        <v>1178</v>
      </c>
      <c r="O15" s="34" t="s">
        <v>1212</v>
      </c>
      <c r="P15" s="36" t="s">
        <v>72</v>
      </c>
      <c r="Q15" s="37" t="s">
        <v>87</v>
      </c>
      <c r="R15" s="190" t="s">
        <v>1207</v>
      </c>
      <c r="S15" s="189">
        <v>1</v>
      </c>
      <c r="T15" s="189">
        <v>1</v>
      </c>
      <c r="U15" s="189">
        <f t="shared" si="0"/>
        <v>480</v>
      </c>
      <c r="V15" s="189" t="s">
        <v>1208</v>
      </c>
      <c r="W15" s="190" t="s">
        <v>1213</v>
      </c>
      <c r="X15" s="189">
        <f>60*20</f>
        <v>1200</v>
      </c>
      <c r="Y15" s="189" t="s">
        <v>1208</v>
      </c>
      <c r="Z15" s="190" t="s">
        <v>1213</v>
      </c>
    </row>
    <row r="16" spans="1:31" ht="79.5" customHeight="1">
      <c r="A16" s="191"/>
      <c r="B16" s="182"/>
      <c r="C16" s="192"/>
      <c r="D16" s="193"/>
      <c r="E16" s="194"/>
      <c r="F16" s="29" t="s">
        <v>88</v>
      </c>
      <c r="G16" s="30" t="s">
        <v>89</v>
      </c>
      <c r="H16" s="31" t="s">
        <v>82</v>
      </c>
      <c r="I16" s="31" t="s">
        <v>83</v>
      </c>
      <c r="J16" s="43" t="s">
        <v>88</v>
      </c>
      <c r="K16" s="32" t="str">
        <f>G16</f>
        <v>Afavorir la maduresa dels sistemes forestals</v>
      </c>
      <c r="L16" s="33"/>
      <c r="M16" s="34" t="s">
        <v>900</v>
      </c>
      <c r="N16" s="35" t="s">
        <v>1155</v>
      </c>
      <c r="O16" s="34" t="s">
        <v>1214</v>
      </c>
      <c r="P16" s="36" t="s">
        <v>64</v>
      </c>
      <c r="Q16" s="37" t="s">
        <v>87</v>
      </c>
      <c r="R16" s="189" t="s">
        <v>1215</v>
      </c>
      <c r="S16" s="189">
        <v>2</v>
      </c>
      <c r="T16" s="189">
        <v>4</v>
      </c>
      <c r="U16" s="189">
        <f t="shared" si="0"/>
        <v>72</v>
      </c>
      <c r="V16" s="190" t="s">
        <v>1158</v>
      </c>
      <c r="W16" s="189" t="s">
        <v>1151</v>
      </c>
      <c r="X16" s="189">
        <f>3*3*20</f>
        <v>180</v>
      </c>
      <c r="Y16" s="190" t="s">
        <v>1158</v>
      </c>
      <c r="Z16" s="189" t="s">
        <v>1151</v>
      </c>
    </row>
    <row r="17" spans="1:26" ht="106" customHeight="1">
      <c r="A17" s="191"/>
      <c r="B17" s="182"/>
      <c r="C17" s="192"/>
      <c r="D17" s="193"/>
      <c r="E17" s="194"/>
      <c r="F17" s="29" t="s">
        <v>90</v>
      </c>
      <c r="G17" s="30" t="s">
        <v>91</v>
      </c>
      <c r="H17" s="31" t="s">
        <v>82</v>
      </c>
      <c r="I17" s="31" t="s">
        <v>83</v>
      </c>
      <c r="J17" s="43" t="s">
        <v>90</v>
      </c>
      <c r="K17" s="32" t="str">
        <f>G17</f>
        <v>Generar pertorbacions controlades</v>
      </c>
      <c r="L17" s="33"/>
      <c r="M17" s="34" t="s">
        <v>900</v>
      </c>
      <c r="N17" s="35" t="s">
        <v>1178</v>
      </c>
      <c r="O17" s="34" t="s">
        <v>1216</v>
      </c>
      <c r="P17" s="36" t="s">
        <v>64</v>
      </c>
      <c r="Q17" s="37" t="s">
        <v>87</v>
      </c>
      <c r="R17" s="190" t="s">
        <v>1217</v>
      </c>
      <c r="S17" s="189">
        <v>10</v>
      </c>
      <c r="T17" s="189">
        <v>16</v>
      </c>
      <c r="U17" s="189">
        <f t="shared" si="0"/>
        <v>80</v>
      </c>
      <c r="V17" s="190" t="s">
        <v>1158</v>
      </c>
      <c r="W17" s="190" t="s">
        <v>1218</v>
      </c>
      <c r="X17" s="189">
        <f>10*20</f>
        <v>200</v>
      </c>
      <c r="Y17" s="190" t="s">
        <v>1158</v>
      </c>
      <c r="Z17" s="190" t="s">
        <v>1218</v>
      </c>
    </row>
    <row r="18" spans="1:26" ht="121" customHeight="1">
      <c r="A18" s="191"/>
      <c r="B18" s="182"/>
      <c r="C18" s="192"/>
      <c r="D18" s="193"/>
      <c r="E18" s="194"/>
      <c r="F18" s="29" t="s">
        <v>92</v>
      </c>
      <c r="G18" s="30" t="s">
        <v>93</v>
      </c>
      <c r="H18" s="31" t="s">
        <v>82</v>
      </c>
      <c r="I18" s="31" t="s">
        <v>83</v>
      </c>
      <c r="J18" s="43" t="s">
        <v>92</v>
      </c>
      <c r="K18" s="32" t="s">
        <v>1219</v>
      </c>
      <c r="L18" s="43" t="s">
        <v>1220</v>
      </c>
      <c r="M18" s="34" t="s">
        <v>900</v>
      </c>
      <c r="N18" s="35" t="s">
        <v>1178</v>
      </c>
      <c r="O18" s="34" t="s">
        <v>1221</v>
      </c>
      <c r="P18" s="36" t="s">
        <v>64</v>
      </c>
      <c r="Q18" s="37" t="s">
        <v>87</v>
      </c>
      <c r="R18" s="190" t="s">
        <v>1222</v>
      </c>
      <c r="S18" s="189">
        <v>1</v>
      </c>
      <c r="T18" s="189">
        <v>2</v>
      </c>
      <c r="U18" s="189">
        <f t="shared" si="0"/>
        <v>112</v>
      </c>
      <c r="V18" s="190" t="s">
        <v>1158</v>
      </c>
      <c r="W18" s="190" t="s">
        <v>1223</v>
      </c>
      <c r="X18" s="189">
        <f>2*20*7</f>
        <v>280</v>
      </c>
      <c r="Y18" s="190" t="s">
        <v>1158</v>
      </c>
      <c r="Z18" s="190" t="s">
        <v>1223</v>
      </c>
    </row>
    <row r="19" spans="1:26" ht="112" customHeight="1">
      <c r="A19" s="191"/>
      <c r="B19" s="182"/>
      <c r="C19" s="192"/>
      <c r="D19" s="193"/>
      <c r="E19" s="194"/>
      <c r="F19" s="29" t="s">
        <v>94</v>
      </c>
      <c r="G19" s="30" t="s">
        <v>95</v>
      </c>
      <c r="H19" s="31" t="s">
        <v>82</v>
      </c>
      <c r="I19" s="31" t="s">
        <v>83</v>
      </c>
      <c r="J19" s="43" t="s">
        <v>94</v>
      </c>
      <c r="K19" s="32" t="str">
        <f t="shared" ref="K19:K23" si="1">G19</f>
        <v>Fomentar el paisatge en mosaïc</v>
      </c>
      <c r="L19" s="33"/>
      <c r="M19" s="34" t="s">
        <v>900</v>
      </c>
      <c r="N19" s="35" t="s">
        <v>1224</v>
      </c>
      <c r="O19" s="34" t="s">
        <v>1225</v>
      </c>
      <c r="P19" s="36" t="s">
        <v>72</v>
      </c>
      <c r="Q19" s="37" t="s">
        <v>87</v>
      </c>
      <c r="R19" s="189" t="s">
        <v>1226</v>
      </c>
      <c r="S19" s="189">
        <v>30</v>
      </c>
      <c r="T19" s="189">
        <v>60</v>
      </c>
      <c r="U19" s="189">
        <f t="shared" si="0"/>
        <v>80</v>
      </c>
      <c r="V19" s="190" t="s">
        <v>1158</v>
      </c>
      <c r="W19" s="190" t="s">
        <v>1227</v>
      </c>
      <c r="X19" s="189">
        <f>20*10</f>
        <v>200</v>
      </c>
      <c r="Y19" s="190" t="s">
        <v>1158</v>
      </c>
      <c r="Z19" s="190" t="s">
        <v>1227</v>
      </c>
    </row>
    <row r="20" spans="1:26" ht="89.5" customHeight="1">
      <c r="A20" s="191"/>
      <c r="B20" s="182"/>
      <c r="C20" s="192"/>
      <c r="D20" s="193"/>
      <c r="E20" s="194"/>
      <c r="F20" s="29" t="s">
        <v>96</v>
      </c>
      <c r="G20" s="30" t="s">
        <v>97</v>
      </c>
      <c r="H20" s="31" t="s">
        <v>82</v>
      </c>
      <c r="I20" s="31" t="s">
        <v>83</v>
      </c>
      <c r="J20" s="43" t="s">
        <v>96</v>
      </c>
      <c r="K20" s="32" t="str">
        <f t="shared" si="1"/>
        <v>Gestionar i intervenir en la dinàmica de poblacions de fauna que no tenen depredador natural</v>
      </c>
      <c r="L20" s="33"/>
      <c r="M20" s="34" t="s">
        <v>900</v>
      </c>
      <c r="N20" s="35" t="s">
        <v>1155</v>
      </c>
      <c r="O20" s="34" t="s">
        <v>1228</v>
      </c>
      <c r="P20" s="36"/>
      <c r="Q20" s="37" t="s">
        <v>87</v>
      </c>
      <c r="R20" s="190" t="s">
        <v>1229</v>
      </c>
      <c r="S20" s="190" t="s">
        <v>1230</v>
      </c>
      <c r="T20" s="190" t="s">
        <v>1231</v>
      </c>
      <c r="U20" s="189">
        <f t="shared" si="0"/>
        <v>88</v>
      </c>
      <c r="V20" s="190" t="s">
        <v>1158</v>
      </c>
      <c r="W20" s="189" t="s">
        <v>1151</v>
      </c>
      <c r="X20" s="189">
        <f>6*10+16*10</f>
        <v>220</v>
      </c>
      <c r="Y20" s="190" t="s">
        <v>1158</v>
      </c>
      <c r="Z20" s="189" t="s">
        <v>1151</v>
      </c>
    </row>
    <row r="21" spans="1:26" ht="62.5" customHeight="1">
      <c r="A21" s="191"/>
      <c r="B21" s="182"/>
      <c r="C21" s="192"/>
      <c r="D21" s="193"/>
      <c r="E21" s="194"/>
      <c r="F21" s="186" t="s">
        <v>1232</v>
      </c>
      <c r="G21" s="187" t="s">
        <v>1233</v>
      </c>
      <c r="H21" s="188" t="s">
        <v>82</v>
      </c>
      <c r="I21" s="188" t="s">
        <v>83</v>
      </c>
      <c r="J21" s="43" t="s">
        <v>1234</v>
      </c>
      <c r="K21" s="32" t="s">
        <v>1235</v>
      </c>
      <c r="L21" s="203"/>
      <c r="M21" s="34" t="s">
        <v>900</v>
      </c>
      <c r="N21" s="35" t="s">
        <v>1178</v>
      </c>
      <c r="O21" s="34" t="s">
        <v>1236</v>
      </c>
      <c r="P21" s="36"/>
      <c r="Q21" s="37"/>
      <c r="R21" s="190" t="s">
        <v>1237</v>
      </c>
      <c r="S21" s="189">
        <v>4</v>
      </c>
      <c r="T21" s="189">
        <v>5</v>
      </c>
      <c r="U21" s="189">
        <f t="shared" si="0"/>
        <v>128</v>
      </c>
      <c r="V21" s="190" t="s">
        <v>1158</v>
      </c>
      <c r="W21" s="190" t="s">
        <v>1238</v>
      </c>
      <c r="X21" s="189">
        <f>4*80</f>
        <v>320</v>
      </c>
      <c r="Y21" s="190" t="s">
        <v>1158</v>
      </c>
      <c r="Z21" s="190" t="s">
        <v>1238</v>
      </c>
    </row>
    <row r="22" spans="1:26" ht="62" customHeight="1">
      <c r="A22" s="191"/>
      <c r="B22" s="182"/>
      <c r="C22" s="192"/>
      <c r="D22" s="198"/>
      <c r="E22" s="199"/>
      <c r="F22" s="195"/>
      <c r="G22" s="196"/>
      <c r="H22" s="197"/>
      <c r="I22" s="197"/>
      <c r="J22" s="43" t="s">
        <v>1239</v>
      </c>
      <c r="K22" s="32" t="s">
        <v>1240</v>
      </c>
      <c r="L22" s="203"/>
      <c r="M22" s="34" t="s">
        <v>900</v>
      </c>
      <c r="N22" s="35" t="s">
        <v>1178</v>
      </c>
      <c r="O22" s="34" t="s">
        <v>1241</v>
      </c>
      <c r="P22" s="36"/>
      <c r="Q22" s="37"/>
      <c r="R22" s="190" t="s">
        <v>1237</v>
      </c>
      <c r="S22" s="189">
        <v>2</v>
      </c>
      <c r="T22" s="189">
        <v>4</v>
      </c>
      <c r="U22" s="189">
        <f t="shared" si="0"/>
        <v>128</v>
      </c>
      <c r="V22" s="190" t="s">
        <v>1164</v>
      </c>
      <c r="W22" s="190" t="s">
        <v>1242</v>
      </c>
      <c r="X22" s="189">
        <f>4*80</f>
        <v>320</v>
      </c>
      <c r="Y22" s="190" t="s">
        <v>1164</v>
      </c>
      <c r="Z22" s="190" t="s">
        <v>1242</v>
      </c>
    </row>
    <row r="23" spans="1:26" ht="66.5" customHeight="1">
      <c r="A23" s="191"/>
      <c r="B23" s="182"/>
      <c r="C23" s="192"/>
      <c r="D23" s="200" t="s">
        <v>98</v>
      </c>
      <c r="E23" s="201" t="s">
        <v>99</v>
      </c>
      <c r="F23" s="29" t="s">
        <v>100</v>
      </c>
      <c r="G23" s="30" t="s">
        <v>101</v>
      </c>
      <c r="H23" s="31" t="s">
        <v>62</v>
      </c>
      <c r="I23" s="31" t="s">
        <v>83</v>
      </c>
      <c r="J23" s="43" t="s">
        <v>100</v>
      </c>
      <c r="K23" s="32" t="str">
        <f t="shared" si="1"/>
        <v>Fomentar acords de custòdia en espais d'alt valor dins l'ENP per a la gestió dels elements prioritaris</v>
      </c>
      <c r="L23" s="33"/>
      <c r="M23" s="34" t="s">
        <v>586</v>
      </c>
      <c r="N23" s="35" t="s">
        <v>1155</v>
      </c>
      <c r="O23" s="34" t="s">
        <v>1243</v>
      </c>
      <c r="P23" s="36" t="s">
        <v>64</v>
      </c>
      <c r="Q23" s="37" t="s">
        <v>102</v>
      </c>
      <c r="R23" s="190" t="s">
        <v>1244</v>
      </c>
      <c r="S23" s="189">
        <v>1</v>
      </c>
      <c r="T23" s="189">
        <v>2</v>
      </c>
      <c r="U23" s="189">
        <f t="shared" si="0"/>
        <v>56</v>
      </c>
      <c r="V23" s="189" t="s">
        <v>1208</v>
      </c>
      <c r="W23" s="189" t="s">
        <v>1192</v>
      </c>
      <c r="X23" s="189">
        <f>10*7*2</f>
        <v>140</v>
      </c>
      <c r="Y23" s="189" t="s">
        <v>1208</v>
      </c>
      <c r="Z23" s="189" t="s">
        <v>1192</v>
      </c>
    </row>
    <row r="24" spans="1:26" ht="125.15" customHeight="1">
      <c r="A24" s="191"/>
      <c r="B24" s="182"/>
      <c r="C24" s="192"/>
      <c r="D24" s="193"/>
      <c r="E24" s="194"/>
      <c r="F24" s="186" t="s">
        <v>103</v>
      </c>
      <c r="G24" s="187" t="s">
        <v>104</v>
      </c>
      <c r="H24" s="188" t="s">
        <v>62</v>
      </c>
      <c r="I24" s="188" t="s">
        <v>83</v>
      </c>
      <c r="J24" s="204" t="s">
        <v>1245</v>
      </c>
      <c r="K24" s="205" t="s">
        <v>1246</v>
      </c>
      <c r="L24" s="206"/>
      <c r="M24" s="207" t="s">
        <v>900</v>
      </c>
      <c r="N24" s="208" t="s">
        <v>1178</v>
      </c>
      <c r="O24" s="207" t="s">
        <v>1247</v>
      </c>
      <c r="P24" s="36"/>
      <c r="Q24" s="37"/>
      <c r="R24" s="209" t="s">
        <v>1248</v>
      </c>
      <c r="S24" s="210">
        <v>1</v>
      </c>
      <c r="T24" s="210">
        <v>4</v>
      </c>
      <c r="U24" s="210">
        <v>120</v>
      </c>
      <c r="V24" s="209" t="s">
        <v>1249</v>
      </c>
      <c r="W24" s="209" t="s">
        <v>1250</v>
      </c>
      <c r="X24" s="210">
        <v>180</v>
      </c>
      <c r="Y24" s="209" t="s">
        <v>1249</v>
      </c>
      <c r="Z24" s="209" t="s">
        <v>1250</v>
      </c>
    </row>
    <row r="25" spans="1:26" ht="78.650000000000006" customHeight="1">
      <c r="A25" s="191"/>
      <c r="B25" s="182"/>
      <c r="C25" s="192"/>
      <c r="D25" s="193"/>
      <c r="E25" s="194"/>
      <c r="F25" s="195"/>
      <c r="G25" s="196"/>
      <c r="H25" s="197"/>
      <c r="I25" s="197"/>
      <c r="J25" s="204" t="s">
        <v>915</v>
      </c>
      <c r="K25" s="205" t="s">
        <v>1251</v>
      </c>
      <c r="L25" s="206"/>
      <c r="M25" s="207" t="s">
        <v>900</v>
      </c>
      <c r="N25" s="208" t="s">
        <v>1178</v>
      </c>
      <c r="O25" s="207" t="s">
        <v>1252</v>
      </c>
      <c r="P25" s="36"/>
      <c r="Q25" s="37"/>
      <c r="R25" s="209" t="s">
        <v>1248</v>
      </c>
      <c r="S25" s="210">
        <v>1</v>
      </c>
      <c r="T25" s="210">
        <v>2</v>
      </c>
      <c r="U25" s="210">
        <v>40</v>
      </c>
      <c r="V25" s="209" t="s">
        <v>1249</v>
      </c>
      <c r="W25" s="209" t="s">
        <v>1250</v>
      </c>
      <c r="X25" s="210">
        <v>120</v>
      </c>
      <c r="Y25" s="209" t="s">
        <v>1164</v>
      </c>
      <c r="Z25" s="209" t="s">
        <v>1253</v>
      </c>
    </row>
    <row r="26" spans="1:26" ht="60.65" customHeight="1">
      <c r="A26" s="191"/>
      <c r="B26" s="182"/>
      <c r="C26" s="192"/>
      <c r="D26" s="198"/>
      <c r="E26" s="199"/>
      <c r="F26" s="29" t="s">
        <v>105</v>
      </c>
      <c r="G26" s="30" t="s">
        <v>106</v>
      </c>
      <c r="H26" s="31" t="s">
        <v>82</v>
      </c>
      <c r="I26" s="31" t="s">
        <v>83</v>
      </c>
      <c r="J26" s="43" t="s">
        <v>105</v>
      </c>
      <c r="K26" s="32" t="str">
        <f>G26</f>
        <v>Impulsar la coordinació amb els ens locals en la gestió finques públiques situades dins d’ENP</v>
      </c>
      <c r="L26" s="33"/>
      <c r="M26" s="34" t="s">
        <v>900</v>
      </c>
      <c r="N26" s="35" t="s">
        <v>1224</v>
      </c>
      <c r="O26" s="34" t="s">
        <v>1254</v>
      </c>
      <c r="P26" s="36" t="s">
        <v>72</v>
      </c>
      <c r="Q26" s="37"/>
      <c r="R26" s="190" t="s">
        <v>1255</v>
      </c>
      <c r="S26" s="189">
        <v>1</v>
      </c>
      <c r="T26" s="189">
        <v>2</v>
      </c>
      <c r="U26" s="189">
        <f>0.4*X26</f>
        <v>56</v>
      </c>
      <c r="V26" s="189" t="s">
        <v>1208</v>
      </c>
      <c r="W26" s="190" t="s">
        <v>1256</v>
      </c>
      <c r="X26" s="189">
        <f>+X23</f>
        <v>140</v>
      </c>
      <c r="Y26" s="189" t="s">
        <v>1208</v>
      </c>
      <c r="Z26" s="190" t="s">
        <v>1256</v>
      </c>
    </row>
    <row r="27" spans="1:26" ht="75.650000000000006" customHeight="1">
      <c r="A27" s="191"/>
      <c r="B27" s="28">
        <v>2</v>
      </c>
      <c r="C27" s="70" t="s">
        <v>107</v>
      </c>
      <c r="D27" s="200" t="s">
        <v>108</v>
      </c>
      <c r="E27" s="211" t="s">
        <v>109</v>
      </c>
      <c r="F27" s="29" t="s">
        <v>110</v>
      </c>
      <c r="G27" s="30" t="s">
        <v>111</v>
      </c>
      <c r="H27" s="31" t="s">
        <v>62</v>
      </c>
      <c r="I27" s="31" t="s">
        <v>63</v>
      </c>
      <c r="J27" s="43" t="s">
        <v>110</v>
      </c>
      <c r="K27" s="32" t="s">
        <v>1257</v>
      </c>
      <c r="L27" s="43" t="s">
        <v>1258</v>
      </c>
      <c r="M27" s="34" t="s">
        <v>900</v>
      </c>
      <c r="N27" s="35" t="s">
        <v>1155</v>
      </c>
      <c r="O27" s="34" t="s">
        <v>1259</v>
      </c>
      <c r="P27" s="36"/>
      <c r="Q27" s="37" t="s">
        <v>112</v>
      </c>
      <c r="R27" s="190" t="s">
        <v>1260</v>
      </c>
      <c r="S27" s="189">
        <v>1</v>
      </c>
      <c r="T27" s="189">
        <v>2</v>
      </c>
      <c r="U27" s="189">
        <f t="shared" ref="U27:U90" si="2">0.4*X27</f>
        <v>128</v>
      </c>
      <c r="V27" s="189" t="s">
        <v>1208</v>
      </c>
      <c r="W27" s="190" t="s">
        <v>1261</v>
      </c>
      <c r="X27" s="189">
        <f>2*2*80</f>
        <v>320</v>
      </c>
      <c r="Y27" s="189" t="s">
        <v>1208</v>
      </c>
      <c r="Z27" s="190" t="s">
        <v>1261</v>
      </c>
    </row>
    <row r="28" spans="1:26" ht="105" customHeight="1">
      <c r="A28" s="191"/>
      <c r="B28" s="182"/>
      <c r="C28" s="212"/>
      <c r="D28" s="193"/>
      <c r="E28" s="213"/>
      <c r="F28" s="29" t="s">
        <v>113</v>
      </c>
      <c r="G28" s="30" t="s">
        <v>114</v>
      </c>
      <c r="H28" s="31" t="s">
        <v>62</v>
      </c>
      <c r="I28" s="31" t="s">
        <v>71</v>
      </c>
      <c r="J28" s="43" t="s">
        <v>113</v>
      </c>
      <c r="K28" s="32" t="s">
        <v>1262</v>
      </c>
      <c r="L28" s="33"/>
      <c r="M28" s="34" t="s">
        <v>586</v>
      </c>
      <c r="N28" s="35" t="s">
        <v>1263</v>
      </c>
      <c r="O28" s="34" t="s">
        <v>1264</v>
      </c>
      <c r="P28" s="36"/>
      <c r="Q28" s="37"/>
      <c r="R28" s="190" t="s">
        <v>1265</v>
      </c>
      <c r="S28" s="190" t="s">
        <v>1266</v>
      </c>
      <c r="T28" s="190" t="s">
        <v>1267</v>
      </c>
      <c r="U28" s="189">
        <f t="shared" si="2"/>
        <v>166</v>
      </c>
      <c r="V28" s="190" t="s">
        <v>1158</v>
      </c>
      <c r="W28" s="190" t="s">
        <v>1268</v>
      </c>
      <c r="X28" s="189">
        <f>10*8*3+(12*8+7*7)+3*10</f>
        <v>415</v>
      </c>
      <c r="Y28" s="190" t="s">
        <v>1158</v>
      </c>
      <c r="Z28" s="190" t="s">
        <v>1268</v>
      </c>
    </row>
    <row r="29" spans="1:26" ht="72" customHeight="1">
      <c r="A29" s="191"/>
      <c r="B29" s="182"/>
      <c r="C29" s="212"/>
      <c r="D29" s="193"/>
      <c r="E29" s="213"/>
      <c r="F29" s="29" t="s">
        <v>115</v>
      </c>
      <c r="G29" s="30" t="s">
        <v>116</v>
      </c>
      <c r="H29" s="31" t="s">
        <v>82</v>
      </c>
      <c r="I29" s="31" t="s">
        <v>83</v>
      </c>
      <c r="J29" s="43" t="s">
        <v>115</v>
      </c>
      <c r="K29" s="32" t="str">
        <f>G29</f>
        <v>Participar en la redacció i execució dels instruments d'ordenació forestal sostenible i per la conservació en finques públiques</v>
      </c>
      <c r="L29" s="33"/>
      <c r="M29" s="34" t="s">
        <v>900</v>
      </c>
      <c r="N29" s="35" t="s">
        <v>1224</v>
      </c>
      <c r="O29" s="34" t="s">
        <v>1269</v>
      </c>
      <c r="P29" s="36"/>
      <c r="Q29" s="37" t="s">
        <v>117</v>
      </c>
      <c r="R29" s="190" t="s">
        <v>1270</v>
      </c>
      <c r="S29" s="190" t="s">
        <v>1271</v>
      </c>
      <c r="T29" s="190" t="s">
        <v>1272</v>
      </c>
      <c r="U29" s="189">
        <f t="shared" si="2"/>
        <v>128</v>
      </c>
      <c r="V29" s="190" t="s">
        <v>1158</v>
      </c>
      <c r="W29" s="189" t="s">
        <v>1151</v>
      </c>
      <c r="X29" s="190">
        <f>2*120+40*2</f>
        <v>320</v>
      </c>
      <c r="Y29" s="190" t="s">
        <v>1158</v>
      </c>
      <c r="Z29" s="189" t="s">
        <v>1151</v>
      </c>
    </row>
    <row r="30" spans="1:26" ht="65.150000000000006" customHeight="1">
      <c r="A30" s="191"/>
      <c r="B30" s="182"/>
      <c r="C30" s="212"/>
      <c r="D30" s="198"/>
      <c r="E30" s="214"/>
      <c r="F30" s="29" t="s">
        <v>118</v>
      </c>
      <c r="G30" s="30" t="s">
        <v>119</v>
      </c>
      <c r="H30" s="31" t="s">
        <v>82</v>
      </c>
      <c r="I30" s="31" t="s">
        <v>120</v>
      </c>
      <c r="J30" s="43" t="s">
        <v>118</v>
      </c>
      <c r="K30" s="32" t="s">
        <v>1273</v>
      </c>
      <c r="L30" s="43" t="s">
        <v>1274</v>
      </c>
      <c r="M30" s="34"/>
      <c r="N30" s="35"/>
      <c r="O30" s="34"/>
      <c r="P30" s="36"/>
      <c r="Q30" s="37"/>
      <c r="R30" s="189"/>
      <c r="S30" s="189"/>
      <c r="T30" s="189"/>
      <c r="U30" s="189">
        <f t="shared" si="2"/>
        <v>0</v>
      </c>
      <c r="V30" s="189"/>
      <c r="W30" s="189"/>
      <c r="X30" s="189"/>
      <c r="Y30" s="189"/>
      <c r="Z30" s="189"/>
    </row>
    <row r="31" spans="1:26" ht="60.65" customHeight="1">
      <c r="A31" s="191"/>
      <c r="B31" s="182"/>
      <c r="C31" s="212"/>
      <c r="D31" s="200" t="s">
        <v>121</v>
      </c>
      <c r="E31" s="201" t="s">
        <v>122</v>
      </c>
      <c r="F31" s="29" t="s">
        <v>123</v>
      </c>
      <c r="G31" s="30" t="s">
        <v>124</v>
      </c>
      <c r="H31" s="31" t="s">
        <v>62</v>
      </c>
      <c r="I31" s="31" t="s">
        <v>63</v>
      </c>
      <c r="J31" s="43" t="s">
        <v>123</v>
      </c>
      <c r="K31" s="32" t="s">
        <v>1275</v>
      </c>
      <c r="L31" s="33"/>
      <c r="M31" s="34"/>
      <c r="N31" s="35" t="s">
        <v>1224</v>
      </c>
      <c r="O31" s="34" t="s">
        <v>1276</v>
      </c>
      <c r="P31" s="36" t="s">
        <v>72</v>
      </c>
      <c r="Q31" s="37" t="s">
        <v>125</v>
      </c>
      <c r="R31" s="190" t="s">
        <v>1277</v>
      </c>
      <c r="S31" s="189">
        <v>16</v>
      </c>
      <c r="T31" s="189">
        <v>40</v>
      </c>
      <c r="U31" s="189">
        <f t="shared" si="2"/>
        <v>96</v>
      </c>
      <c r="V31" s="190" t="s">
        <v>1158</v>
      </c>
      <c r="W31" s="190" t="s">
        <v>1218</v>
      </c>
      <c r="X31" s="189">
        <f>40*6</f>
        <v>240</v>
      </c>
      <c r="Y31" s="190" t="s">
        <v>1158</v>
      </c>
      <c r="Z31" s="190" t="s">
        <v>1218</v>
      </c>
    </row>
    <row r="32" spans="1:26" ht="45" customHeight="1">
      <c r="A32" s="191"/>
      <c r="B32" s="182"/>
      <c r="C32" s="212"/>
      <c r="D32" s="193"/>
      <c r="E32" s="194"/>
      <c r="F32" s="29" t="s">
        <v>126</v>
      </c>
      <c r="G32" s="30" t="s">
        <v>127</v>
      </c>
      <c r="H32" s="31" t="s">
        <v>82</v>
      </c>
      <c r="I32" s="31" t="s">
        <v>83</v>
      </c>
      <c r="J32" s="43" t="s">
        <v>126</v>
      </c>
      <c r="K32" s="32" t="str">
        <f t="shared" ref="K32:K37" si="3">G32</f>
        <v>Definir i planificar la gestió del foc per a la millora de l'ENP</v>
      </c>
      <c r="L32" s="33"/>
      <c r="M32" s="34"/>
      <c r="N32" s="35" t="s">
        <v>1224</v>
      </c>
      <c r="O32" s="34" t="s">
        <v>1278</v>
      </c>
      <c r="P32" s="36"/>
      <c r="Q32" s="37" t="s">
        <v>128</v>
      </c>
      <c r="R32" s="189"/>
      <c r="S32" s="189"/>
      <c r="T32" s="189"/>
      <c r="U32" s="189">
        <f t="shared" si="2"/>
        <v>0</v>
      </c>
      <c r="V32" s="189"/>
      <c r="W32" s="189"/>
      <c r="X32" s="189"/>
      <c r="Y32" s="189"/>
      <c r="Z32" s="189"/>
    </row>
    <row r="33" spans="1:26" ht="43.5" customHeight="1">
      <c r="A33" s="191"/>
      <c r="B33" s="215"/>
      <c r="C33" s="216"/>
      <c r="D33" s="198"/>
      <c r="E33" s="199"/>
      <c r="F33" s="29" t="s">
        <v>129</v>
      </c>
      <c r="G33" s="30" t="s">
        <v>130</v>
      </c>
      <c r="H33" s="31" t="s">
        <v>62</v>
      </c>
      <c r="I33" s="31" t="s">
        <v>63</v>
      </c>
      <c r="J33" s="43" t="s">
        <v>129</v>
      </c>
      <c r="K33" s="32" t="str">
        <f t="shared" si="3"/>
        <v>Treballar per a la prevenció d'incendis juntament amb els propietaris, ajuntaments, protecció civil, ADF i bombers.</v>
      </c>
      <c r="L33" s="33"/>
      <c r="M33" s="34"/>
      <c r="N33" s="35" t="s">
        <v>1224</v>
      </c>
      <c r="O33" s="34" t="s">
        <v>1278</v>
      </c>
      <c r="P33" s="36"/>
      <c r="Q33" s="37"/>
      <c r="R33" s="189"/>
      <c r="S33" s="189"/>
      <c r="T33" s="189"/>
      <c r="U33" s="189">
        <f t="shared" si="2"/>
        <v>0</v>
      </c>
      <c r="V33" s="189"/>
      <c r="W33" s="189"/>
      <c r="X33" s="189"/>
      <c r="Y33" s="189"/>
      <c r="Z33" s="189"/>
    </row>
    <row r="34" spans="1:26" ht="87" customHeight="1">
      <c r="A34" s="191"/>
      <c r="B34" s="217">
        <v>3</v>
      </c>
      <c r="C34" s="218" t="s">
        <v>1279</v>
      </c>
      <c r="D34" s="200" t="s">
        <v>131</v>
      </c>
      <c r="E34" s="219" t="s">
        <v>132</v>
      </c>
      <c r="F34" s="29" t="s">
        <v>133</v>
      </c>
      <c r="G34" s="30" t="s">
        <v>134</v>
      </c>
      <c r="H34" s="31" t="s">
        <v>62</v>
      </c>
      <c r="I34" s="31" t="s">
        <v>71</v>
      </c>
      <c r="J34" s="43" t="s">
        <v>133</v>
      </c>
      <c r="K34" s="32" t="str">
        <f t="shared" si="3"/>
        <v>Participar en les consultes dels procesos d'Avaluació Ambiental que afectin directament o indirectament l’espai del ENP</v>
      </c>
      <c r="L34" s="33"/>
      <c r="M34" s="38" t="s">
        <v>900</v>
      </c>
      <c r="N34" s="35" t="s">
        <v>1155</v>
      </c>
      <c r="O34" s="34" t="s">
        <v>1280</v>
      </c>
      <c r="P34" s="36"/>
      <c r="Q34" s="37"/>
      <c r="R34" s="190" t="s">
        <v>1281</v>
      </c>
      <c r="S34" s="190" t="s">
        <v>1282</v>
      </c>
      <c r="T34" s="190" t="s">
        <v>1282</v>
      </c>
      <c r="U34" s="189">
        <f t="shared" si="2"/>
        <v>256</v>
      </c>
      <c r="V34" s="189" t="s">
        <v>1208</v>
      </c>
      <c r="W34" s="190" t="s">
        <v>1283</v>
      </c>
      <c r="X34" s="189">
        <f>40*16</f>
        <v>640</v>
      </c>
      <c r="Y34" s="189" t="s">
        <v>1208</v>
      </c>
      <c r="Z34" s="190" t="s">
        <v>1283</v>
      </c>
    </row>
    <row r="35" spans="1:26" ht="87">
      <c r="A35" s="191"/>
      <c r="B35" s="220"/>
      <c r="C35" s="221"/>
      <c r="D35" s="193"/>
      <c r="E35" s="222"/>
      <c r="F35" s="29" t="s">
        <v>135</v>
      </c>
      <c r="G35" s="30" t="s">
        <v>136</v>
      </c>
      <c r="H35" s="31" t="s">
        <v>62</v>
      </c>
      <c r="I35" s="31" t="s">
        <v>71</v>
      </c>
      <c r="J35" s="43" t="s">
        <v>135</v>
      </c>
      <c r="K35" s="32" t="str">
        <f t="shared" si="3"/>
        <v>Exercir un seguiment efectiu de les obres al Parc juntament amb les Oficines Territorials d'Acció i Avaluació Ambiental als efectes d'assegurar la correcta translació de la tutela administrativa.</v>
      </c>
      <c r="L35" s="33"/>
      <c r="M35" s="34" t="s">
        <v>586</v>
      </c>
      <c r="N35" s="35" t="s">
        <v>1263</v>
      </c>
      <c r="O35" s="34" t="s">
        <v>1284</v>
      </c>
      <c r="P35" s="36"/>
      <c r="Q35" s="37"/>
      <c r="R35" s="190" t="s">
        <v>1285</v>
      </c>
      <c r="S35" s="190" t="s">
        <v>1286</v>
      </c>
      <c r="T35" s="190" t="s">
        <v>1287</v>
      </c>
      <c r="U35" s="189">
        <f t="shared" si="2"/>
        <v>48</v>
      </c>
      <c r="V35" s="189" t="s">
        <v>1208</v>
      </c>
      <c r="W35" s="190" t="s">
        <v>1283</v>
      </c>
      <c r="X35" s="189">
        <f>4*30</f>
        <v>120</v>
      </c>
      <c r="Y35" s="189" t="s">
        <v>1208</v>
      </c>
      <c r="Z35" s="190" t="s">
        <v>1283</v>
      </c>
    </row>
    <row r="36" spans="1:26" ht="89.5" customHeight="1">
      <c r="A36" s="191"/>
      <c r="B36" s="220"/>
      <c r="C36" s="221"/>
      <c r="D36" s="198"/>
      <c r="E36" s="223"/>
      <c r="F36" s="29" t="s">
        <v>137</v>
      </c>
      <c r="G36" s="30" t="s">
        <v>138</v>
      </c>
      <c r="H36" s="31" t="s">
        <v>62</v>
      </c>
      <c r="I36" s="31" t="s">
        <v>83</v>
      </c>
      <c r="J36" s="43" t="s">
        <v>137</v>
      </c>
      <c r="K36" s="32" t="str">
        <f t="shared" si="3"/>
        <v>Participar en la compensació d'impactes residuals durant els processos d'avaluació ambiental mitjançant la identificació de necessitats d'actuació prioritària dins i fora dels límits de l’ENP</v>
      </c>
      <c r="L36" s="33"/>
      <c r="M36" s="34" t="s">
        <v>900</v>
      </c>
      <c r="N36" s="35" t="s">
        <v>1178</v>
      </c>
      <c r="O36" s="34" t="s">
        <v>1288</v>
      </c>
      <c r="P36" s="36"/>
      <c r="Q36" s="37"/>
      <c r="R36" s="190" t="s">
        <v>1289</v>
      </c>
      <c r="S36" s="189">
        <v>1</v>
      </c>
      <c r="T36" s="189">
        <v>4</v>
      </c>
      <c r="U36" s="189">
        <f t="shared" si="2"/>
        <v>32</v>
      </c>
      <c r="V36" s="189" t="s">
        <v>1208</v>
      </c>
      <c r="W36" s="190" t="s">
        <v>1283</v>
      </c>
      <c r="X36" s="189">
        <f>40*2</f>
        <v>80</v>
      </c>
      <c r="Y36" s="189" t="s">
        <v>1208</v>
      </c>
      <c r="Z36" s="190" t="s">
        <v>1283</v>
      </c>
    </row>
    <row r="37" spans="1:26" ht="91" customHeight="1">
      <c r="A37" s="191"/>
      <c r="B37" s="220"/>
      <c r="C37" s="221"/>
      <c r="D37" s="41" t="s">
        <v>139</v>
      </c>
      <c r="E37" s="42" t="s">
        <v>140</v>
      </c>
      <c r="F37" s="29" t="s">
        <v>141</v>
      </c>
      <c r="G37" s="30" t="s">
        <v>142</v>
      </c>
      <c r="H37" s="31" t="s">
        <v>62</v>
      </c>
      <c r="I37" s="29" t="s">
        <v>71</v>
      </c>
      <c r="J37" s="43" t="s">
        <v>141</v>
      </c>
      <c r="K37" s="32" t="str">
        <f t="shared" si="3"/>
        <v>Participar en l'elaboració dels instruments de planificació de l'ENP</v>
      </c>
      <c r="L37" s="43"/>
      <c r="M37" s="34" t="s">
        <v>900</v>
      </c>
      <c r="N37" s="35" t="s">
        <v>1155</v>
      </c>
      <c r="O37" s="34" t="s">
        <v>1290</v>
      </c>
      <c r="P37" s="36"/>
      <c r="Q37" s="37" t="s">
        <v>143</v>
      </c>
      <c r="R37" s="190" t="s">
        <v>1291</v>
      </c>
      <c r="S37" s="189">
        <v>4</v>
      </c>
      <c r="T37" s="189">
        <v>5</v>
      </c>
      <c r="U37" s="189">
        <f t="shared" si="2"/>
        <v>368</v>
      </c>
      <c r="V37" s="189" t="s">
        <v>1208</v>
      </c>
      <c r="W37" s="190" t="s">
        <v>1292</v>
      </c>
      <c r="X37" s="189">
        <f>4*50+6*120</f>
        <v>920</v>
      </c>
      <c r="Y37" s="189" t="s">
        <v>1208</v>
      </c>
      <c r="Z37" s="190" t="s">
        <v>1292</v>
      </c>
    </row>
    <row r="38" spans="1:26" ht="55" customHeight="1">
      <c r="A38" s="224"/>
      <c r="B38" s="220"/>
      <c r="C38" s="221"/>
      <c r="D38" s="225" t="s">
        <v>144</v>
      </c>
      <c r="E38" s="219" t="s">
        <v>1293</v>
      </c>
      <c r="F38" s="29" t="s">
        <v>145</v>
      </c>
      <c r="G38" s="30" t="s">
        <v>146</v>
      </c>
      <c r="H38" s="31" t="s">
        <v>82</v>
      </c>
      <c r="I38" s="31" t="s">
        <v>120</v>
      </c>
      <c r="J38" s="43" t="s">
        <v>145</v>
      </c>
      <c r="K38" s="32" t="s">
        <v>1294</v>
      </c>
      <c r="L38" s="33"/>
      <c r="M38" s="34" t="s">
        <v>586</v>
      </c>
      <c r="N38" s="35" t="s">
        <v>1178</v>
      </c>
      <c r="O38" s="226" t="s">
        <v>1295</v>
      </c>
      <c r="P38" s="36" t="s">
        <v>72</v>
      </c>
      <c r="Q38" s="37" t="s">
        <v>147</v>
      </c>
      <c r="R38" s="189"/>
      <c r="S38" s="189"/>
      <c r="T38" s="189"/>
      <c r="U38" s="189">
        <f t="shared" si="2"/>
        <v>0</v>
      </c>
      <c r="V38" s="190" t="s">
        <v>1158</v>
      </c>
      <c r="W38" s="189"/>
      <c r="X38" s="189"/>
      <c r="Y38" s="190" t="s">
        <v>1158</v>
      </c>
      <c r="Z38" s="189"/>
    </row>
    <row r="39" spans="1:26" ht="58.5" customHeight="1">
      <c r="A39" s="224"/>
      <c r="B39" s="220"/>
      <c r="C39" s="221"/>
      <c r="D39" s="227"/>
      <c r="E39" s="222"/>
      <c r="F39" s="29" t="s">
        <v>148</v>
      </c>
      <c r="G39" s="30" t="s">
        <v>149</v>
      </c>
      <c r="H39" s="31" t="s">
        <v>82</v>
      </c>
      <c r="I39" s="31" t="s">
        <v>83</v>
      </c>
      <c r="J39" s="43" t="s">
        <v>148</v>
      </c>
      <c r="K39" s="32" t="str">
        <f>G39</f>
        <v>Vetllar per la regulació dels dragatges, canalitzacions o implantació d'activitats extractives que puguin modificar la llera i el cabal dels rius</v>
      </c>
      <c r="L39" s="33"/>
      <c r="M39" s="34" t="s">
        <v>900</v>
      </c>
      <c r="N39" s="35" t="s">
        <v>1155</v>
      </c>
      <c r="O39" s="34" t="s">
        <v>1296</v>
      </c>
      <c r="P39" s="36"/>
      <c r="Q39" s="37"/>
      <c r="R39" s="190" t="s">
        <v>1297</v>
      </c>
      <c r="S39" s="189">
        <v>0</v>
      </c>
      <c r="T39" s="190" t="s">
        <v>1298</v>
      </c>
      <c r="U39" s="189">
        <f t="shared" si="2"/>
        <v>40</v>
      </c>
      <c r="V39" s="190" t="s">
        <v>1158</v>
      </c>
      <c r="W39" s="190" t="s">
        <v>1218</v>
      </c>
      <c r="X39" s="189">
        <f>4*15+2*20</f>
        <v>100</v>
      </c>
      <c r="Y39" s="190" t="s">
        <v>1158</v>
      </c>
      <c r="Z39" s="190" t="s">
        <v>1218</v>
      </c>
    </row>
    <row r="40" spans="1:26" ht="72.5">
      <c r="A40" s="224"/>
      <c r="B40" s="220"/>
      <c r="C40" s="221"/>
      <c r="D40" s="227"/>
      <c r="E40" s="222"/>
      <c r="F40" s="29" t="s">
        <v>150</v>
      </c>
      <c r="G40" s="30" t="s">
        <v>151</v>
      </c>
      <c r="H40" s="31" t="s">
        <v>82</v>
      </c>
      <c r="I40" s="31" t="s">
        <v>83</v>
      </c>
      <c r="J40" s="43" t="s">
        <v>150</v>
      </c>
      <c r="K40" s="32" t="s">
        <v>1299</v>
      </c>
      <c r="L40" s="33"/>
      <c r="M40" s="34"/>
      <c r="N40" s="35" t="s">
        <v>1155</v>
      </c>
      <c r="O40" s="34" t="s">
        <v>1300</v>
      </c>
      <c r="P40" s="36"/>
      <c r="Q40" s="37"/>
      <c r="R40" s="189" t="s">
        <v>1301</v>
      </c>
      <c r="S40" s="190" t="s">
        <v>1282</v>
      </c>
      <c r="T40" s="190" t="s">
        <v>1282</v>
      </c>
      <c r="U40" s="189">
        <f t="shared" si="2"/>
        <v>52</v>
      </c>
      <c r="V40" s="190" t="s">
        <v>1158</v>
      </c>
      <c r="W40" s="190" t="s">
        <v>1227</v>
      </c>
      <c r="X40" s="189">
        <v>130</v>
      </c>
      <c r="Y40" s="190" t="s">
        <v>1158</v>
      </c>
      <c r="Z40" s="190" t="s">
        <v>1227</v>
      </c>
    </row>
    <row r="41" spans="1:26" ht="55" customHeight="1">
      <c r="A41" s="224"/>
      <c r="B41" s="220"/>
      <c r="C41" s="221"/>
      <c r="D41" s="227"/>
      <c r="E41" s="222"/>
      <c r="F41" s="29" t="s">
        <v>152</v>
      </c>
      <c r="G41" s="30" t="s">
        <v>1302</v>
      </c>
      <c r="H41" s="31" t="s">
        <v>82</v>
      </c>
      <c r="I41" s="31" t="s">
        <v>83</v>
      </c>
      <c r="J41" s="43" t="s">
        <v>152</v>
      </c>
      <c r="K41" s="32" t="str">
        <f>G41</f>
        <v>Vetllar pel compliment de la normativa de depuració dels efluents agroramaders, urbans i industrials que s'aboquen als cursos fluvials i d'aquí al mar</v>
      </c>
      <c r="L41" s="33"/>
      <c r="M41" s="34" t="s">
        <v>586</v>
      </c>
      <c r="N41" s="35" t="s">
        <v>1263</v>
      </c>
      <c r="O41" s="34" t="s">
        <v>1303</v>
      </c>
      <c r="P41" s="36"/>
      <c r="Q41" s="37"/>
      <c r="R41" s="189"/>
      <c r="S41" s="189"/>
      <c r="T41" s="189"/>
      <c r="U41" s="189">
        <f t="shared" si="2"/>
        <v>0</v>
      </c>
      <c r="V41" s="189"/>
      <c r="W41" s="189"/>
      <c r="X41" s="189"/>
      <c r="Y41" s="189"/>
      <c r="Z41" s="189"/>
    </row>
    <row r="42" spans="1:26" ht="55" customHeight="1">
      <c r="A42" s="224"/>
      <c r="B42" s="220"/>
      <c r="C42" s="221"/>
      <c r="D42" s="227"/>
      <c r="E42" s="222"/>
      <c r="F42" s="29" t="s">
        <v>1304</v>
      </c>
      <c r="G42" s="30" t="s">
        <v>1305</v>
      </c>
      <c r="H42" s="31" t="s">
        <v>82</v>
      </c>
      <c r="I42" s="31" t="s">
        <v>120</v>
      </c>
      <c r="J42" s="43" t="s">
        <v>1304</v>
      </c>
      <c r="K42" s="32" t="str">
        <f>+G42</f>
        <v>Col·laborar amb l'òrgan competent per la conservació del domini públic d'acord amb les delimitacions i la normativa d'ús vigent</v>
      </c>
      <c r="L42" s="33"/>
      <c r="M42" s="34"/>
      <c r="N42" s="35" t="s">
        <v>1224</v>
      </c>
      <c r="O42" s="34" t="s">
        <v>1306</v>
      </c>
      <c r="P42" s="36"/>
      <c r="Q42" s="37"/>
      <c r="R42" s="189" t="s">
        <v>1307</v>
      </c>
      <c r="S42" s="189"/>
      <c r="T42" s="190" t="s">
        <v>1308</v>
      </c>
      <c r="U42" s="189">
        <f t="shared" si="2"/>
        <v>24</v>
      </c>
      <c r="V42" s="189" t="s">
        <v>1208</v>
      </c>
      <c r="W42" s="190" t="s">
        <v>1309</v>
      </c>
      <c r="X42" s="189">
        <v>60</v>
      </c>
      <c r="Y42" s="189" t="s">
        <v>1208</v>
      </c>
      <c r="Z42" s="190" t="s">
        <v>1309</v>
      </c>
    </row>
    <row r="43" spans="1:26" ht="47.15" customHeight="1">
      <c r="A43" s="224"/>
      <c r="B43" s="220"/>
      <c r="C43" s="221"/>
      <c r="D43" s="228"/>
      <c r="E43" s="223"/>
      <c r="F43" s="29" t="s">
        <v>1310</v>
      </c>
      <c r="G43" s="30" t="s">
        <v>1311</v>
      </c>
      <c r="H43" s="31" t="s">
        <v>82</v>
      </c>
      <c r="I43" s="31" t="s">
        <v>120</v>
      </c>
      <c r="J43" s="43" t="s">
        <v>1310</v>
      </c>
      <c r="K43" s="32" t="str">
        <f>+G43</f>
        <v>Vetllar per a fomentar el control de la qualitat de les aigües marines</v>
      </c>
      <c r="L43" s="33"/>
      <c r="M43" s="34"/>
      <c r="N43" s="35"/>
      <c r="O43" s="34" t="s">
        <v>1312</v>
      </c>
      <c r="P43" s="36"/>
      <c r="Q43" s="37"/>
      <c r="R43" s="190" t="s">
        <v>1313</v>
      </c>
      <c r="S43" s="202">
        <v>0.6</v>
      </c>
      <c r="T43" s="202">
        <v>1</v>
      </c>
      <c r="U43" s="189">
        <f t="shared" si="2"/>
        <v>62.400000000000006</v>
      </c>
      <c r="V43" s="190" t="s">
        <v>1164</v>
      </c>
      <c r="W43" s="189" t="s">
        <v>1188</v>
      </c>
      <c r="X43" s="189">
        <f>6*4*4+12*5</f>
        <v>156</v>
      </c>
      <c r="Y43" s="190" t="s">
        <v>1164</v>
      </c>
      <c r="Z43" s="189" t="s">
        <v>1188</v>
      </c>
    </row>
    <row r="44" spans="1:26" ht="103.5" customHeight="1">
      <c r="A44" s="224"/>
      <c r="B44" s="220"/>
      <c r="C44" s="221"/>
      <c r="D44" s="225" t="s">
        <v>153</v>
      </c>
      <c r="E44" s="219" t="s">
        <v>154</v>
      </c>
      <c r="F44" s="29" t="s">
        <v>155</v>
      </c>
      <c r="G44" s="30" t="s">
        <v>156</v>
      </c>
      <c r="H44" s="31" t="s">
        <v>62</v>
      </c>
      <c r="I44" s="31" t="s">
        <v>83</v>
      </c>
      <c r="J44" s="43" t="s">
        <v>155</v>
      </c>
      <c r="K44" s="32" t="s">
        <v>1314</v>
      </c>
      <c r="L44" s="32" t="s">
        <v>1315</v>
      </c>
      <c r="M44" s="34" t="s">
        <v>586</v>
      </c>
      <c r="N44" s="35" t="s">
        <v>1178</v>
      </c>
      <c r="O44" s="34" t="s">
        <v>1316</v>
      </c>
      <c r="P44" s="36"/>
      <c r="Q44" s="37" t="s">
        <v>157</v>
      </c>
      <c r="R44" s="190" t="s">
        <v>1317</v>
      </c>
      <c r="S44" s="189">
        <v>1</v>
      </c>
      <c r="T44" s="189">
        <v>3</v>
      </c>
      <c r="U44" s="189">
        <f t="shared" si="2"/>
        <v>60</v>
      </c>
      <c r="V44" s="189" t="s">
        <v>1208</v>
      </c>
      <c r="W44" s="190" t="s">
        <v>1318</v>
      </c>
      <c r="X44" s="189">
        <f>3*50</f>
        <v>150</v>
      </c>
      <c r="Y44" s="189" t="s">
        <v>1208</v>
      </c>
      <c r="Z44" s="190" t="s">
        <v>1318</v>
      </c>
    </row>
    <row r="45" spans="1:26" ht="73" customHeight="1">
      <c r="A45" s="224"/>
      <c r="B45" s="229"/>
      <c r="C45" s="230"/>
      <c r="D45" s="228"/>
      <c r="E45" s="223"/>
      <c r="F45" s="29" t="s">
        <v>158</v>
      </c>
      <c r="G45" s="30" t="s">
        <v>159</v>
      </c>
      <c r="H45" s="31" t="s">
        <v>62</v>
      </c>
      <c r="I45" s="31" t="s">
        <v>120</v>
      </c>
      <c r="J45" s="43" t="s">
        <v>158</v>
      </c>
      <c r="K45" s="32" t="s">
        <v>1319</v>
      </c>
      <c r="L45" s="43" t="s">
        <v>1320</v>
      </c>
      <c r="M45" s="34"/>
      <c r="N45" s="35" t="s">
        <v>1178</v>
      </c>
      <c r="O45" s="34" t="s">
        <v>1321</v>
      </c>
      <c r="P45" s="36"/>
      <c r="Q45" s="37" t="s">
        <v>157</v>
      </c>
      <c r="R45" s="189" t="s">
        <v>1322</v>
      </c>
      <c r="S45" s="189">
        <v>1</v>
      </c>
      <c r="T45" s="189">
        <v>3</v>
      </c>
      <c r="U45" s="189">
        <f t="shared" si="2"/>
        <v>132</v>
      </c>
      <c r="V45" s="189" t="s">
        <v>1208</v>
      </c>
      <c r="W45" s="190" t="s">
        <v>1318</v>
      </c>
      <c r="X45" s="189">
        <f>3*110</f>
        <v>330</v>
      </c>
      <c r="Y45" s="189" t="s">
        <v>1208</v>
      </c>
      <c r="Z45" s="190" t="s">
        <v>1318</v>
      </c>
    </row>
    <row r="46" spans="1:26" ht="206.15" customHeight="1">
      <c r="A46" s="44" t="s">
        <v>160</v>
      </c>
      <c r="B46" s="45">
        <v>4</v>
      </c>
      <c r="C46" s="46" t="s">
        <v>161</v>
      </c>
      <c r="D46" s="231" t="s">
        <v>162</v>
      </c>
      <c r="E46" s="232" t="s">
        <v>163</v>
      </c>
      <c r="F46" s="29" t="s">
        <v>164</v>
      </c>
      <c r="G46" s="30" t="s">
        <v>165</v>
      </c>
      <c r="H46" s="31" t="s">
        <v>62</v>
      </c>
      <c r="I46" s="31" t="s">
        <v>120</v>
      </c>
      <c r="J46" s="43" t="s">
        <v>164</v>
      </c>
      <c r="K46" s="32" t="s">
        <v>1323</v>
      </c>
      <c r="L46" s="43" t="s">
        <v>1324</v>
      </c>
      <c r="M46" s="34" t="s">
        <v>900</v>
      </c>
      <c r="N46" s="35" t="s">
        <v>1263</v>
      </c>
      <c r="O46" s="34" t="s">
        <v>1325</v>
      </c>
      <c r="P46" s="36"/>
      <c r="Q46" s="37"/>
      <c r="R46" s="190" t="s">
        <v>1326</v>
      </c>
      <c r="S46" s="189">
        <v>20</v>
      </c>
      <c r="T46" s="189">
        <v>60</v>
      </c>
      <c r="U46" s="189">
        <f t="shared" si="2"/>
        <v>72</v>
      </c>
      <c r="V46" s="189" t="s">
        <v>1208</v>
      </c>
      <c r="W46" s="190" t="s">
        <v>1327</v>
      </c>
      <c r="X46" s="189">
        <f>3*60</f>
        <v>180</v>
      </c>
      <c r="Y46" s="189" t="s">
        <v>1208</v>
      </c>
      <c r="Z46" s="190" t="s">
        <v>1327</v>
      </c>
    </row>
    <row r="47" spans="1:26" ht="62.5" customHeight="1">
      <c r="A47" s="44"/>
      <c r="B47" s="233"/>
      <c r="C47" s="234"/>
      <c r="D47" s="235"/>
      <c r="E47" s="236"/>
      <c r="F47" s="29" t="s">
        <v>166</v>
      </c>
      <c r="G47" s="30" t="s">
        <v>167</v>
      </c>
      <c r="H47" s="31" t="s">
        <v>62</v>
      </c>
      <c r="I47" s="31" t="s">
        <v>120</v>
      </c>
      <c r="J47" s="43" t="s">
        <v>166</v>
      </c>
      <c r="K47" s="32" t="s">
        <v>1273</v>
      </c>
      <c r="L47" s="43" t="s">
        <v>1328</v>
      </c>
      <c r="M47" s="34"/>
      <c r="N47" s="35"/>
      <c r="O47" s="34"/>
      <c r="P47" s="36"/>
      <c r="Q47" s="37"/>
      <c r="R47" s="189"/>
      <c r="S47" s="189"/>
      <c r="T47" s="189"/>
      <c r="U47" s="189">
        <f t="shared" si="2"/>
        <v>0</v>
      </c>
      <c r="V47" s="189"/>
      <c r="W47" s="189"/>
      <c r="X47" s="189"/>
      <c r="Y47" s="189"/>
      <c r="Z47" s="189"/>
    </row>
    <row r="48" spans="1:26" ht="72.5">
      <c r="A48" s="44"/>
      <c r="B48" s="233"/>
      <c r="C48" s="234"/>
      <c r="D48" s="235"/>
      <c r="E48" s="237"/>
      <c r="F48" s="29" t="s">
        <v>168</v>
      </c>
      <c r="G48" s="30" t="s">
        <v>169</v>
      </c>
      <c r="H48" s="31" t="s">
        <v>62</v>
      </c>
      <c r="I48" s="31" t="s">
        <v>120</v>
      </c>
      <c r="J48" s="43" t="s">
        <v>168</v>
      </c>
      <c r="K48" s="32" t="s">
        <v>1329</v>
      </c>
      <c r="L48" s="43" t="s">
        <v>1330</v>
      </c>
      <c r="M48" s="34" t="s">
        <v>900</v>
      </c>
      <c r="N48" s="238" t="s">
        <v>1331</v>
      </c>
      <c r="O48" s="34" t="s">
        <v>1332</v>
      </c>
      <c r="P48" s="36"/>
      <c r="Q48" s="37"/>
      <c r="R48" s="189"/>
      <c r="S48" s="189"/>
      <c r="T48" s="189"/>
      <c r="U48" s="189">
        <f t="shared" si="2"/>
        <v>0</v>
      </c>
      <c r="V48" s="189"/>
      <c r="W48" s="189"/>
      <c r="X48" s="189"/>
      <c r="Y48" s="189"/>
      <c r="Z48" s="189"/>
    </row>
    <row r="49" spans="1:26" ht="58">
      <c r="A49" s="44"/>
      <c r="B49" s="233"/>
      <c r="C49" s="234"/>
      <c r="D49" s="239" t="s">
        <v>170</v>
      </c>
      <c r="E49" s="240" t="s">
        <v>171</v>
      </c>
      <c r="F49" s="29" t="s">
        <v>172</v>
      </c>
      <c r="G49" s="30" t="s">
        <v>173</v>
      </c>
      <c r="H49" s="31" t="s">
        <v>62</v>
      </c>
      <c r="I49" s="31" t="s">
        <v>71</v>
      </c>
      <c r="J49" s="43" t="s">
        <v>172</v>
      </c>
      <c r="K49" s="32" t="str">
        <f>G49</f>
        <v>Identificar els ens de referència en patrimoni cultural (entitats, associacions, museus i ecomuseus, etc.) en l'àmbit de l'ENP</v>
      </c>
      <c r="L49" s="33"/>
      <c r="M49" s="34" t="s">
        <v>900</v>
      </c>
      <c r="N49" s="35" t="s">
        <v>1263</v>
      </c>
      <c r="O49" s="34" t="s">
        <v>1333</v>
      </c>
      <c r="P49" s="36"/>
      <c r="Q49" s="37"/>
      <c r="R49" s="190" t="s">
        <v>1334</v>
      </c>
      <c r="S49" s="189">
        <v>4</v>
      </c>
      <c r="T49" s="189">
        <v>10</v>
      </c>
      <c r="U49" s="189">
        <f t="shared" si="2"/>
        <v>48</v>
      </c>
      <c r="V49" s="189" t="s">
        <v>1335</v>
      </c>
      <c r="W49" s="190" t="s">
        <v>1336</v>
      </c>
      <c r="X49" s="189">
        <f>10*12</f>
        <v>120</v>
      </c>
      <c r="Y49" s="189" t="s">
        <v>1335</v>
      </c>
      <c r="Z49" s="190" t="s">
        <v>1336</v>
      </c>
    </row>
    <row r="50" spans="1:26" ht="88" customHeight="1">
      <c r="A50" s="44"/>
      <c r="B50" s="233"/>
      <c r="C50" s="234"/>
      <c r="D50" s="241"/>
      <c r="E50" s="242"/>
      <c r="F50" s="29" t="s">
        <v>174</v>
      </c>
      <c r="G50" s="30" t="s">
        <v>175</v>
      </c>
      <c r="H50" s="31" t="s">
        <v>62</v>
      </c>
      <c r="I50" s="31" t="s">
        <v>120</v>
      </c>
      <c r="J50" s="43" t="s">
        <v>174</v>
      </c>
      <c r="K50" s="32" t="str">
        <f>G50</f>
        <v>Articular treballs conjunts entre l'ENP i representants, gestors o custodis del patrimoni cultural per a la seva protecció i millora</v>
      </c>
      <c r="L50" s="33"/>
      <c r="M50" s="34" t="s">
        <v>900</v>
      </c>
      <c r="N50" s="35" t="s">
        <v>1263</v>
      </c>
      <c r="O50" s="34" t="s">
        <v>1337</v>
      </c>
      <c r="P50" s="36"/>
      <c r="Q50" s="37"/>
      <c r="R50" s="190" t="s">
        <v>1338</v>
      </c>
      <c r="S50" s="189">
        <v>1</v>
      </c>
      <c r="T50" s="189">
        <v>2</v>
      </c>
      <c r="U50" s="189">
        <f t="shared" si="2"/>
        <v>69.600000000000009</v>
      </c>
      <c r="V50" s="189" t="s">
        <v>1208</v>
      </c>
      <c r="W50" s="190" t="s">
        <v>1327</v>
      </c>
      <c r="X50" s="189">
        <f>75*2+12*2</f>
        <v>174</v>
      </c>
      <c r="Y50" s="189" t="s">
        <v>1208</v>
      </c>
      <c r="Z50" s="190" t="s">
        <v>1327</v>
      </c>
    </row>
    <row r="51" spans="1:26" ht="60" customHeight="1">
      <c r="A51" s="44"/>
      <c r="B51" s="233"/>
      <c r="C51" s="234"/>
      <c r="D51" s="241"/>
      <c r="E51" s="242"/>
      <c r="F51" s="29" t="s">
        <v>176</v>
      </c>
      <c r="G51" s="30" t="s">
        <v>1339</v>
      </c>
      <c r="H51" s="31" t="s">
        <v>62</v>
      </c>
      <c r="I51" s="31" t="s">
        <v>120</v>
      </c>
      <c r="J51" s="43" t="s">
        <v>176</v>
      </c>
      <c r="K51" s="32" t="s">
        <v>1340</v>
      </c>
      <c r="L51" s="33"/>
      <c r="M51" s="34" t="s">
        <v>900</v>
      </c>
      <c r="N51" s="35" t="s">
        <v>1224</v>
      </c>
      <c r="O51" s="34" t="s">
        <v>1341</v>
      </c>
      <c r="P51" s="36"/>
      <c r="Q51" s="37"/>
      <c r="R51" s="189" t="s">
        <v>1215</v>
      </c>
      <c r="S51" s="189">
        <v>1</v>
      </c>
      <c r="T51" s="189">
        <v>4</v>
      </c>
      <c r="U51" s="189">
        <f t="shared" si="2"/>
        <v>104.4</v>
      </c>
      <c r="V51" s="189" t="s">
        <v>1208</v>
      </c>
      <c r="W51" s="190" t="s">
        <v>1342</v>
      </c>
      <c r="X51" s="189">
        <f>3*75+3*6*2</f>
        <v>261</v>
      </c>
      <c r="Y51" s="189" t="s">
        <v>1208</v>
      </c>
      <c r="Z51" s="190" t="s">
        <v>1342</v>
      </c>
    </row>
    <row r="52" spans="1:26" ht="47.5" customHeight="1">
      <c r="A52" s="44"/>
      <c r="B52" s="233"/>
      <c r="C52" s="234"/>
      <c r="D52" s="243"/>
      <c r="E52" s="244"/>
      <c r="F52" s="29" t="s">
        <v>177</v>
      </c>
      <c r="G52" s="30" t="s">
        <v>178</v>
      </c>
      <c r="H52" s="31" t="s">
        <v>62</v>
      </c>
      <c r="I52" s="31" t="s">
        <v>63</v>
      </c>
      <c r="J52" s="43" t="s">
        <v>177</v>
      </c>
      <c r="K52" s="32" t="s">
        <v>1273</v>
      </c>
      <c r="L52" s="43" t="s">
        <v>1343</v>
      </c>
      <c r="M52" s="34" t="s">
        <v>900</v>
      </c>
      <c r="N52" s="35"/>
      <c r="O52" s="34"/>
      <c r="P52" s="36"/>
      <c r="Q52" s="37"/>
      <c r="R52" s="189"/>
      <c r="S52" s="189"/>
      <c r="T52" s="189"/>
      <c r="U52" s="189">
        <f t="shared" si="2"/>
        <v>0</v>
      </c>
      <c r="V52" s="189"/>
      <c r="W52" s="189"/>
      <c r="X52" s="189"/>
      <c r="Y52" s="189"/>
      <c r="Z52" s="189"/>
    </row>
    <row r="53" spans="1:26" ht="75.650000000000006" customHeight="1">
      <c r="A53" s="44"/>
      <c r="B53" s="233"/>
      <c r="C53" s="234"/>
      <c r="D53" s="239" t="s">
        <v>179</v>
      </c>
      <c r="E53" s="240" t="s">
        <v>180</v>
      </c>
      <c r="F53" s="29" t="s">
        <v>181</v>
      </c>
      <c r="G53" s="30" t="s">
        <v>1344</v>
      </c>
      <c r="H53" s="31" t="s">
        <v>62</v>
      </c>
      <c r="I53" s="31" t="s">
        <v>63</v>
      </c>
      <c r="J53" s="43" t="s">
        <v>181</v>
      </c>
      <c r="K53" s="32" t="s">
        <v>1345</v>
      </c>
      <c r="L53" s="43" t="s">
        <v>1346</v>
      </c>
      <c r="M53" s="34" t="s">
        <v>900</v>
      </c>
      <c r="N53" s="35" t="s">
        <v>1263</v>
      </c>
      <c r="O53" s="34" t="s">
        <v>1347</v>
      </c>
      <c r="P53" s="36" t="s">
        <v>64</v>
      </c>
      <c r="Q53" s="37"/>
      <c r="R53" s="190" t="s">
        <v>1348</v>
      </c>
      <c r="S53" s="189">
        <v>16</v>
      </c>
      <c r="T53" s="189">
        <v>40</v>
      </c>
      <c r="U53" s="189">
        <f t="shared" si="2"/>
        <v>96</v>
      </c>
      <c r="V53" s="189" t="s">
        <v>1208</v>
      </c>
      <c r="W53" s="190" t="s">
        <v>1327</v>
      </c>
      <c r="X53" s="189">
        <f>40*6</f>
        <v>240</v>
      </c>
      <c r="Y53" s="189" t="s">
        <v>1208</v>
      </c>
      <c r="Z53" s="190" t="s">
        <v>1327</v>
      </c>
    </row>
    <row r="54" spans="1:26" ht="57.65" customHeight="1">
      <c r="A54" s="44"/>
      <c r="B54" s="233"/>
      <c r="C54" s="234"/>
      <c r="D54" s="241"/>
      <c r="E54" s="242"/>
      <c r="F54" s="29" t="s">
        <v>182</v>
      </c>
      <c r="G54" s="30" t="s">
        <v>183</v>
      </c>
      <c r="H54" s="31" t="s">
        <v>82</v>
      </c>
      <c r="I54" s="31" t="s">
        <v>63</v>
      </c>
      <c r="J54" s="43" t="s">
        <v>182</v>
      </c>
      <c r="K54" s="32" t="str">
        <f>G54</f>
        <v>Recuperar i conservar el patrimoni cultural rural vinculat específicament a construccions de pedra en sec</v>
      </c>
      <c r="L54" s="33"/>
      <c r="M54" s="34" t="s">
        <v>900</v>
      </c>
      <c r="N54" s="35" t="s">
        <v>1224</v>
      </c>
      <c r="O54" s="34" t="s">
        <v>1349</v>
      </c>
      <c r="P54" s="36" t="s">
        <v>64</v>
      </c>
      <c r="Q54" s="37"/>
      <c r="R54" s="190" t="s">
        <v>1350</v>
      </c>
      <c r="S54" s="189">
        <v>0</v>
      </c>
      <c r="T54" s="190" t="s">
        <v>1308</v>
      </c>
      <c r="U54" s="189">
        <f t="shared" si="2"/>
        <v>24</v>
      </c>
      <c r="V54" s="189" t="s">
        <v>1208</v>
      </c>
      <c r="W54" s="190" t="s">
        <v>1327</v>
      </c>
      <c r="X54" s="189">
        <v>60</v>
      </c>
      <c r="Y54" s="189" t="s">
        <v>1208</v>
      </c>
      <c r="Z54" s="190" t="s">
        <v>1327</v>
      </c>
    </row>
    <row r="55" spans="1:26" ht="74.5" customHeight="1">
      <c r="A55" s="44"/>
      <c r="B55" s="233"/>
      <c r="C55" s="234"/>
      <c r="D55" s="241"/>
      <c r="E55" s="242"/>
      <c r="F55" s="29" t="s">
        <v>184</v>
      </c>
      <c r="G55" s="30" t="s">
        <v>1351</v>
      </c>
      <c r="H55" s="31" t="s">
        <v>62</v>
      </c>
      <c r="I55" s="31" t="s">
        <v>83</v>
      </c>
      <c r="J55" s="43" t="s">
        <v>184</v>
      </c>
      <c r="K55" s="32" t="str">
        <f>G55</f>
        <v xml:space="preserve">Fomentar la recuperació i conservació de l'arquitectura tradicional d'interès de les edificacions i construccions </v>
      </c>
      <c r="L55" s="33"/>
      <c r="M55" s="34" t="s">
        <v>900</v>
      </c>
      <c r="N55" s="35" t="s">
        <v>1263</v>
      </c>
      <c r="O55" s="34" t="s">
        <v>1352</v>
      </c>
      <c r="P55" s="36"/>
      <c r="Q55" s="37"/>
      <c r="R55" s="190" t="s">
        <v>1353</v>
      </c>
      <c r="S55" s="190" t="s">
        <v>1354</v>
      </c>
      <c r="T55" s="190" t="s">
        <v>1355</v>
      </c>
      <c r="U55" s="189">
        <f t="shared" si="2"/>
        <v>163.20000000000002</v>
      </c>
      <c r="V55" s="190" t="s">
        <v>1158</v>
      </c>
      <c r="W55" s="190" t="s">
        <v>1356</v>
      </c>
      <c r="X55" s="189">
        <f>8*6+180*4*0.5</f>
        <v>408</v>
      </c>
      <c r="Y55" s="190" t="s">
        <v>1158</v>
      </c>
      <c r="Z55" s="190" t="s">
        <v>1356</v>
      </c>
    </row>
    <row r="56" spans="1:26" ht="72.5">
      <c r="A56" s="44"/>
      <c r="B56" s="233"/>
      <c r="C56" s="234"/>
      <c r="D56" s="243"/>
      <c r="E56" s="244"/>
      <c r="F56" s="29" t="s">
        <v>185</v>
      </c>
      <c r="G56" s="30" t="s">
        <v>186</v>
      </c>
      <c r="H56" s="31" t="s">
        <v>62</v>
      </c>
      <c r="I56" s="31" t="s">
        <v>71</v>
      </c>
      <c r="J56" s="43" t="s">
        <v>185</v>
      </c>
      <c r="K56" s="32" t="str">
        <f>G56</f>
        <v>Identificar i conservar la diversitat domesticada de varietats agrícoles i ramaderes locals</v>
      </c>
      <c r="L56" s="33"/>
      <c r="M56" s="34" t="s">
        <v>586</v>
      </c>
      <c r="N56" s="238" t="s">
        <v>1331</v>
      </c>
      <c r="O56" s="34" t="s">
        <v>1357</v>
      </c>
      <c r="P56" s="36" t="s">
        <v>72</v>
      </c>
      <c r="Q56" s="37"/>
      <c r="R56" s="190" t="s">
        <v>1358</v>
      </c>
      <c r="S56" s="189">
        <v>1</v>
      </c>
      <c r="T56" s="189">
        <v>2</v>
      </c>
      <c r="U56" s="189">
        <f t="shared" si="2"/>
        <v>38.400000000000006</v>
      </c>
      <c r="V56" s="190" t="s">
        <v>1158</v>
      </c>
      <c r="W56" s="189" t="s">
        <v>1166</v>
      </c>
      <c r="X56" s="189">
        <f>4*6*4</f>
        <v>96</v>
      </c>
      <c r="Y56" s="190" t="s">
        <v>1158</v>
      </c>
      <c r="Z56" s="189" t="s">
        <v>1166</v>
      </c>
    </row>
    <row r="57" spans="1:26" ht="48" customHeight="1">
      <c r="A57" s="44"/>
      <c r="B57" s="233"/>
      <c r="C57" s="234"/>
      <c r="D57" s="239" t="s">
        <v>187</v>
      </c>
      <c r="E57" s="240" t="s">
        <v>188</v>
      </c>
      <c r="F57" s="31" t="s">
        <v>189</v>
      </c>
      <c r="G57" s="30" t="s">
        <v>190</v>
      </c>
      <c r="H57" s="31" t="s">
        <v>62</v>
      </c>
      <c r="I57" s="31" t="s">
        <v>63</v>
      </c>
      <c r="J57" s="43" t="s">
        <v>189</v>
      </c>
      <c r="K57" s="32" t="s">
        <v>1359</v>
      </c>
      <c r="L57" s="33"/>
      <c r="M57" s="34" t="s">
        <v>900</v>
      </c>
      <c r="N57" s="35" t="s">
        <v>1224</v>
      </c>
      <c r="O57" s="34" t="s">
        <v>1360</v>
      </c>
      <c r="P57" s="36"/>
      <c r="Q57" s="37"/>
      <c r="R57" s="190" t="s">
        <v>1361</v>
      </c>
      <c r="S57" s="189">
        <v>4</v>
      </c>
      <c r="T57" s="189">
        <v>12</v>
      </c>
      <c r="U57" s="189">
        <f t="shared" si="2"/>
        <v>128</v>
      </c>
      <c r="V57" s="190" t="s">
        <v>1335</v>
      </c>
      <c r="W57" s="189" t="s">
        <v>1182</v>
      </c>
      <c r="X57" s="189">
        <f>8*40</f>
        <v>320</v>
      </c>
      <c r="Y57" s="190" t="s">
        <v>1335</v>
      </c>
      <c r="Z57" s="189" t="s">
        <v>1182</v>
      </c>
    </row>
    <row r="58" spans="1:26" ht="70" customHeight="1">
      <c r="A58" s="44"/>
      <c r="B58" s="233"/>
      <c r="C58" s="234"/>
      <c r="D58" s="241"/>
      <c r="E58" s="242"/>
      <c r="F58" s="31" t="s">
        <v>191</v>
      </c>
      <c r="G58" s="30" t="s">
        <v>192</v>
      </c>
      <c r="H58" s="31" t="s">
        <v>62</v>
      </c>
      <c r="I58" s="31" t="s">
        <v>63</v>
      </c>
      <c r="J58" s="43" t="s">
        <v>191</v>
      </c>
      <c r="K58" s="32" t="s">
        <v>1362</v>
      </c>
      <c r="L58" s="33"/>
      <c r="M58" s="34" t="s">
        <v>900</v>
      </c>
      <c r="N58" s="35" t="s">
        <v>1155</v>
      </c>
      <c r="O58" s="34" t="s">
        <v>1363</v>
      </c>
      <c r="P58" s="36"/>
      <c r="Q58" s="37"/>
      <c r="R58" s="190" t="s">
        <v>1364</v>
      </c>
      <c r="S58" s="189">
        <f>4*9</f>
        <v>36</v>
      </c>
      <c r="T58" s="189">
        <f>+S58*3</f>
        <v>108</v>
      </c>
      <c r="U58" s="189">
        <f t="shared" si="2"/>
        <v>57.6</v>
      </c>
      <c r="V58" s="190" t="s">
        <v>1335</v>
      </c>
      <c r="W58" s="189" t="s">
        <v>1182</v>
      </c>
      <c r="X58" s="189">
        <v>144</v>
      </c>
      <c r="Y58" s="190" t="s">
        <v>1335</v>
      </c>
      <c r="Z58" s="189" t="s">
        <v>1182</v>
      </c>
    </row>
    <row r="59" spans="1:26" ht="46.5" customHeight="1">
      <c r="A59" s="44"/>
      <c r="B59" s="233"/>
      <c r="C59" s="234"/>
      <c r="D59" s="241"/>
      <c r="E59" s="242"/>
      <c r="F59" s="31" t="s">
        <v>193</v>
      </c>
      <c r="G59" s="30" t="s">
        <v>194</v>
      </c>
      <c r="H59" s="31" t="s">
        <v>62</v>
      </c>
      <c r="I59" s="31" t="s">
        <v>63</v>
      </c>
      <c r="J59" s="43" t="s">
        <v>193</v>
      </c>
      <c r="K59" s="32" t="str">
        <f>G59</f>
        <v>Formar el personal dels punts d’informació en els valors culturals de l'ENP</v>
      </c>
      <c r="L59" s="33"/>
      <c r="M59" s="34" t="s">
        <v>900</v>
      </c>
      <c r="N59" s="35" t="s">
        <v>1155</v>
      </c>
      <c r="O59" s="34" t="s">
        <v>1365</v>
      </c>
      <c r="P59" s="36"/>
      <c r="Q59" s="37"/>
      <c r="R59" s="190" t="s">
        <v>1364</v>
      </c>
      <c r="S59" s="189">
        <f>4*1</f>
        <v>4</v>
      </c>
      <c r="T59" s="189">
        <v>8</v>
      </c>
      <c r="U59" s="189">
        <f t="shared" si="2"/>
        <v>28.8</v>
      </c>
      <c r="V59" s="190" t="s">
        <v>1335</v>
      </c>
      <c r="W59" s="189" t="s">
        <v>1182</v>
      </c>
      <c r="X59" s="189">
        <f>12*6</f>
        <v>72</v>
      </c>
      <c r="Y59" s="190" t="s">
        <v>1335</v>
      </c>
      <c r="Z59" s="189" t="s">
        <v>1182</v>
      </c>
    </row>
    <row r="60" spans="1:26" ht="100.5" customHeight="1">
      <c r="A60" s="44"/>
      <c r="B60" s="233"/>
      <c r="C60" s="234"/>
      <c r="D60" s="245" t="s">
        <v>195</v>
      </c>
      <c r="E60" s="246" t="s">
        <v>196</v>
      </c>
      <c r="F60" s="31" t="s">
        <v>197</v>
      </c>
      <c r="G60" s="30" t="s">
        <v>198</v>
      </c>
      <c r="H60" s="31" t="s">
        <v>62</v>
      </c>
      <c r="I60" s="31" t="s">
        <v>120</v>
      </c>
      <c r="J60" s="43" t="s">
        <v>197</v>
      </c>
      <c r="K60" s="32" t="str">
        <f>G60</f>
        <v xml:space="preserve">Elaborar un inventari d'elements d'interès paisatgístic de l'ENP d'acord amb el Catàleg de paisatge de la zona </v>
      </c>
      <c r="L60" s="33"/>
      <c r="M60" s="34" t="s">
        <v>900</v>
      </c>
      <c r="N60" s="35" t="s">
        <v>1178</v>
      </c>
      <c r="O60" s="34" t="s">
        <v>1366</v>
      </c>
      <c r="P60" s="36"/>
      <c r="Q60" s="37"/>
      <c r="R60" s="189" t="s">
        <v>1367</v>
      </c>
      <c r="S60" s="189">
        <v>1</v>
      </c>
      <c r="T60" s="189">
        <v>1</v>
      </c>
      <c r="U60" s="189">
        <f t="shared" si="2"/>
        <v>28.8</v>
      </c>
      <c r="V60" s="190" t="s">
        <v>1335</v>
      </c>
      <c r="W60" s="189" t="s">
        <v>1182</v>
      </c>
      <c r="X60" s="189">
        <f>6*12</f>
        <v>72</v>
      </c>
      <c r="Y60" s="190" t="s">
        <v>1335</v>
      </c>
      <c r="Z60" s="189" t="s">
        <v>1182</v>
      </c>
    </row>
    <row r="61" spans="1:26" ht="51" customHeight="1">
      <c r="A61" s="44"/>
      <c r="B61" s="233"/>
      <c r="C61" s="234"/>
      <c r="D61" s="239" t="s">
        <v>199</v>
      </c>
      <c r="E61" s="247" t="s">
        <v>200</v>
      </c>
      <c r="F61" s="29" t="s">
        <v>201</v>
      </c>
      <c r="G61" s="30" t="s">
        <v>202</v>
      </c>
      <c r="H61" s="31" t="s">
        <v>62</v>
      </c>
      <c r="I61" s="31" t="s">
        <v>120</v>
      </c>
      <c r="J61" s="43" t="s">
        <v>201</v>
      </c>
      <c r="K61" s="32" t="str">
        <f>G61</f>
        <v>Desplegar actuacions de restauració dels elements d'interès paisatgístic degradats</v>
      </c>
      <c r="L61" s="33"/>
      <c r="M61" s="34" t="s">
        <v>900</v>
      </c>
      <c r="N61" s="35" t="s">
        <v>1263</v>
      </c>
      <c r="O61" s="34" t="s">
        <v>1368</v>
      </c>
      <c r="P61" s="36"/>
      <c r="Q61" s="37"/>
      <c r="R61" s="190" t="s">
        <v>1369</v>
      </c>
      <c r="S61" s="189">
        <v>0</v>
      </c>
      <c r="T61" s="189">
        <v>1</v>
      </c>
      <c r="U61" s="189">
        <f t="shared" si="2"/>
        <v>16</v>
      </c>
      <c r="V61" s="190" t="s">
        <v>1335</v>
      </c>
      <c r="W61" s="189" t="s">
        <v>1182</v>
      </c>
      <c r="X61" s="189">
        <v>40</v>
      </c>
      <c r="Y61" s="190" t="s">
        <v>1335</v>
      </c>
      <c r="Z61" s="189" t="s">
        <v>1182</v>
      </c>
    </row>
    <row r="62" spans="1:26" ht="60" customHeight="1">
      <c r="A62" s="44"/>
      <c r="B62" s="233"/>
      <c r="C62" s="234"/>
      <c r="D62" s="241"/>
      <c r="E62" s="248"/>
      <c r="F62" s="29" t="s">
        <v>203</v>
      </c>
      <c r="G62" s="30" t="s">
        <v>1370</v>
      </c>
      <c r="H62" s="31" t="s">
        <v>62</v>
      </c>
      <c r="I62" s="31" t="s">
        <v>120</v>
      </c>
      <c r="J62" s="43" t="s">
        <v>203</v>
      </c>
      <c r="K62" s="32" t="s">
        <v>1371</v>
      </c>
      <c r="L62" s="33" t="s">
        <v>1372</v>
      </c>
      <c r="M62" s="34" t="s">
        <v>900</v>
      </c>
      <c r="N62" s="35" t="s">
        <v>1178</v>
      </c>
      <c r="O62" s="34" t="s">
        <v>1373</v>
      </c>
      <c r="P62" s="36"/>
      <c r="Q62" s="37"/>
      <c r="R62" s="190" t="s">
        <v>1369</v>
      </c>
      <c r="S62" s="189">
        <v>1</v>
      </c>
      <c r="T62" s="189">
        <v>3</v>
      </c>
      <c r="U62" s="189">
        <f t="shared" si="2"/>
        <v>144</v>
      </c>
      <c r="V62" s="190" t="s">
        <v>1158</v>
      </c>
      <c r="W62" s="190" t="s">
        <v>1374</v>
      </c>
      <c r="X62" s="189">
        <f>120*3</f>
        <v>360</v>
      </c>
      <c r="Y62" s="190" t="s">
        <v>1158</v>
      </c>
      <c r="Z62" s="190" t="s">
        <v>1374</v>
      </c>
    </row>
    <row r="63" spans="1:26" ht="56.15" customHeight="1">
      <c r="A63" s="44"/>
      <c r="B63" s="233"/>
      <c r="C63" s="234"/>
      <c r="D63" s="241"/>
      <c r="E63" s="248"/>
      <c r="F63" s="29" t="s">
        <v>204</v>
      </c>
      <c r="G63" s="30" t="s">
        <v>205</v>
      </c>
      <c r="H63" s="31" t="s">
        <v>62</v>
      </c>
      <c r="I63" s="31" t="s">
        <v>71</v>
      </c>
      <c r="J63" s="43" t="s">
        <v>204</v>
      </c>
      <c r="K63" s="32" t="str">
        <f>G63</f>
        <v>Minimitzar la brutícia, deixalles, vandalisme i males praxis dins l'ENP</v>
      </c>
      <c r="L63" s="33"/>
      <c r="M63" s="34" t="s">
        <v>900</v>
      </c>
      <c r="N63" s="35" t="s">
        <v>1155</v>
      </c>
      <c r="O63" s="34" t="s">
        <v>1375</v>
      </c>
      <c r="P63" s="36"/>
      <c r="Q63" s="37"/>
      <c r="R63" s="190" t="s">
        <v>1369</v>
      </c>
      <c r="S63" s="189">
        <v>4</v>
      </c>
      <c r="T63" s="189">
        <v>12</v>
      </c>
      <c r="U63" s="189">
        <f t="shared" si="2"/>
        <v>64</v>
      </c>
      <c r="V63" s="189" t="s">
        <v>1335</v>
      </c>
      <c r="W63" s="190" t="s">
        <v>1376</v>
      </c>
      <c r="X63" s="189">
        <f>8*20</f>
        <v>160</v>
      </c>
      <c r="Y63" s="189" t="s">
        <v>1335</v>
      </c>
      <c r="Z63" s="190" t="s">
        <v>1376</v>
      </c>
    </row>
    <row r="64" spans="1:26" ht="87.65" customHeight="1">
      <c r="A64" s="44"/>
      <c r="B64" s="233"/>
      <c r="C64" s="234"/>
      <c r="D64" s="239" t="s">
        <v>206</v>
      </c>
      <c r="E64" s="247" t="s">
        <v>207</v>
      </c>
      <c r="F64" s="29" t="s">
        <v>208</v>
      </c>
      <c r="G64" s="30" t="s">
        <v>209</v>
      </c>
      <c r="H64" s="31" t="s">
        <v>82</v>
      </c>
      <c r="I64" s="31" t="s">
        <v>120</v>
      </c>
      <c r="J64" s="43" t="s">
        <v>208</v>
      </c>
      <c r="K64" s="32" t="s">
        <v>1377</v>
      </c>
      <c r="L64" s="43" t="s">
        <v>1378</v>
      </c>
      <c r="M64" s="34" t="s">
        <v>900</v>
      </c>
      <c r="N64" s="35" t="s">
        <v>1224</v>
      </c>
      <c r="O64" s="34" t="s">
        <v>1379</v>
      </c>
      <c r="P64" s="36" t="s">
        <v>72</v>
      </c>
      <c r="Q64" s="37"/>
      <c r="R64" s="190" t="s">
        <v>1380</v>
      </c>
      <c r="S64" s="189">
        <v>1</v>
      </c>
      <c r="T64" s="190" t="s">
        <v>1381</v>
      </c>
      <c r="U64" s="189">
        <f t="shared" si="2"/>
        <v>12</v>
      </c>
      <c r="V64" s="190" t="s">
        <v>1208</v>
      </c>
      <c r="W64" s="190" t="s">
        <v>1309</v>
      </c>
      <c r="X64" s="189">
        <v>30</v>
      </c>
      <c r="Y64" s="190" t="s">
        <v>1208</v>
      </c>
      <c r="Z64" s="190" t="s">
        <v>1309</v>
      </c>
    </row>
    <row r="65" spans="1:26" ht="89.15" customHeight="1">
      <c r="A65" s="44"/>
      <c r="B65" s="233"/>
      <c r="C65" s="234"/>
      <c r="D65" s="241"/>
      <c r="E65" s="248"/>
      <c r="F65" s="29" t="s">
        <v>210</v>
      </c>
      <c r="G65" s="30" t="s">
        <v>211</v>
      </c>
      <c r="H65" s="31" t="s">
        <v>82</v>
      </c>
      <c r="I65" s="31" t="s">
        <v>120</v>
      </c>
      <c r="J65" s="43" t="s">
        <v>210</v>
      </c>
      <c r="K65" s="32" t="s">
        <v>1382</v>
      </c>
      <c r="L65" s="43" t="s">
        <v>1378</v>
      </c>
      <c r="M65" s="34" t="s">
        <v>900</v>
      </c>
      <c r="N65" s="35" t="s">
        <v>1224</v>
      </c>
      <c r="O65" s="34" t="s">
        <v>1383</v>
      </c>
      <c r="P65" s="36" t="s">
        <v>72</v>
      </c>
      <c r="Q65" s="37"/>
      <c r="R65" s="190" t="s">
        <v>1380</v>
      </c>
      <c r="S65" s="189">
        <v>1</v>
      </c>
      <c r="T65" s="190" t="s">
        <v>1381</v>
      </c>
      <c r="U65" s="189">
        <f t="shared" si="2"/>
        <v>12</v>
      </c>
      <c r="V65" s="190" t="s">
        <v>1208</v>
      </c>
      <c r="W65" s="190" t="s">
        <v>1309</v>
      </c>
      <c r="X65" s="189">
        <v>30</v>
      </c>
      <c r="Y65" s="190" t="s">
        <v>1208</v>
      </c>
      <c r="Z65" s="190" t="s">
        <v>1309</v>
      </c>
    </row>
    <row r="66" spans="1:26" ht="122.15" customHeight="1">
      <c r="A66" s="47" t="s">
        <v>212</v>
      </c>
      <c r="B66" s="48">
        <v>6</v>
      </c>
      <c r="C66" s="8" t="s">
        <v>213</v>
      </c>
      <c r="D66" s="249" t="s">
        <v>214</v>
      </c>
      <c r="E66" s="250" t="s">
        <v>215</v>
      </c>
      <c r="F66" s="29" t="s">
        <v>216</v>
      </c>
      <c r="G66" s="49" t="s">
        <v>217</v>
      </c>
      <c r="H66" s="31" t="s">
        <v>62</v>
      </c>
      <c r="I66" s="31" t="s">
        <v>71</v>
      </c>
      <c r="J66" s="43" t="s">
        <v>216</v>
      </c>
      <c r="K66" s="32" t="s">
        <v>1384</v>
      </c>
      <c r="L66" s="33"/>
      <c r="M66" s="50" t="s">
        <v>900</v>
      </c>
      <c r="N66" s="35" t="s">
        <v>1155</v>
      </c>
      <c r="O66" s="50" t="s">
        <v>1385</v>
      </c>
      <c r="P66" s="40" t="s">
        <v>218</v>
      </c>
      <c r="Q66" s="37" t="s">
        <v>219</v>
      </c>
      <c r="R66" s="190" t="s">
        <v>1386</v>
      </c>
      <c r="S66" s="189">
        <v>10</v>
      </c>
      <c r="T66" s="189">
        <v>40</v>
      </c>
      <c r="U66" s="189">
        <f t="shared" si="2"/>
        <v>480</v>
      </c>
      <c r="V66" s="190" t="s">
        <v>1387</v>
      </c>
      <c r="W66" s="190" t="s">
        <v>1388</v>
      </c>
      <c r="X66" s="189">
        <f>30*40</f>
        <v>1200</v>
      </c>
      <c r="Y66" s="190" t="s">
        <v>1387</v>
      </c>
      <c r="Z66" s="190" t="s">
        <v>1388</v>
      </c>
    </row>
    <row r="67" spans="1:26" ht="73" customHeight="1">
      <c r="A67" s="47"/>
      <c r="B67" s="251"/>
      <c r="C67" s="8"/>
      <c r="D67" s="252"/>
      <c r="E67" s="253"/>
      <c r="F67" s="29" t="s">
        <v>220</v>
      </c>
      <c r="G67" s="30" t="s">
        <v>1389</v>
      </c>
      <c r="H67" s="31" t="s">
        <v>62</v>
      </c>
      <c r="I67" s="31" t="s">
        <v>71</v>
      </c>
      <c r="J67" s="43" t="s">
        <v>220</v>
      </c>
      <c r="K67" s="32" t="str">
        <f>G67</f>
        <v>Definir espais fràgils i zones d'especial atenció terrestres</v>
      </c>
      <c r="L67" s="33"/>
      <c r="M67" s="34" t="s">
        <v>900</v>
      </c>
      <c r="N67" s="35" t="s">
        <v>1155</v>
      </c>
      <c r="O67" s="34" t="s">
        <v>1390</v>
      </c>
      <c r="P67" s="36"/>
      <c r="Q67" s="37" t="s">
        <v>221</v>
      </c>
      <c r="R67" s="190" t="s">
        <v>1391</v>
      </c>
      <c r="S67" s="189">
        <v>2</v>
      </c>
      <c r="T67" s="189">
        <v>6</v>
      </c>
      <c r="U67" s="189">
        <f t="shared" si="2"/>
        <v>128</v>
      </c>
      <c r="V67" s="190" t="s">
        <v>1387</v>
      </c>
      <c r="W67" s="190" t="s">
        <v>1392</v>
      </c>
      <c r="X67" s="189">
        <f>4*20*4</f>
        <v>320</v>
      </c>
      <c r="Y67" s="190" t="s">
        <v>1387</v>
      </c>
      <c r="Z67" s="190" t="s">
        <v>1392</v>
      </c>
    </row>
    <row r="68" spans="1:26" ht="88" customHeight="1">
      <c r="A68" s="47"/>
      <c r="B68" s="251"/>
      <c r="C68" s="8"/>
      <c r="D68" s="254"/>
      <c r="E68" s="255"/>
      <c r="F68" s="29" t="s">
        <v>967</v>
      </c>
      <c r="G68" s="30" t="s">
        <v>1393</v>
      </c>
      <c r="H68" s="31" t="s">
        <v>62</v>
      </c>
      <c r="I68" s="31" t="s">
        <v>71</v>
      </c>
      <c r="J68" s="43" t="s">
        <v>967</v>
      </c>
      <c r="K68" s="32" t="str">
        <f>G68</f>
        <v>Definir espais fràgils i zones d'especial atenció marines</v>
      </c>
      <c r="L68" s="33"/>
      <c r="M68" s="34" t="s">
        <v>900</v>
      </c>
      <c r="N68" s="35" t="s">
        <v>1155</v>
      </c>
      <c r="O68" s="34" t="s">
        <v>1394</v>
      </c>
      <c r="P68" s="36"/>
      <c r="Q68" s="37" t="s">
        <v>221</v>
      </c>
      <c r="R68" s="190" t="s">
        <v>1391</v>
      </c>
      <c r="S68" s="189">
        <v>1</v>
      </c>
      <c r="T68" s="189">
        <v>4</v>
      </c>
      <c r="U68" s="189">
        <f t="shared" si="2"/>
        <v>64</v>
      </c>
      <c r="V68" s="190" t="s">
        <v>1387</v>
      </c>
      <c r="W68" s="190" t="s">
        <v>1392</v>
      </c>
      <c r="X68" s="189">
        <f>2*20*4</f>
        <v>160</v>
      </c>
      <c r="Y68" s="190" t="s">
        <v>1387</v>
      </c>
      <c r="Z68" s="190" t="s">
        <v>1392</v>
      </c>
    </row>
    <row r="69" spans="1:26" ht="54.65" customHeight="1">
      <c r="A69" s="47"/>
      <c r="B69" s="251"/>
      <c r="C69" s="8"/>
      <c r="D69" s="256" t="s">
        <v>222</v>
      </c>
      <c r="E69" s="250" t="s">
        <v>223</v>
      </c>
      <c r="F69" s="29" t="s">
        <v>224</v>
      </c>
      <c r="G69" s="30" t="s">
        <v>225</v>
      </c>
      <c r="H69" s="31" t="s">
        <v>62</v>
      </c>
      <c r="I69" s="31" t="s">
        <v>71</v>
      </c>
      <c r="J69" s="43" t="s">
        <v>224</v>
      </c>
      <c r="K69" s="32" t="str">
        <f>G69</f>
        <v>Participar en l'elaboració de la cartografia que elabora la UIC</v>
      </c>
      <c r="L69" s="33"/>
      <c r="M69" s="34" t="s">
        <v>586</v>
      </c>
      <c r="N69" s="35" t="s">
        <v>1178</v>
      </c>
      <c r="O69" s="34" t="s">
        <v>1395</v>
      </c>
      <c r="P69" s="36" t="s">
        <v>72</v>
      </c>
      <c r="Q69" s="37" t="s">
        <v>226</v>
      </c>
      <c r="R69" s="190" t="s">
        <v>1396</v>
      </c>
      <c r="S69" s="189">
        <v>2</v>
      </c>
      <c r="T69" s="189">
        <v>6</v>
      </c>
      <c r="U69" s="189">
        <f t="shared" si="2"/>
        <v>16</v>
      </c>
      <c r="V69" s="190" t="s">
        <v>1387</v>
      </c>
      <c r="W69" s="190" t="s">
        <v>1392</v>
      </c>
      <c r="X69" s="189">
        <f>4*10</f>
        <v>40</v>
      </c>
      <c r="Y69" s="190" t="s">
        <v>1387</v>
      </c>
      <c r="Z69" s="190" t="s">
        <v>1392</v>
      </c>
    </row>
    <row r="70" spans="1:26" ht="54.65" customHeight="1">
      <c r="A70" s="47"/>
      <c r="B70" s="251"/>
      <c r="C70" s="8"/>
      <c r="D70" s="257"/>
      <c r="E70" s="253"/>
      <c r="F70" s="29" t="s">
        <v>227</v>
      </c>
      <c r="G70" s="30" t="s">
        <v>228</v>
      </c>
      <c r="H70" s="31" t="s">
        <v>62</v>
      </c>
      <c r="I70" s="31" t="s">
        <v>71</v>
      </c>
      <c r="J70" s="43" t="s">
        <v>227</v>
      </c>
      <c r="K70" s="32" t="s">
        <v>1397</v>
      </c>
      <c r="L70" s="33"/>
      <c r="M70" s="34"/>
      <c r="N70" s="35" t="s">
        <v>1263</v>
      </c>
      <c r="O70" s="34" t="s">
        <v>1398</v>
      </c>
      <c r="P70" s="36"/>
      <c r="Q70" s="37"/>
      <c r="R70" s="190" t="s">
        <v>1399</v>
      </c>
      <c r="S70" s="189">
        <v>1</v>
      </c>
      <c r="T70" s="189">
        <v>2</v>
      </c>
      <c r="U70" s="189">
        <f t="shared" si="2"/>
        <v>80</v>
      </c>
      <c r="V70" s="190" t="s">
        <v>1387</v>
      </c>
      <c r="W70" s="190" t="s">
        <v>1392</v>
      </c>
      <c r="X70" s="189">
        <v>200</v>
      </c>
      <c r="Y70" s="190" t="s">
        <v>1387</v>
      </c>
      <c r="Z70" s="190" t="s">
        <v>1392</v>
      </c>
    </row>
    <row r="71" spans="1:26" ht="118.5" customHeight="1">
      <c r="A71" s="47"/>
      <c r="B71" s="251"/>
      <c r="C71" s="8"/>
      <c r="D71" s="257"/>
      <c r="E71" s="253"/>
      <c r="F71" s="29" t="s">
        <v>229</v>
      </c>
      <c r="G71" s="30" t="s">
        <v>230</v>
      </c>
      <c r="H71" s="31" t="s">
        <v>62</v>
      </c>
      <c r="I71" s="31" t="s">
        <v>71</v>
      </c>
      <c r="J71" s="43" t="s">
        <v>229</v>
      </c>
      <c r="K71" s="32" t="str">
        <f>G71</f>
        <v>Conèixer els usos i factors de canvi rellevants en l'evolució dels elements de conservació, i avaluar els efectes que generen en l’espai (pressions i amenaces)</v>
      </c>
      <c r="L71" s="33"/>
      <c r="M71" s="34" t="s">
        <v>900</v>
      </c>
      <c r="N71" s="35" t="s">
        <v>1155</v>
      </c>
      <c r="O71" s="34" t="s">
        <v>1400</v>
      </c>
      <c r="P71" s="36" t="s">
        <v>72</v>
      </c>
      <c r="Q71" s="37" t="s">
        <v>231</v>
      </c>
      <c r="R71" s="190" t="s">
        <v>1399</v>
      </c>
      <c r="S71" s="189">
        <v>6</v>
      </c>
      <c r="T71" s="189">
        <v>12</v>
      </c>
      <c r="U71" s="189">
        <f t="shared" si="2"/>
        <v>180</v>
      </c>
      <c r="V71" s="190" t="s">
        <v>1387</v>
      </c>
      <c r="W71" s="190" t="s">
        <v>1401</v>
      </c>
      <c r="X71" s="189">
        <f>9*50</f>
        <v>450</v>
      </c>
      <c r="Y71" s="190" t="s">
        <v>1387</v>
      </c>
      <c r="Z71" s="190" t="s">
        <v>1401</v>
      </c>
    </row>
    <row r="72" spans="1:26" ht="98.15" customHeight="1">
      <c r="A72" s="47"/>
      <c r="B72" s="251"/>
      <c r="C72" s="8"/>
      <c r="D72" s="257"/>
      <c r="E72" s="253"/>
      <c r="F72" s="29" t="s">
        <v>232</v>
      </c>
      <c r="G72" s="30" t="s">
        <v>233</v>
      </c>
      <c r="H72" s="31" t="s">
        <v>62</v>
      </c>
      <c r="I72" s="31" t="s">
        <v>120</v>
      </c>
      <c r="J72" s="43" t="s">
        <v>232</v>
      </c>
      <c r="K72" s="32" t="s">
        <v>1402</v>
      </c>
      <c r="L72" s="33" t="s">
        <v>1403</v>
      </c>
      <c r="M72" s="34" t="s">
        <v>900</v>
      </c>
      <c r="N72" s="35" t="s">
        <v>1178</v>
      </c>
      <c r="O72" s="34" t="s">
        <v>1404</v>
      </c>
      <c r="P72" s="36"/>
      <c r="Q72" s="37"/>
      <c r="R72" s="189" t="s">
        <v>1405</v>
      </c>
      <c r="S72" s="189">
        <v>4</v>
      </c>
      <c r="T72" s="189">
        <v>12</v>
      </c>
      <c r="U72" s="189">
        <f t="shared" si="2"/>
        <v>160</v>
      </c>
      <c r="V72" s="190" t="s">
        <v>1387</v>
      </c>
      <c r="W72" s="190" t="s">
        <v>1401</v>
      </c>
      <c r="X72" s="189">
        <f>8*50</f>
        <v>400</v>
      </c>
      <c r="Y72" s="190" t="s">
        <v>1387</v>
      </c>
      <c r="Z72" s="190" t="s">
        <v>1401</v>
      </c>
    </row>
    <row r="73" spans="1:26" ht="69" customHeight="1">
      <c r="A73" s="47"/>
      <c r="B73" s="251"/>
      <c r="C73" s="8"/>
      <c r="D73" s="257"/>
      <c r="E73" s="253"/>
      <c r="F73" s="29" t="s">
        <v>234</v>
      </c>
      <c r="G73" s="30" t="s">
        <v>235</v>
      </c>
      <c r="H73" s="31" t="s">
        <v>62</v>
      </c>
      <c r="I73" s="31" t="s">
        <v>120</v>
      </c>
      <c r="J73" s="43" t="s">
        <v>234</v>
      </c>
      <c r="K73" s="32" t="str">
        <f>G73</f>
        <v>Participar en el coneixement de la tendència d'espècies plaga amb afectacions sobre ecosistemes o activitats econòmiques dins l'ENP</v>
      </c>
      <c r="L73" s="33"/>
      <c r="M73" s="34" t="s">
        <v>900</v>
      </c>
      <c r="N73" s="35" t="s">
        <v>1224</v>
      </c>
      <c r="O73" s="34" t="s">
        <v>1406</v>
      </c>
      <c r="P73" s="36"/>
      <c r="Q73" s="37"/>
      <c r="R73" s="190" t="s">
        <v>1407</v>
      </c>
      <c r="S73" s="189">
        <v>3</v>
      </c>
      <c r="T73" s="189">
        <v>6</v>
      </c>
      <c r="U73" s="189">
        <f t="shared" si="2"/>
        <v>80</v>
      </c>
      <c r="V73" s="190" t="s">
        <v>1387</v>
      </c>
      <c r="W73" s="190" t="s">
        <v>1401</v>
      </c>
      <c r="X73" s="189">
        <f>4*50</f>
        <v>200</v>
      </c>
      <c r="Y73" s="190" t="s">
        <v>1387</v>
      </c>
      <c r="Z73" s="190" t="s">
        <v>1401</v>
      </c>
    </row>
    <row r="74" spans="1:26" ht="75" customHeight="1">
      <c r="A74" s="47"/>
      <c r="B74" s="251"/>
      <c r="C74" s="8"/>
      <c r="D74" s="257"/>
      <c r="E74" s="253"/>
      <c r="F74" s="29" t="s">
        <v>236</v>
      </c>
      <c r="G74" s="30" t="s">
        <v>237</v>
      </c>
      <c r="H74" s="31" t="s">
        <v>62</v>
      </c>
      <c r="I74" s="31" t="s">
        <v>71</v>
      </c>
      <c r="J74" s="43" t="s">
        <v>236</v>
      </c>
      <c r="K74" s="32" t="s">
        <v>1408</v>
      </c>
      <c r="L74" s="33"/>
      <c r="M74" s="34" t="s">
        <v>900</v>
      </c>
      <c r="N74" s="35" t="s">
        <v>1178</v>
      </c>
      <c r="O74" s="34" t="s">
        <v>1409</v>
      </c>
      <c r="P74" s="36" t="s">
        <v>72</v>
      </c>
      <c r="Q74" s="37"/>
      <c r="R74" s="190" t="s">
        <v>1407</v>
      </c>
      <c r="S74" s="189">
        <v>2</v>
      </c>
      <c r="T74" s="189">
        <v>6</v>
      </c>
      <c r="U74" s="189">
        <f t="shared" si="2"/>
        <v>80</v>
      </c>
      <c r="V74" s="190" t="s">
        <v>1387</v>
      </c>
      <c r="W74" s="190" t="s">
        <v>1401</v>
      </c>
      <c r="X74" s="189">
        <f>4*50</f>
        <v>200</v>
      </c>
      <c r="Y74" s="190" t="s">
        <v>1387</v>
      </c>
      <c r="Z74" s="190" t="s">
        <v>1401</v>
      </c>
    </row>
    <row r="75" spans="1:26" ht="80.150000000000006" customHeight="1">
      <c r="A75" s="47"/>
      <c r="B75" s="251"/>
      <c r="C75" s="8"/>
      <c r="D75" s="258"/>
      <c r="E75" s="255"/>
      <c r="F75" s="29" t="s">
        <v>238</v>
      </c>
      <c r="G75" s="30" t="s">
        <v>239</v>
      </c>
      <c r="H75" s="31" t="s">
        <v>62</v>
      </c>
      <c r="I75" s="31" t="s">
        <v>120</v>
      </c>
      <c r="J75" s="43" t="s">
        <v>238</v>
      </c>
      <c r="K75" s="32" t="s">
        <v>1410</v>
      </c>
      <c r="L75" s="33"/>
      <c r="M75" s="34" t="s">
        <v>900</v>
      </c>
      <c r="N75" s="35" t="s">
        <v>1178</v>
      </c>
      <c r="O75" s="34" t="s">
        <v>1411</v>
      </c>
      <c r="P75" s="36" t="s">
        <v>72</v>
      </c>
      <c r="Q75" s="37"/>
      <c r="R75" s="189" t="s">
        <v>1412</v>
      </c>
      <c r="S75" s="189">
        <v>2</v>
      </c>
      <c r="T75" s="189">
        <v>6</v>
      </c>
      <c r="U75" s="189">
        <f t="shared" si="2"/>
        <v>80</v>
      </c>
      <c r="V75" s="190" t="s">
        <v>1387</v>
      </c>
      <c r="W75" s="190" t="s">
        <v>1401</v>
      </c>
      <c r="X75" s="189">
        <f>4*50</f>
        <v>200</v>
      </c>
      <c r="Y75" s="190" t="s">
        <v>1387</v>
      </c>
      <c r="Z75" s="190" t="s">
        <v>1401</v>
      </c>
    </row>
    <row r="76" spans="1:26" ht="73.5" customHeight="1">
      <c r="A76" s="47"/>
      <c r="B76" s="251"/>
      <c r="C76" s="8"/>
      <c r="D76" s="259" t="s">
        <v>240</v>
      </c>
      <c r="E76" s="250" t="s">
        <v>241</v>
      </c>
      <c r="F76" s="29" t="s">
        <v>242</v>
      </c>
      <c r="G76" s="30" t="s">
        <v>243</v>
      </c>
      <c r="H76" s="31" t="s">
        <v>62</v>
      </c>
      <c r="I76" s="31" t="s">
        <v>71</v>
      </c>
      <c r="J76" s="43" t="s">
        <v>242</v>
      </c>
      <c r="K76" s="32" t="str">
        <f>G76</f>
        <v>Participar en la definició del sistema estàndard de seguiment de flora, fauna i hàbitats de la DG</v>
      </c>
      <c r="L76" s="33"/>
      <c r="M76" s="34" t="s">
        <v>900</v>
      </c>
      <c r="N76" s="35" t="s">
        <v>1178</v>
      </c>
      <c r="O76" s="34" t="s">
        <v>1413</v>
      </c>
      <c r="P76" s="36" t="s">
        <v>72</v>
      </c>
      <c r="Q76" s="37" t="s">
        <v>244</v>
      </c>
      <c r="R76" s="190" t="s">
        <v>1396</v>
      </c>
      <c r="S76" s="189">
        <v>8</v>
      </c>
      <c r="T76" s="189">
        <v>16</v>
      </c>
      <c r="U76" s="189">
        <f t="shared" si="2"/>
        <v>48</v>
      </c>
      <c r="V76" s="190" t="s">
        <v>1387</v>
      </c>
      <c r="W76" s="190" t="s">
        <v>1401</v>
      </c>
      <c r="X76" s="189">
        <f>12*10</f>
        <v>120</v>
      </c>
      <c r="Y76" s="190" t="s">
        <v>1387</v>
      </c>
      <c r="Z76" s="190" t="s">
        <v>1401</v>
      </c>
    </row>
    <row r="77" spans="1:26" ht="77.150000000000006" customHeight="1">
      <c r="A77" s="47"/>
      <c r="B77" s="251"/>
      <c r="C77" s="8"/>
      <c r="D77" s="260"/>
      <c r="E77" s="253"/>
      <c r="F77" s="29" t="s">
        <v>245</v>
      </c>
      <c r="G77" s="30" t="s">
        <v>246</v>
      </c>
      <c r="H77" s="31" t="s">
        <v>62</v>
      </c>
      <c r="I77" s="31" t="s">
        <v>71</v>
      </c>
      <c r="J77" s="43" t="s">
        <v>245</v>
      </c>
      <c r="K77" s="32" t="str">
        <f>G77</f>
        <v>Adequar i executar el sistema de seguiment periòdic dels grups clau de l'ENP al sistema estàndard de seguiment</v>
      </c>
      <c r="L77" s="33"/>
      <c r="M77" s="34" t="s">
        <v>900</v>
      </c>
      <c r="N77" s="35" t="s">
        <v>1178</v>
      </c>
      <c r="O77" s="34" t="s">
        <v>1414</v>
      </c>
      <c r="P77" s="36" t="s">
        <v>72</v>
      </c>
      <c r="Q77" s="37" t="s">
        <v>247</v>
      </c>
      <c r="R77" s="190" t="s">
        <v>1415</v>
      </c>
      <c r="S77" s="189">
        <v>4</v>
      </c>
      <c r="T77" s="189">
        <v>12</v>
      </c>
      <c r="U77" s="189">
        <f t="shared" si="2"/>
        <v>160</v>
      </c>
      <c r="V77" s="190" t="s">
        <v>1387</v>
      </c>
      <c r="W77" s="190" t="s">
        <v>1401</v>
      </c>
      <c r="X77" s="189">
        <f>8*50</f>
        <v>400</v>
      </c>
      <c r="Y77" s="190" t="s">
        <v>1387</v>
      </c>
      <c r="Z77" s="190" t="s">
        <v>1401</v>
      </c>
    </row>
    <row r="78" spans="1:26" ht="49.5" customHeight="1">
      <c r="A78" s="47"/>
      <c r="B78" s="251"/>
      <c r="C78" s="8"/>
      <c r="D78" s="260"/>
      <c r="E78" s="253"/>
      <c r="F78" s="29" t="s">
        <v>248</v>
      </c>
      <c r="G78" s="30" t="s">
        <v>249</v>
      </c>
      <c r="H78" s="31" t="s">
        <v>62</v>
      </c>
      <c r="I78" s="31" t="s">
        <v>71</v>
      </c>
      <c r="J78" s="43" t="s">
        <v>248</v>
      </c>
      <c r="K78" s="32" t="s">
        <v>1416</v>
      </c>
      <c r="L78" s="32" t="s">
        <v>1417</v>
      </c>
      <c r="M78" s="34" t="s">
        <v>900</v>
      </c>
      <c r="N78" s="238" t="s">
        <v>1331</v>
      </c>
      <c r="O78" s="34" t="s">
        <v>1418</v>
      </c>
      <c r="P78" s="36"/>
      <c r="Q78" s="37"/>
      <c r="R78" s="189"/>
      <c r="S78" s="189"/>
      <c r="T78" s="189"/>
      <c r="U78" s="189">
        <f t="shared" si="2"/>
        <v>0</v>
      </c>
      <c r="V78" s="189"/>
      <c r="W78" s="189"/>
      <c r="X78" s="189"/>
      <c r="Y78" s="189"/>
      <c r="Z78" s="189"/>
    </row>
    <row r="79" spans="1:26" ht="70" customHeight="1">
      <c r="A79" s="47"/>
      <c r="B79" s="251"/>
      <c r="C79" s="8"/>
      <c r="D79" s="261"/>
      <c r="E79" s="255"/>
      <c r="F79" s="29" t="s">
        <v>250</v>
      </c>
      <c r="G79" s="30" t="s">
        <v>1419</v>
      </c>
      <c r="H79" s="31" t="s">
        <v>62</v>
      </c>
      <c r="I79" s="31" t="s">
        <v>71</v>
      </c>
      <c r="J79" s="43" t="s">
        <v>250</v>
      </c>
      <c r="K79" s="32" t="str">
        <f>G79</f>
        <v>Participar en la deficniciaó, organització i bolcatge de dades del SINATCAT</v>
      </c>
      <c r="L79" s="33"/>
      <c r="M79" s="34" t="s">
        <v>900</v>
      </c>
      <c r="N79" s="35" t="s">
        <v>1155</v>
      </c>
      <c r="O79" s="34" t="s">
        <v>1420</v>
      </c>
      <c r="P79" s="36"/>
      <c r="Q79" s="37" t="s">
        <v>251</v>
      </c>
      <c r="R79" s="190" t="s">
        <v>1421</v>
      </c>
      <c r="S79" s="189">
        <v>5</v>
      </c>
      <c r="T79" s="189">
        <v>10</v>
      </c>
      <c r="U79" s="189">
        <f t="shared" si="2"/>
        <v>48</v>
      </c>
      <c r="V79" s="190" t="s">
        <v>1387</v>
      </c>
      <c r="W79" s="190" t="s">
        <v>1401</v>
      </c>
      <c r="X79" s="189">
        <f>15*8</f>
        <v>120</v>
      </c>
      <c r="Y79" s="190" t="s">
        <v>1387</v>
      </c>
      <c r="Z79" s="190" t="s">
        <v>1401</v>
      </c>
    </row>
    <row r="80" spans="1:26" ht="155.15" customHeight="1">
      <c r="A80" s="47"/>
      <c r="B80" s="251"/>
      <c r="C80" s="8"/>
      <c r="D80" s="262" t="s">
        <v>252</v>
      </c>
      <c r="E80" s="250" t="s">
        <v>253</v>
      </c>
      <c r="F80" s="29" t="s">
        <v>254</v>
      </c>
      <c r="G80" s="30" t="s">
        <v>255</v>
      </c>
      <c r="H80" s="31" t="s">
        <v>62</v>
      </c>
      <c r="I80" s="31" t="s">
        <v>120</v>
      </c>
      <c r="J80" s="43" t="s">
        <v>254</v>
      </c>
      <c r="K80" s="32" t="s">
        <v>1422</v>
      </c>
      <c r="L80" s="33"/>
      <c r="M80" s="34" t="s">
        <v>900</v>
      </c>
      <c r="N80" s="35" t="s">
        <v>1155</v>
      </c>
      <c r="O80" s="34" t="s">
        <v>1423</v>
      </c>
      <c r="P80" s="36"/>
      <c r="Q80" s="37" t="s">
        <v>256</v>
      </c>
      <c r="R80" s="190" t="s">
        <v>1396</v>
      </c>
      <c r="S80" s="189">
        <f>5*2</f>
        <v>10</v>
      </c>
      <c r="T80" s="189">
        <v>20</v>
      </c>
      <c r="U80" s="189">
        <f t="shared" si="2"/>
        <v>60</v>
      </c>
      <c r="V80" s="190" t="s">
        <v>1387</v>
      </c>
      <c r="W80" s="190" t="s">
        <v>1401</v>
      </c>
      <c r="X80" s="189">
        <f>15*10</f>
        <v>150</v>
      </c>
      <c r="Y80" s="190" t="s">
        <v>1387</v>
      </c>
      <c r="Z80" s="190" t="s">
        <v>1401</v>
      </c>
    </row>
    <row r="81" spans="1:26" ht="69" customHeight="1">
      <c r="A81" s="47"/>
      <c r="B81" s="251"/>
      <c r="C81" s="8"/>
      <c r="D81" s="263"/>
      <c r="E81" s="253"/>
      <c r="F81" s="29" t="s">
        <v>257</v>
      </c>
      <c r="G81" s="30" t="s">
        <v>258</v>
      </c>
      <c r="H81" s="31" t="s">
        <v>62</v>
      </c>
      <c r="I81" s="31" t="s">
        <v>120</v>
      </c>
      <c r="J81" s="43" t="s">
        <v>257</v>
      </c>
      <c r="K81" s="32" t="s">
        <v>1424</v>
      </c>
      <c r="L81" s="32" t="s">
        <v>1425</v>
      </c>
      <c r="M81" s="34" t="s">
        <v>900</v>
      </c>
      <c r="N81" s="35" t="s">
        <v>1224</v>
      </c>
      <c r="O81" s="34" t="s">
        <v>1426</v>
      </c>
      <c r="P81" s="36"/>
      <c r="Q81" s="37" t="s">
        <v>259</v>
      </c>
      <c r="R81" s="190" t="s">
        <v>1396</v>
      </c>
      <c r="S81" s="189">
        <v>16</v>
      </c>
      <c r="T81" s="189">
        <v>30</v>
      </c>
      <c r="U81" s="189">
        <f t="shared" si="2"/>
        <v>92</v>
      </c>
      <c r="V81" s="190" t="s">
        <v>1387</v>
      </c>
      <c r="W81" s="190" t="s">
        <v>1401</v>
      </c>
      <c r="X81" s="189">
        <f>23*10</f>
        <v>230</v>
      </c>
      <c r="Y81" s="190" t="s">
        <v>1387</v>
      </c>
      <c r="Z81" s="190" t="s">
        <v>1401</v>
      </c>
    </row>
    <row r="82" spans="1:26" ht="76.5" customHeight="1">
      <c r="A82" s="47"/>
      <c r="B82" s="251"/>
      <c r="C82" s="8"/>
      <c r="D82" s="263"/>
      <c r="E82" s="253"/>
      <c r="F82" s="29" t="s">
        <v>260</v>
      </c>
      <c r="G82" s="30" t="s">
        <v>261</v>
      </c>
      <c r="H82" s="31" t="s">
        <v>62</v>
      </c>
      <c r="I82" s="31" t="s">
        <v>120</v>
      </c>
      <c r="J82" s="43" t="s">
        <v>260</v>
      </c>
      <c r="K82" s="32" t="str">
        <f>G82</f>
        <v xml:space="preserve">Potenciar la ciència ciutadana en l’ENP com a eina per generar coneixement </v>
      </c>
      <c r="L82" s="33"/>
      <c r="M82" s="34" t="s">
        <v>900</v>
      </c>
      <c r="N82" s="35" t="s">
        <v>1224</v>
      </c>
      <c r="O82" s="34" t="s">
        <v>1427</v>
      </c>
      <c r="P82" s="36"/>
      <c r="Q82" s="37"/>
      <c r="R82" s="190" t="s">
        <v>1428</v>
      </c>
      <c r="S82" s="189">
        <v>16</v>
      </c>
      <c r="T82" s="189">
        <v>30</v>
      </c>
      <c r="U82" s="189">
        <f t="shared" si="2"/>
        <v>92</v>
      </c>
      <c r="V82" s="190" t="s">
        <v>1387</v>
      </c>
      <c r="W82" s="190" t="s">
        <v>1429</v>
      </c>
      <c r="X82" s="189">
        <f>23*10</f>
        <v>230</v>
      </c>
      <c r="Y82" s="190" t="s">
        <v>1387</v>
      </c>
      <c r="Z82" s="190" t="s">
        <v>1429</v>
      </c>
    </row>
    <row r="83" spans="1:26" ht="47.5" customHeight="1">
      <c r="A83" s="47"/>
      <c r="B83" s="251"/>
      <c r="C83" s="8"/>
      <c r="D83" s="263"/>
      <c r="E83" s="253"/>
      <c r="F83" s="29" t="s">
        <v>262</v>
      </c>
      <c r="G83" s="30" t="s">
        <v>263</v>
      </c>
      <c r="H83" s="31" t="s">
        <v>62</v>
      </c>
      <c r="I83" s="31" t="s">
        <v>120</v>
      </c>
      <c r="J83" s="43" t="s">
        <v>262</v>
      </c>
      <c r="K83" s="32" t="s">
        <v>1430</v>
      </c>
      <c r="L83" s="33"/>
      <c r="M83" s="34" t="s">
        <v>900</v>
      </c>
      <c r="N83" s="35" t="s">
        <v>1224</v>
      </c>
      <c r="O83" s="34" t="s">
        <v>1431</v>
      </c>
      <c r="P83" s="36"/>
      <c r="Q83" s="37" t="s">
        <v>264</v>
      </c>
      <c r="R83" s="190" t="s">
        <v>1432</v>
      </c>
      <c r="S83" s="189">
        <v>12</v>
      </c>
      <c r="T83" s="189">
        <v>20</v>
      </c>
      <c r="U83" s="189">
        <f t="shared" si="2"/>
        <v>102.4</v>
      </c>
      <c r="V83" s="190" t="s">
        <v>1387</v>
      </c>
      <c r="W83" s="190" t="s">
        <v>1429</v>
      </c>
      <c r="X83" s="189">
        <f>16*16</f>
        <v>256</v>
      </c>
      <c r="Y83" s="190" t="s">
        <v>1387</v>
      </c>
      <c r="Z83" s="190" t="s">
        <v>1429</v>
      </c>
    </row>
    <row r="84" spans="1:26" ht="78" customHeight="1">
      <c r="A84" s="47"/>
      <c r="B84" s="251"/>
      <c r="C84" s="8"/>
      <c r="D84" s="263"/>
      <c r="E84" s="253"/>
      <c r="F84" s="29" t="s">
        <v>265</v>
      </c>
      <c r="G84" s="30" t="s">
        <v>266</v>
      </c>
      <c r="H84" s="31" t="s">
        <v>62</v>
      </c>
      <c r="I84" s="31" t="s">
        <v>120</v>
      </c>
      <c r="J84" s="43" t="s">
        <v>265</v>
      </c>
      <c r="K84" s="32" t="s">
        <v>1433</v>
      </c>
      <c r="L84" s="43" t="s">
        <v>1434</v>
      </c>
      <c r="M84" s="34" t="s">
        <v>900</v>
      </c>
      <c r="N84" s="35" t="s">
        <v>1155</v>
      </c>
      <c r="O84" s="34" t="s">
        <v>1435</v>
      </c>
      <c r="P84" s="36" t="s">
        <v>72</v>
      </c>
      <c r="Q84" s="37"/>
      <c r="R84" s="190" t="s">
        <v>1436</v>
      </c>
      <c r="S84" s="190" t="s">
        <v>1437</v>
      </c>
      <c r="T84" s="190" t="s">
        <v>1438</v>
      </c>
      <c r="U84" s="189">
        <f t="shared" si="2"/>
        <v>100</v>
      </c>
      <c r="V84" s="189" t="s">
        <v>1208</v>
      </c>
      <c r="W84" s="190" t="s">
        <v>1439</v>
      </c>
      <c r="X84" s="189">
        <v>250</v>
      </c>
      <c r="Y84" s="189" t="s">
        <v>1208</v>
      </c>
      <c r="Z84" s="190" t="s">
        <v>1439</v>
      </c>
    </row>
    <row r="85" spans="1:26" ht="58" customHeight="1">
      <c r="A85" s="47"/>
      <c r="B85" s="251"/>
      <c r="C85" s="8"/>
      <c r="D85" s="264"/>
      <c r="E85" s="255"/>
      <c r="F85" s="29" t="s">
        <v>267</v>
      </c>
      <c r="G85" s="30" t="s">
        <v>268</v>
      </c>
      <c r="H85" s="31" t="s">
        <v>62</v>
      </c>
      <c r="I85" s="31" t="s">
        <v>120</v>
      </c>
      <c r="J85" s="43" t="s">
        <v>267</v>
      </c>
      <c r="K85" s="32" t="str">
        <f t="shared" ref="K85:K91" si="4">G85</f>
        <v xml:space="preserve">Crear l'Observatori de recerca de l'ENP vinculat a l'Observatori del Patrimoni natural i la biodiversitat </v>
      </c>
      <c r="L85" s="33"/>
      <c r="M85" s="34" t="s">
        <v>900</v>
      </c>
      <c r="N85" s="238" t="s">
        <v>1331</v>
      </c>
      <c r="O85" s="34" t="s">
        <v>1440</v>
      </c>
      <c r="P85" s="36"/>
      <c r="Q85" s="37" t="s">
        <v>269</v>
      </c>
      <c r="R85" s="190" t="s">
        <v>1396</v>
      </c>
      <c r="S85" s="189">
        <v>4</v>
      </c>
      <c r="T85" s="189">
        <v>10</v>
      </c>
      <c r="U85" s="189">
        <f t="shared" si="2"/>
        <v>28</v>
      </c>
      <c r="V85" s="189" t="s">
        <v>1208</v>
      </c>
      <c r="W85" s="190" t="s">
        <v>1441</v>
      </c>
      <c r="X85" s="189">
        <f>7*10</f>
        <v>70</v>
      </c>
      <c r="Y85" s="189" t="s">
        <v>1208</v>
      </c>
      <c r="Z85" s="190" t="s">
        <v>1441</v>
      </c>
    </row>
    <row r="86" spans="1:26" ht="63" customHeight="1">
      <c r="A86" s="47" t="s">
        <v>212</v>
      </c>
      <c r="B86" s="48">
        <v>6</v>
      </c>
      <c r="C86" s="265" t="s">
        <v>213</v>
      </c>
      <c r="D86" s="249" t="s">
        <v>270</v>
      </c>
      <c r="E86" s="250" t="s">
        <v>271</v>
      </c>
      <c r="F86" s="29" t="s">
        <v>272</v>
      </c>
      <c r="G86" s="30" t="s">
        <v>273</v>
      </c>
      <c r="H86" s="31" t="s">
        <v>62</v>
      </c>
      <c r="I86" s="31" t="s">
        <v>71</v>
      </c>
      <c r="J86" s="43" t="s">
        <v>272</v>
      </c>
      <c r="K86" s="32" t="str">
        <f t="shared" si="4"/>
        <v>Participar en la definició del sistema estándard de seguiment de l'ús públic amb el SENP</v>
      </c>
      <c r="L86" s="33"/>
      <c r="M86" s="34" t="s">
        <v>900</v>
      </c>
      <c r="N86" s="35" t="s">
        <v>1155</v>
      </c>
      <c r="O86" s="34" t="s">
        <v>1442</v>
      </c>
      <c r="P86" s="36"/>
      <c r="Q86" s="37" t="s">
        <v>274</v>
      </c>
      <c r="R86" s="190" t="s">
        <v>1396</v>
      </c>
      <c r="S86" s="189">
        <v>20</v>
      </c>
      <c r="T86" s="189">
        <v>30</v>
      </c>
      <c r="U86" s="189">
        <f t="shared" si="2"/>
        <v>100</v>
      </c>
      <c r="V86" s="189" t="s">
        <v>1335</v>
      </c>
      <c r="W86" s="189" t="s">
        <v>1182</v>
      </c>
      <c r="X86" s="189">
        <f>25*10</f>
        <v>250</v>
      </c>
      <c r="Y86" s="189" t="s">
        <v>1335</v>
      </c>
      <c r="Z86" s="189" t="s">
        <v>1182</v>
      </c>
    </row>
    <row r="87" spans="1:26" ht="147" customHeight="1">
      <c r="A87" s="47"/>
      <c r="B87" s="266"/>
      <c r="C87" s="8"/>
      <c r="D87" s="252"/>
      <c r="E87" s="253"/>
      <c r="F87" s="29" t="s">
        <v>275</v>
      </c>
      <c r="G87" s="30" t="s">
        <v>276</v>
      </c>
      <c r="H87" s="31" t="s">
        <v>62</v>
      </c>
      <c r="I87" s="31" t="s">
        <v>71</v>
      </c>
      <c r="J87" s="43" t="s">
        <v>275</v>
      </c>
      <c r="K87" s="32" t="str">
        <f t="shared" si="4"/>
        <v xml:space="preserve">Disposar de dades de freqüentació i perfil d'usuari en l'ENP i en especial en equipaments i en zones d'alta freqüentació segons el model de DG </v>
      </c>
      <c r="L87" s="33"/>
      <c r="M87" s="34" t="s">
        <v>900</v>
      </c>
      <c r="N87" s="35" t="s">
        <v>1155</v>
      </c>
      <c r="O87" s="32" t="s">
        <v>1443</v>
      </c>
      <c r="P87" s="36"/>
      <c r="Q87" s="37" t="s">
        <v>277</v>
      </c>
      <c r="R87" s="190" t="s">
        <v>1444</v>
      </c>
      <c r="S87" s="190" t="s">
        <v>1445</v>
      </c>
      <c r="T87" s="190" t="s">
        <v>1446</v>
      </c>
      <c r="U87" s="189">
        <f>0.4*X87</f>
        <v>123.2</v>
      </c>
      <c r="V87" s="189" t="s">
        <v>1335</v>
      </c>
      <c r="W87" s="190" t="s">
        <v>1376</v>
      </c>
      <c r="X87" s="189">
        <f>3*12*8+10*2</f>
        <v>308</v>
      </c>
      <c r="Y87" s="189" t="s">
        <v>1335</v>
      </c>
      <c r="Z87" s="190" t="s">
        <v>1376</v>
      </c>
    </row>
    <row r="88" spans="1:26" ht="80.150000000000006" customHeight="1">
      <c r="A88" s="47"/>
      <c r="B88" s="266"/>
      <c r="C88" s="267"/>
      <c r="D88" s="252"/>
      <c r="E88" s="253"/>
      <c r="F88" s="29" t="s">
        <v>278</v>
      </c>
      <c r="G88" s="30" t="s">
        <v>279</v>
      </c>
      <c r="H88" s="31" t="s">
        <v>62</v>
      </c>
      <c r="I88" s="31" t="s">
        <v>71</v>
      </c>
      <c r="J88" s="43" t="s">
        <v>278</v>
      </c>
      <c r="K88" s="32" t="str">
        <f t="shared" si="4"/>
        <v>Identificar les activitats i actors de l’espai.</v>
      </c>
      <c r="L88" s="33"/>
      <c r="M88" s="34" t="s">
        <v>900</v>
      </c>
      <c r="N88" s="35" t="s">
        <v>1263</v>
      </c>
      <c r="O88" s="34" t="s">
        <v>1447</v>
      </c>
      <c r="P88" s="36"/>
      <c r="Q88" s="37"/>
      <c r="R88" s="189" t="s">
        <v>1448</v>
      </c>
      <c r="S88" s="189">
        <v>0</v>
      </c>
      <c r="T88" s="189">
        <v>1</v>
      </c>
      <c r="U88" s="189">
        <f t="shared" si="2"/>
        <v>48</v>
      </c>
      <c r="V88" s="189" t="s">
        <v>1335</v>
      </c>
      <c r="W88" s="190" t="s">
        <v>1449</v>
      </c>
      <c r="X88" s="189">
        <v>120</v>
      </c>
      <c r="Y88" s="189" t="s">
        <v>1335</v>
      </c>
      <c r="Z88" s="190" t="s">
        <v>1449</v>
      </c>
    </row>
    <row r="89" spans="1:26" ht="89.5" customHeight="1">
      <c r="A89" s="268"/>
      <c r="B89" s="266"/>
      <c r="C89" s="267"/>
      <c r="D89" s="252"/>
      <c r="E89" s="253"/>
      <c r="F89" s="29" t="s">
        <v>280</v>
      </c>
      <c r="G89" s="30" t="s">
        <v>281</v>
      </c>
      <c r="H89" s="31" t="s">
        <v>62</v>
      </c>
      <c r="I89" s="31" t="s">
        <v>120</v>
      </c>
      <c r="J89" s="43" t="s">
        <v>280</v>
      </c>
      <c r="K89" s="32" t="str">
        <f t="shared" si="4"/>
        <v>Identificar en cartografia les males praxis i punts de massificació</v>
      </c>
      <c r="L89" s="33"/>
      <c r="M89" s="34" t="s">
        <v>900</v>
      </c>
      <c r="N89" s="35" t="s">
        <v>1224</v>
      </c>
      <c r="O89" s="34" t="s">
        <v>1450</v>
      </c>
      <c r="P89" s="36"/>
      <c r="Q89" s="37"/>
      <c r="R89" s="189" t="s">
        <v>1448</v>
      </c>
      <c r="S89" s="189">
        <v>1</v>
      </c>
      <c r="T89" s="189">
        <v>1</v>
      </c>
      <c r="U89" s="189">
        <f t="shared" si="2"/>
        <v>48</v>
      </c>
      <c r="V89" s="189" t="s">
        <v>1208</v>
      </c>
      <c r="W89" s="190" t="s">
        <v>1451</v>
      </c>
      <c r="X89" s="189">
        <v>120</v>
      </c>
      <c r="Y89" s="189" t="s">
        <v>1208</v>
      </c>
      <c r="Z89" s="190" t="s">
        <v>1451</v>
      </c>
    </row>
    <row r="90" spans="1:26" ht="66" customHeight="1">
      <c r="A90" s="268"/>
      <c r="B90" s="266"/>
      <c r="C90" s="267"/>
      <c r="D90" s="252"/>
      <c r="E90" s="253"/>
      <c r="F90" s="29" t="s">
        <v>282</v>
      </c>
      <c r="G90" s="30" t="s">
        <v>283</v>
      </c>
      <c r="H90" s="31" t="s">
        <v>62</v>
      </c>
      <c r="I90" s="31" t="s">
        <v>71</v>
      </c>
      <c r="J90" s="43" t="s">
        <v>282</v>
      </c>
      <c r="K90" s="32" t="str">
        <f t="shared" si="4"/>
        <v>Adaptar i mantenir un registre d'activitats, actors i inciències en ús públic (curses, conflictes, queixes, etc)</v>
      </c>
      <c r="L90" s="33"/>
      <c r="M90" s="34" t="s">
        <v>900</v>
      </c>
      <c r="N90" s="238" t="s">
        <v>1331</v>
      </c>
      <c r="O90" s="34" t="s">
        <v>1452</v>
      </c>
      <c r="P90" s="36"/>
      <c r="Q90" s="37" t="s">
        <v>284</v>
      </c>
      <c r="R90" s="189"/>
      <c r="S90" s="189"/>
      <c r="T90" s="189"/>
      <c r="U90" s="189">
        <f t="shared" si="2"/>
        <v>0</v>
      </c>
      <c r="V90" s="189"/>
      <c r="W90" s="189"/>
      <c r="X90" s="189"/>
      <c r="Y90" s="189"/>
      <c r="Z90" s="189"/>
    </row>
    <row r="91" spans="1:26" ht="82.5" customHeight="1">
      <c r="A91" s="268"/>
      <c r="B91" s="266"/>
      <c r="C91" s="267"/>
      <c r="D91" s="254"/>
      <c r="E91" s="255"/>
      <c r="F91" s="29" t="s">
        <v>285</v>
      </c>
      <c r="G91" s="30" t="s">
        <v>286</v>
      </c>
      <c r="H91" s="31" t="s">
        <v>62</v>
      </c>
      <c r="I91" s="31" t="s">
        <v>71</v>
      </c>
      <c r="J91" s="43" t="s">
        <v>285</v>
      </c>
      <c r="K91" s="32" t="str">
        <f t="shared" si="4"/>
        <v>Identificar els impactes (positius i negatius) que generen les activitats d'ús públic dins l'ENP</v>
      </c>
      <c r="L91" s="33"/>
      <c r="M91" s="34" t="s">
        <v>900</v>
      </c>
      <c r="N91" s="35" t="s">
        <v>1155</v>
      </c>
      <c r="O91" s="34" t="s">
        <v>1453</v>
      </c>
      <c r="P91" s="36" t="s">
        <v>72</v>
      </c>
      <c r="Q91" s="37"/>
      <c r="R91" s="190" t="s">
        <v>1454</v>
      </c>
      <c r="S91" s="189">
        <v>1</v>
      </c>
      <c r="T91" s="189">
        <v>1</v>
      </c>
      <c r="U91" s="189">
        <f t="shared" ref="U91:U155" si="5">0.4*X91</f>
        <v>48</v>
      </c>
      <c r="V91" s="189" t="s">
        <v>1335</v>
      </c>
      <c r="W91" s="190" t="s">
        <v>1451</v>
      </c>
      <c r="X91" s="189">
        <v>120</v>
      </c>
      <c r="Y91" s="189" t="s">
        <v>1335</v>
      </c>
      <c r="Z91" s="190" t="s">
        <v>1451</v>
      </c>
    </row>
    <row r="92" spans="1:26" ht="88.5" customHeight="1">
      <c r="A92" s="51" t="s">
        <v>287</v>
      </c>
      <c r="B92" s="52">
        <v>7</v>
      </c>
      <c r="C92" s="9" t="s">
        <v>288</v>
      </c>
      <c r="D92" s="53" t="s">
        <v>289</v>
      </c>
      <c r="E92" s="54" t="s">
        <v>290</v>
      </c>
      <c r="F92" s="29" t="s">
        <v>291</v>
      </c>
      <c r="G92" s="30" t="s">
        <v>1455</v>
      </c>
      <c r="H92" s="31" t="s">
        <v>62</v>
      </c>
      <c r="I92" s="31" t="s">
        <v>63</v>
      </c>
      <c r="J92" s="43" t="s">
        <v>291</v>
      </c>
      <c r="K92" s="32" t="s">
        <v>1456</v>
      </c>
      <c r="L92" s="43" t="s">
        <v>1457</v>
      </c>
      <c r="M92" s="34"/>
      <c r="N92" s="35" t="s">
        <v>1155</v>
      </c>
      <c r="O92" s="34" t="s">
        <v>1458</v>
      </c>
      <c r="P92" s="36"/>
      <c r="Q92" s="37"/>
      <c r="R92" s="190" t="s">
        <v>1459</v>
      </c>
      <c r="S92" s="190" t="s">
        <v>1460</v>
      </c>
      <c r="T92" s="190" t="s">
        <v>1461</v>
      </c>
      <c r="U92" s="189">
        <f t="shared" si="5"/>
        <v>176</v>
      </c>
      <c r="V92" s="189" t="s">
        <v>1335</v>
      </c>
      <c r="W92" s="190" t="s">
        <v>1462</v>
      </c>
      <c r="X92" s="189">
        <f>4*5*16+12*10</f>
        <v>440</v>
      </c>
      <c r="Y92" s="189" t="s">
        <v>1335</v>
      </c>
      <c r="Z92" s="190" t="s">
        <v>1462</v>
      </c>
    </row>
    <row r="93" spans="1:26" ht="87" customHeight="1">
      <c r="A93" s="51"/>
      <c r="B93" s="52">
        <v>8</v>
      </c>
      <c r="C93" s="9" t="s">
        <v>292</v>
      </c>
      <c r="D93" s="269" t="s">
        <v>293</v>
      </c>
      <c r="E93" s="270" t="s">
        <v>1463</v>
      </c>
      <c r="F93" s="271" t="s">
        <v>294</v>
      </c>
      <c r="G93" s="272" t="s">
        <v>1464</v>
      </c>
      <c r="H93" s="31" t="s">
        <v>62</v>
      </c>
      <c r="I93" s="31" t="s">
        <v>63</v>
      </c>
      <c r="J93" s="43" t="s">
        <v>999</v>
      </c>
      <c r="K93" s="32" t="s">
        <v>1465</v>
      </c>
      <c r="L93" s="33"/>
      <c r="M93" s="34" t="s">
        <v>900</v>
      </c>
      <c r="N93" s="35" t="s">
        <v>1155</v>
      </c>
      <c r="O93" s="34" t="s">
        <v>1466</v>
      </c>
      <c r="P93" s="36"/>
      <c r="Q93" s="37"/>
      <c r="R93" s="190" t="s">
        <v>1405</v>
      </c>
      <c r="S93" s="189">
        <f>4*30</f>
        <v>120</v>
      </c>
      <c r="T93" s="189">
        <v>140</v>
      </c>
      <c r="U93" s="189">
        <f t="shared" si="5"/>
        <v>144</v>
      </c>
      <c r="V93" s="190" t="s">
        <v>1158</v>
      </c>
      <c r="W93" s="189" t="s">
        <v>1166</v>
      </c>
      <c r="X93" s="189">
        <f>120*3</f>
        <v>360</v>
      </c>
      <c r="Y93" s="190" t="s">
        <v>1158</v>
      </c>
      <c r="Z93" s="189" t="s">
        <v>1166</v>
      </c>
    </row>
    <row r="94" spans="1:26" ht="94" customHeight="1">
      <c r="A94" s="51"/>
      <c r="B94" s="273"/>
      <c r="C94" s="274"/>
      <c r="D94" s="275"/>
      <c r="E94" s="276"/>
      <c r="F94" s="277"/>
      <c r="G94" s="278"/>
      <c r="H94" s="31" t="s">
        <v>62</v>
      </c>
      <c r="I94" s="31" t="s">
        <v>63</v>
      </c>
      <c r="J94" s="43" t="s">
        <v>995</v>
      </c>
      <c r="K94" s="32" t="s">
        <v>1467</v>
      </c>
      <c r="L94" s="33"/>
      <c r="M94" s="34" t="s">
        <v>900</v>
      </c>
      <c r="N94" s="35" t="s">
        <v>1155</v>
      </c>
      <c r="O94" s="34" t="s">
        <v>1468</v>
      </c>
      <c r="P94" s="36"/>
      <c r="Q94" s="37"/>
      <c r="R94" s="190" t="s">
        <v>1405</v>
      </c>
      <c r="S94" s="189">
        <v>8</v>
      </c>
      <c r="T94" s="189">
        <v>20</v>
      </c>
      <c r="U94" s="189">
        <f t="shared" si="5"/>
        <v>24</v>
      </c>
      <c r="V94" s="190" t="s">
        <v>1164</v>
      </c>
      <c r="W94" s="190" t="s">
        <v>1165</v>
      </c>
      <c r="X94" s="189">
        <f>20*3</f>
        <v>60</v>
      </c>
      <c r="Y94" s="190" t="s">
        <v>1164</v>
      </c>
      <c r="Z94" s="190" t="s">
        <v>1165</v>
      </c>
    </row>
    <row r="95" spans="1:26" ht="99" customHeight="1">
      <c r="A95" s="51"/>
      <c r="B95" s="273"/>
      <c r="C95" s="274"/>
      <c r="D95" s="275"/>
      <c r="E95" s="276"/>
      <c r="F95" s="29" t="s">
        <v>295</v>
      </c>
      <c r="G95" s="30" t="s">
        <v>296</v>
      </c>
      <c r="H95" s="31" t="s">
        <v>62</v>
      </c>
      <c r="I95" s="31" t="s">
        <v>63</v>
      </c>
      <c r="J95" s="43" t="s">
        <v>1469</v>
      </c>
      <c r="K95" s="32" t="str">
        <f>G95</f>
        <v xml:space="preserve">Oferir formació als productors agraris per millorar el seu coneixement sobre tècniques eficients i respectuoses amb la conservació del patrimoni natural i cultural </v>
      </c>
      <c r="L95" s="33"/>
      <c r="M95" s="34" t="s">
        <v>900</v>
      </c>
      <c r="N95" s="35" t="s">
        <v>1155</v>
      </c>
      <c r="O95" s="34" t="s">
        <v>1470</v>
      </c>
      <c r="P95" s="36"/>
      <c r="Q95" s="37"/>
      <c r="R95" s="189" t="s">
        <v>1471</v>
      </c>
      <c r="S95" s="189">
        <v>7</v>
      </c>
      <c r="T95" s="189">
        <v>10</v>
      </c>
      <c r="U95" s="189">
        <f t="shared" si="5"/>
        <v>51.2</v>
      </c>
      <c r="V95" s="190" t="s">
        <v>1158</v>
      </c>
      <c r="W95" s="189" t="s">
        <v>1166</v>
      </c>
      <c r="X95" s="189">
        <f>8*16</f>
        <v>128</v>
      </c>
      <c r="Y95" s="190" t="s">
        <v>1158</v>
      </c>
      <c r="Z95" s="189" t="s">
        <v>1166</v>
      </c>
    </row>
    <row r="96" spans="1:26" ht="65.5" customHeight="1">
      <c r="A96" s="51"/>
      <c r="B96" s="273"/>
      <c r="C96" s="274"/>
      <c r="D96" s="275"/>
      <c r="E96" s="276"/>
      <c r="F96" s="29" t="s">
        <v>295</v>
      </c>
      <c r="G96" s="30" t="s">
        <v>1472</v>
      </c>
      <c r="H96" s="31" t="s">
        <v>62</v>
      </c>
      <c r="I96" s="31" t="s">
        <v>63</v>
      </c>
      <c r="J96" s="43" t="s">
        <v>1473</v>
      </c>
      <c r="K96" s="32" t="str">
        <f>G96</f>
        <v xml:space="preserve">Oferir formació als pescadors artesanals per millorar el seu coneixement sobre tècniques eficients i respectuoses amb la conservació del patrimoni natural i cultural </v>
      </c>
      <c r="L96" s="33"/>
      <c r="M96" s="34" t="s">
        <v>900</v>
      </c>
      <c r="N96" s="35" t="s">
        <v>1155</v>
      </c>
      <c r="O96" s="34" t="s">
        <v>1474</v>
      </c>
      <c r="P96" s="36"/>
      <c r="Q96" s="37"/>
      <c r="R96" s="189" t="s">
        <v>1471</v>
      </c>
      <c r="S96" s="189">
        <v>1</v>
      </c>
      <c r="T96" s="189">
        <v>2</v>
      </c>
      <c r="U96" s="189">
        <f t="shared" si="5"/>
        <v>12.8</v>
      </c>
      <c r="V96" s="190" t="s">
        <v>1164</v>
      </c>
      <c r="W96" s="190" t="s">
        <v>1165</v>
      </c>
      <c r="X96" s="189">
        <f>2*16</f>
        <v>32</v>
      </c>
      <c r="Y96" s="190" t="s">
        <v>1164</v>
      </c>
      <c r="Z96" s="190" t="s">
        <v>1165</v>
      </c>
    </row>
    <row r="97" spans="1:27" ht="116.5" customHeight="1">
      <c r="A97" s="51"/>
      <c r="B97" s="273"/>
      <c r="C97" s="274"/>
      <c r="D97" s="279"/>
      <c r="E97" s="280"/>
      <c r="F97" s="29" t="s">
        <v>297</v>
      </c>
      <c r="G97" s="30" t="s">
        <v>298</v>
      </c>
      <c r="H97" s="31" t="s">
        <v>82</v>
      </c>
      <c r="I97" s="31" t="s">
        <v>120</v>
      </c>
      <c r="J97" s="43" t="s">
        <v>297</v>
      </c>
      <c r="K97" s="32" t="s">
        <v>1475</v>
      </c>
      <c r="L97" s="33"/>
      <c r="M97" s="34" t="s">
        <v>900</v>
      </c>
      <c r="N97" s="35" t="s">
        <v>1178</v>
      </c>
      <c r="O97" s="34" t="s">
        <v>1476</v>
      </c>
      <c r="P97" s="36"/>
      <c r="Q97" s="37"/>
      <c r="R97" s="189" t="s">
        <v>1477</v>
      </c>
      <c r="S97" s="189">
        <v>120</v>
      </c>
      <c r="T97" s="189">
        <v>160</v>
      </c>
      <c r="U97" s="189">
        <f t="shared" si="5"/>
        <v>224</v>
      </c>
      <c r="V97" s="190" t="s">
        <v>1158</v>
      </c>
      <c r="W97" s="190" t="s">
        <v>1227</v>
      </c>
      <c r="X97" s="189">
        <f>4*140</f>
        <v>560</v>
      </c>
      <c r="Y97" s="190" t="s">
        <v>1158</v>
      </c>
      <c r="Z97" s="190" t="s">
        <v>1227</v>
      </c>
    </row>
    <row r="98" spans="1:27" ht="160.5" customHeight="1">
      <c r="A98" s="51"/>
      <c r="B98" s="273"/>
      <c r="C98" s="274"/>
      <c r="D98" s="53" t="s">
        <v>299</v>
      </c>
      <c r="E98" s="54" t="s">
        <v>300</v>
      </c>
      <c r="F98" s="31" t="s">
        <v>301</v>
      </c>
      <c r="G98" s="30" t="s">
        <v>302</v>
      </c>
      <c r="H98" s="36" t="s">
        <v>62</v>
      </c>
      <c r="I98" s="36" t="s">
        <v>120</v>
      </c>
      <c r="J98" s="43" t="s">
        <v>301</v>
      </c>
      <c r="K98" s="32" t="s">
        <v>1478</v>
      </c>
      <c r="L98" s="32" t="s">
        <v>1479</v>
      </c>
      <c r="M98" s="34" t="s">
        <v>900</v>
      </c>
      <c r="N98" s="35" t="s">
        <v>1178</v>
      </c>
      <c r="O98" s="34" t="s">
        <v>1480</v>
      </c>
      <c r="P98" s="36" t="s">
        <v>72</v>
      </c>
      <c r="Q98" s="37"/>
      <c r="R98" s="189" t="s">
        <v>1477</v>
      </c>
      <c r="S98" s="189">
        <v>12</v>
      </c>
      <c r="T98" s="189">
        <v>24</v>
      </c>
      <c r="U98" s="189">
        <f t="shared" si="5"/>
        <v>115.2</v>
      </c>
      <c r="V98" s="190" t="s">
        <v>1158</v>
      </c>
      <c r="W98" s="190" t="s">
        <v>1481</v>
      </c>
      <c r="X98" s="189">
        <f>18*16</f>
        <v>288</v>
      </c>
      <c r="Y98" s="190" t="s">
        <v>1158</v>
      </c>
      <c r="Z98" s="190" t="s">
        <v>1481</v>
      </c>
    </row>
    <row r="99" spans="1:27" ht="87.65" customHeight="1">
      <c r="A99" s="51"/>
      <c r="B99" s="273"/>
      <c r="C99" s="274"/>
      <c r="D99" s="269" t="s">
        <v>303</v>
      </c>
      <c r="E99" s="270" t="s">
        <v>304</v>
      </c>
      <c r="F99" s="29" t="s">
        <v>305</v>
      </c>
      <c r="G99" s="30" t="s">
        <v>306</v>
      </c>
      <c r="H99" s="31" t="s">
        <v>62</v>
      </c>
      <c r="I99" s="31" t="s">
        <v>120</v>
      </c>
      <c r="J99" s="43" t="s">
        <v>305</v>
      </c>
      <c r="K99" s="32" t="str">
        <f>G99</f>
        <v>Implantar un distintiu de qualitat i compatibilitat amb la conservació dels productes de la Xarxa d'ENP o criteris de qualitat propis de l'ENP</v>
      </c>
      <c r="L99" s="33"/>
      <c r="M99" s="34" t="s">
        <v>900</v>
      </c>
      <c r="N99" s="35" t="s">
        <v>1155</v>
      </c>
      <c r="O99" s="34" t="s">
        <v>1482</v>
      </c>
      <c r="P99" s="36" t="s">
        <v>72</v>
      </c>
      <c r="Q99" s="37" t="s">
        <v>307</v>
      </c>
      <c r="R99" s="189" t="s">
        <v>1483</v>
      </c>
      <c r="S99" s="189">
        <v>2</v>
      </c>
      <c r="T99" s="189">
        <v>12</v>
      </c>
      <c r="U99" s="189">
        <f t="shared" si="5"/>
        <v>28</v>
      </c>
      <c r="V99" s="189" t="s">
        <v>1335</v>
      </c>
      <c r="W99" s="190" t="s">
        <v>1484</v>
      </c>
      <c r="X99" s="189">
        <f>7*10</f>
        <v>70</v>
      </c>
      <c r="Y99" s="189" t="s">
        <v>1335</v>
      </c>
      <c r="Z99" s="190" t="s">
        <v>1484</v>
      </c>
    </row>
    <row r="100" spans="1:27" ht="100" customHeight="1">
      <c r="A100" s="51"/>
      <c r="B100" s="273"/>
      <c r="C100" s="274"/>
      <c r="D100" s="275"/>
      <c r="E100" s="276"/>
      <c r="F100" s="29" t="s">
        <v>308</v>
      </c>
      <c r="G100" s="30" t="s">
        <v>309</v>
      </c>
      <c r="H100" s="31" t="s">
        <v>62</v>
      </c>
      <c r="I100" s="31" t="s">
        <v>71</v>
      </c>
      <c r="J100" s="43" t="s">
        <v>308</v>
      </c>
      <c r="K100" s="32" t="str">
        <f>G100</f>
        <v>Integrar els productes i activitats locals de qualitat en l'oferta d'activitats d'informació i turístiques de l'ENP</v>
      </c>
      <c r="L100" s="33"/>
      <c r="M100" s="34"/>
      <c r="N100" s="35" t="s">
        <v>1224</v>
      </c>
      <c r="O100" s="34" t="s">
        <v>1485</v>
      </c>
      <c r="P100" s="40" t="s">
        <v>310</v>
      </c>
      <c r="Q100" s="37"/>
      <c r="R100" s="190" t="s">
        <v>1486</v>
      </c>
      <c r="S100" s="189">
        <v>10</v>
      </c>
      <c r="T100" s="189">
        <v>20</v>
      </c>
      <c r="U100" s="189">
        <f t="shared" si="5"/>
        <v>120</v>
      </c>
      <c r="V100" s="189" t="s">
        <v>1335</v>
      </c>
      <c r="W100" s="190" t="s">
        <v>1484</v>
      </c>
      <c r="X100" s="189">
        <f>15*20</f>
        <v>300</v>
      </c>
      <c r="Y100" s="189" t="s">
        <v>1335</v>
      </c>
      <c r="Z100" s="190" t="s">
        <v>1484</v>
      </c>
    </row>
    <row r="101" spans="1:27" ht="31" customHeight="1">
      <c r="A101" s="51"/>
      <c r="B101" s="273"/>
      <c r="C101" s="274"/>
      <c r="D101" s="275"/>
      <c r="E101" s="276"/>
      <c r="F101" s="29" t="s">
        <v>311</v>
      </c>
      <c r="G101" s="30" t="s">
        <v>312</v>
      </c>
      <c r="H101" s="31" t="s">
        <v>62</v>
      </c>
      <c r="I101" s="31" t="s">
        <v>120</v>
      </c>
      <c r="J101" s="43" t="s">
        <v>311</v>
      </c>
      <c r="K101" s="32" t="s">
        <v>1487</v>
      </c>
      <c r="L101" s="32" t="s">
        <v>1488</v>
      </c>
      <c r="M101" s="38"/>
      <c r="N101" s="35" t="s">
        <v>1224</v>
      </c>
      <c r="O101" s="34" t="s">
        <v>1489</v>
      </c>
      <c r="P101" s="36"/>
      <c r="Q101" s="37"/>
      <c r="R101" s="189" t="s">
        <v>1490</v>
      </c>
      <c r="S101" s="189">
        <v>3</v>
      </c>
      <c r="T101" s="189">
        <v>6</v>
      </c>
      <c r="U101" s="189">
        <f>4*30</f>
        <v>120</v>
      </c>
      <c r="V101" s="189" t="s">
        <v>1335</v>
      </c>
      <c r="W101" s="190" t="s">
        <v>1462</v>
      </c>
      <c r="X101" s="189"/>
      <c r="Y101" s="189"/>
      <c r="Z101" s="189"/>
    </row>
    <row r="102" spans="1:27" ht="114" customHeight="1">
      <c r="A102" s="51"/>
      <c r="B102" s="273"/>
      <c r="C102" s="274"/>
      <c r="D102" s="275"/>
      <c r="E102" s="276"/>
      <c r="F102" s="29" t="s">
        <v>313</v>
      </c>
      <c r="G102" s="30" t="s">
        <v>314</v>
      </c>
      <c r="H102" s="31" t="s">
        <v>62</v>
      </c>
      <c r="I102" s="31" t="s">
        <v>120</v>
      </c>
      <c r="J102" s="43" t="s">
        <v>313</v>
      </c>
      <c r="K102" s="32" t="s">
        <v>1491</v>
      </c>
      <c r="L102" s="33"/>
      <c r="M102" s="34" t="s">
        <v>900</v>
      </c>
      <c r="N102" s="238" t="s">
        <v>1331</v>
      </c>
      <c r="O102" s="34" t="s">
        <v>1492</v>
      </c>
      <c r="P102" s="40" t="s">
        <v>310</v>
      </c>
      <c r="Q102" s="37"/>
      <c r="R102" s="190" t="s">
        <v>1493</v>
      </c>
      <c r="S102" s="189">
        <v>2</v>
      </c>
      <c r="T102" s="189">
        <v>6</v>
      </c>
      <c r="U102" s="189">
        <f t="shared" si="5"/>
        <v>80</v>
      </c>
      <c r="V102" s="189" t="s">
        <v>1335</v>
      </c>
      <c r="W102" s="190" t="s">
        <v>1484</v>
      </c>
      <c r="X102" s="189">
        <f>4*50</f>
        <v>200</v>
      </c>
      <c r="Y102" s="189" t="s">
        <v>1335</v>
      </c>
      <c r="Z102" s="190" t="s">
        <v>1484</v>
      </c>
    </row>
    <row r="103" spans="1:27" ht="54.65" customHeight="1">
      <c r="A103" s="51"/>
      <c r="B103" s="273"/>
      <c r="C103" s="274"/>
      <c r="D103" s="275"/>
      <c r="E103" s="276"/>
      <c r="F103" s="29" t="s">
        <v>315</v>
      </c>
      <c r="G103" s="30" t="s">
        <v>316</v>
      </c>
      <c r="H103" s="31" t="s">
        <v>62</v>
      </c>
      <c r="I103" s="31" t="s">
        <v>120</v>
      </c>
      <c r="J103" s="43" t="s">
        <v>315</v>
      </c>
      <c r="K103" s="32" t="s">
        <v>1273</v>
      </c>
      <c r="L103" s="32" t="s">
        <v>1494</v>
      </c>
      <c r="M103" s="34"/>
      <c r="N103" s="35"/>
      <c r="O103" s="34"/>
      <c r="P103" s="40" t="s">
        <v>72</v>
      </c>
      <c r="Q103" s="37"/>
      <c r="R103" s="189"/>
      <c r="S103" s="189"/>
      <c r="T103" s="189"/>
      <c r="U103" s="189">
        <f t="shared" si="5"/>
        <v>0</v>
      </c>
      <c r="V103" s="189"/>
      <c r="W103" s="189"/>
      <c r="X103" s="189"/>
      <c r="Y103" s="189"/>
      <c r="Z103" s="189"/>
    </row>
    <row r="104" spans="1:27" ht="105.5" customHeight="1">
      <c r="A104" s="51"/>
      <c r="B104" s="273"/>
      <c r="C104" s="274"/>
      <c r="D104" s="279"/>
      <c r="E104" s="280"/>
      <c r="F104" s="29" t="s">
        <v>317</v>
      </c>
      <c r="G104" s="30" t="s">
        <v>1495</v>
      </c>
      <c r="H104" s="31" t="s">
        <v>62</v>
      </c>
      <c r="I104" s="31" t="s">
        <v>120</v>
      </c>
      <c r="J104" s="43" t="s">
        <v>317</v>
      </c>
      <c r="K104" s="32" t="s">
        <v>1496</v>
      </c>
      <c r="L104" s="33" t="s">
        <v>1497</v>
      </c>
      <c r="M104" s="38" t="s">
        <v>900</v>
      </c>
      <c r="N104" s="35" t="s">
        <v>1155</v>
      </c>
      <c r="O104" s="34" t="s">
        <v>1498</v>
      </c>
      <c r="P104" s="36"/>
      <c r="Q104" s="37"/>
      <c r="R104" s="190" t="s">
        <v>1499</v>
      </c>
      <c r="S104" s="189">
        <v>12</v>
      </c>
      <c r="T104" s="189">
        <v>20</v>
      </c>
      <c r="U104" s="189">
        <f t="shared" si="5"/>
        <v>128</v>
      </c>
      <c r="V104" s="189" t="s">
        <v>1335</v>
      </c>
      <c r="W104" s="190" t="s">
        <v>1484</v>
      </c>
      <c r="X104" s="189">
        <f>16*20</f>
        <v>320</v>
      </c>
      <c r="Y104" s="189" t="s">
        <v>1335</v>
      </c>
      <c r="Z104" s="190" t="s">
        <v>1484</v>
      </c>
    </row>
    <row r="105" spans="1:27" ht="58.5" customHeight="1">
      <c r="A105" s="51"/>
      <c r="B105" s="273"/>
      <c r="C105" s="274"/>
      <c r="D105" s="269" t="s">
        <v>318</v>
      </c>
      <c r="E105" s="270" t="s">
        <v>319</v>
      </c>
      <c r="F105" s="29" t="s">
        <v>320</v>
      </c>
      <c r="G105" s="30" t="s">
        <v>321</v>
      </c>
      <c r="H105" s="31" t="s">
        <v>62</v>
      </c>
      <c r="I105" s="31" t="s">
        <v>71</v>
      </c>
      <c r="J105" s="43" t="s">
        <v>320</v>
      </c>
      <c r="K105" s="32" t="str">
        <f>G105</f>
        <v>Treballar amb l'autoritat competent per garantir objectius de conservació d’espècies i hàbitats en la revisió dels Plans de Gestió Cinegètica</v>
      </c>
      <c r="L105" s="33"/>
      <c r="M105" s="34" t="s">
        <v>900</v>
      </c>
      <c r="N105" s="35" t="s">
        <v>1224</v>
      </c>
      <c r="O105" s="34" t="s">
        <v>1500</v>
      </c>
      <c r="P105" s="36" t="s">
        <v>64</v>
      </c>
      <c r="Q105" s="37"/>
      <c r="R105" s="190" t="s">
        <v>1501</v>
      </c>
      <c r="S105" s="189">
        <v>4</v>
      </c>
      <c r="T105" s="189">
        <v>6</v>
      </c>
      <c r="U105" s="189">
        <f t="shared" si="5"/>
        <v>25.6</v>
      </c>
      <c r="V105" s="190" t="s">
        <v>1158</v>
      </c>
      <c r="W105" s="189" t="s">
        <v>1151</v>
      </c>
      <c r="X105" s="189">
        <f>4*16</f>
        <v>64</v>
      </c>
      <c r="Y105" s="190" t="s">
        <v>1158</v>
      </c>
      <c r="Z105" s="189" t="s">
        <v>1151</v>
      </c>
    </row>
    <row r="106" spans="1:27" ht="233.15" customHeight="1">
      <c r="A106" s="51"/>
      <c r="B106" s="273"/>
      <c r="C106" s="274"/>
      <c r="D106" s="275"/>
      <c r="E106" s="276"/>
      <c r="F106" s="29" t="s">
        <v>322</v>
      </c>
      <c r="G106" s="30" t="s">
        <v>323</v>
      </c>
      <c r="H106" s="31" t="s">
        <v>62</v>
      </c>
      <c r="I106" s="31" t="s">
        <v>71</v>
      </c>
      <c r="J106" s="43" t="s">
        <v>322</v>
      </c>
      <c r="K106" s="32" t="str">
        <f>G106</f>
        <v>Col·laborar en la regulació i ordenació de la caça i la pesca en zones sensibles o amb risc d'afectació d'elements clau objecte de conservació</v>
      </c>
      <c r="L106" s="33"/>
      <c r="M106" s="34" t="s">
        <v>900</v>
      </c>
      <c r="N106" s="35" t="s">
        <v>1178</v>
      </c>
      <c r="O106" s="34" t="s">
        <v>1502</v>
      </c>
      <c r="P106" s="36" t="s">
        <v>64</v>
      </c>
      <c r="Q106" s="37"/>
      <c r="R106" s="190" t="s">
        <v>1405</v>
      </c>
      <c r="S106" s="189">
        <v>20</v>
      </c>
      <c r="T106" s="189">
        <v>30</v>
      </c>
      <c r="U106" s="189">
        <f t="shared" si="5"/>
        <v>140</v>
      </c>
      <c r="V106" s="190" t="s">
        <v>1387</v>
      </c>
      <c r="W106" s="190" t="s">
        <v>1392</v>
      </c>
      <c r="X106" s="189">
        <v>350</v>
      </c>
      <c r="Y106" s="190" t="s">
        <v>1387</v>
      </c>
      <c r="Z106" s="190" t="s">
        <v>1392</v>
      </c>
    </row>
    <row r="107" spans="1:27" ht="67.5" customHeight="1">
      <c r="A107" s="51"/>
      <c r="B107" s="273"/>
      <c r="C107" s="274"/>
      <c r="D107" s="275"/>
      <c r="E107" s="276"/>
      <c r="F107" s="271" t="s">
        <v>324</v>
      </c>
      <c r="G107" s="272" t="s">
        <v>325</v>
      </c>
      <c r="H107" s="281" t="s">
        <v>62</v>
      </c>
      <c r="I107" s="281" t="s">
        <v>71</v>
      </c>
      <c r="J107" s="204" t="s">
        <v>324</v>
      </c>
      <c r="K107" s="282" t="s">
        <v>325</v>
      </c>
      <c r="L107" s="283"/>
      <c r="M107" s="207"/>
      <c r="N107" s="284" t="s">
        <v>1224</v>
      </c>
      <c r="O107" s="207" t="s">
        <v>1503</v>
      </c>
      <c r="P107" s="36"/>
      <c r="Q107" s="37"/>
      <c r="R107" s="285" t="s">
        <v>1405</v>
      </c>
      <c r="S107" s="286">
        <v>48</v>
      </c>
      <c r="T107" s="286">
        <v>60</v>
      </c>
      <c r="U107" s="210">
        <v>120</v>
      </c>
      <c r="V107" s="209" t="s">
        <v>1158</v>
      </c>
      <c r="W107" s="209" t="s">
        <v>1181</v>
      </c>
      <c r="X107" s="210">
        <v>160</v>
      </c>
      <c r="Y107" s="209" t="s">
        <v>1158</v>
      </c>
      <c r="Z107" s="209" t="s">
        <v>1181</v>
      </c>
    </row>
    <row r="108" spans="1:27" ht="61.5" customHeight="1">
      <c r="A108" s="287"/>
      <c r="B108" s="288"/>
      <c r="C108" s="289"/>
      <c r="D108" s="290"/>
      <c r="E108" s="291"/>
      <c r="F108" s="186" t="s">
        <v>1504</v>
      </c>
      <c r="G108" s="186" t="s">
        <v>1505</v>
      </c>
      <c r="H108" s="188" t="s">
        <v>49</v>
      </c>
      <c r="I108" s="188" t="s">
        <v>71</v>
      </c>
      <c r="J108" s="292" t="s">
        <v>1504</v>
      </c>
      <c r="K108" s="292" t="str">
        <f>G108</f>
        <v>Fomentar l'ordenació, regulació i bones pràctiques de la pesca marítima</v>
      </c>
      <c r="L108" s="206"/>
      <c r="M108" s="207" t="s">
        <v>900</v>
      </c>
      <c r="N108" s="293" t="s">
        <v>1178</v>
      </c>
      <c r="O108" s="294" t="s">
        <v>1506</v>
      </c>
      <c r="P108" s="36"/>
      <c r="Q108" s="37"/>
      <c r="R108" s="295" t="s">
        <v>1507</v>
      </c>
      <c r="S108" s="296">
        <v>1</v>
      </c>
      <c r="T108" s="297">
        <v>4</v>
      </c>
      <c r="U108" s="298">
        <v>100</v>
      </c>
      <c r="V108" s="295" t="s">
        <v>1164</v>
      </c>
      <c r="W108" s="295" t="s">
        <v>1165</v>
      </c>
      <c r="X108" s="298">
        <f>54*2</f>
        <v>108</v>
      </c>
      <c r="Y108" s="299" t="s">
        <v>1508</v>
      </c>
      <c r="Z108" s="299" t="s">
        <v>1392</v>
      </c>
      <c r="AA108" s="300"/>
    </row>
    <row r="109" spans="1:27" ht="78" customHeight="1">
      <c r="A109" s="287"/>
      <c r="B109" s="301"/>
      <c r="C109" s="302"/>
      <c r="D109" s="303"/>
      <c r="E109" s="304"/>
      <c r="F109" s="195"/>
      <c r="G109" s="195"/>
      <c r="H109" s="197"/>
      <c r="I109" s="197"/>
      <c r="J109" s="305"/>
      <c r="K109" s="305"/>
      <c r="L109" s="306"/>
      <c r="M109" s="307"/>
      <c r="N109" s="308"/>
      <c r="O109" s="309"/>
      <c r="P109" s="36"/>
      <c r="Q109" s="37"/>
      <c r="R109" s="310"/>
      <c r="S109" s="311"/>
      <c r="T109" s="312"/>
      <c r="U109" s="313"/>
      <c r="V109" s="310"/>
      <c r="W109" s="310"/>
      <c r="X109" s="313"/>
      <c r="Y109" s="314"/>
      <c r="Z109" s="314"/>
      <c r="AA109" s="300"/>
    </row>
    <row r="110" spans="1:27" ht="88.5" customHeight="1">
      <c r="A110" s="51"/>
      <c r="B110" s="55">
        <v>9</v>
      </c>
      <c r="C110" s="315" t="s">
        <v>326</v>
      </c>
      <c r="D110" s="316" t="s">
        <v>327</v>
      </c>
      <c r="E110" s="317" t="s">
        <v>328</v>
      </c>
      <c r="F110" s="29" t="s">
        <v>329</v>
      </c>
      <c r="G110" s="30" t="s">
        <v>330</v>
      </c>
      <c r="H110" s="31" t="s">
        <v>62</v>
      </c>
      <c r="I110" s="31" t="s">
        <v>120</v>
      </c>
      <c r="J110" s="43" t="s">
        <v>329</v>
      </c>
      <c r="K110" s="32" t="s">
        <v>1509</v>
      </c>
      <c r="L110" s="43" t="s">
        <v>1510</v>
      </c>
      <c r="M110" s="38" t="s">
        <v>900</v>
      </c>
      <c r="N110" s="35" t="s">
        <v>1155</v>
      </c>
      <c r="O110" s="34" t="s">
        <v>1511</v>
      </c>
      <c r="P110" s="36" t="s">
        <v>72</v>
      </c>
      <c r="Q110" s="37"/>
      <c r="R110" s="190" t="s">
        <v>1512</v>
      </c>
      <c r="S110" s="190" t="s">
        <v>1513</v>
      </c>
      <c r="T110" s="190" t="s">
        <v>1514</v>
      </c>
      <c r="U110" s="189">
        <f t="shared" si="5"/>
        <v>952</v>
      </c>
      <c r="V110" s="189" t="s">
        <v>1335</v>
      </c>
      <c r="W110" s="190" t="s">
        <v>1462</v>
      </c>
      <c r="X110" s="189">
        <f>1700*4*0.35</f>
        <v>2380</v>
      </c>
      <c r="Y110" s="189" t="s">
        <v>1335</v>
      </c>
      <c r="Z110" s="190" t="s">
        <v>1462</v>
      </c>
    </row>
    <row r="111" spans="1:27" ht="55.5" customHeight="1">
      <c r="A111" s="51"/>
      <c r="B111" s="318"/>
      <c r="C111" s="319"/>
      <c r="D111" s="290"/>
      <c r="E111" s="320"/>
      <c r="F111" s="29" t="s">
        <v>331</v>
      </c>
      <c r="G111" s="30" t="s">
        <v>332</v>
      </c>
      <c r="H111" s="31" t="s">
        <v>62</v>
      </c>
      <c r="I111" s="31" t="s">
        <v>120</v>
      </c>
      <c r="J111" s="43" t="s">
        <v>331</v>
      </c>
      <c r="K111" s="32"/>
      <c r="L111" s="43"/>
      <c r="M111" s="38"/>
      <c r="N111" s="35"/>
      <c r="O111" s="34" t="s">
        <v>1515</v>
      </c>
      <c r="P111" s="36"/>
      <c r="Q111" s="37"/>
      <c r="R111" s="190" t="s">
        <v>1516</v>
      </c>
      <c r="S111" s="190">
        <v>1</v>
      </c>
      <c r="T111" s="190">
        <v>1</v>
      </c>
      <c r="U111" s="189">
        <f t="shared" si="5"/>
        <v>40</v>
      </c>
      <c r="V111" s="189" t="s">
        <v>1335</v>
      </c>
      <c r="W111" s="190" t="s">
        <v>1462</v>
      </c>
      <c r="X111" s="189">
        <v>100</v>
      </c>
      <c r="Y111" s="189" t="s">
        <v>1335</v>
      </c>
      <c r="Z111" s="190" t="s">
        <v>1462</v>
      </c>
    </row>
    <row r="112" spans="1:27" ht="49" customHeight="1">
      <c r="A112" s="51"/>
      <c r="B112" s="318"/>
      <c r="C112" s="319"/>
      <c r="D112" s="303"/>
      <c r="E112" s="321"/>
      <c r="F112" s="29" t="s">
        <v>1517</v>
      </c>
      <c r="G112" s="30" t="s">
        <v>1518</v>
      </c>
      <c r="H112" s="31" t="s">
        <v>62</v>
      </c>
      <c r="I112" s="31" t="s">
        <v>120</v>
      </c>
      <c r="J112" s="43" t="s">
        <v>1517</v>
      </c>
      <c r="K112" s="32" t="s">
        <v>1273</v>
      </c>
      <c r="L112" s="43" t="s">
        <v>1519</v>
      </c>
      <c r="M112" s="38"/>
      <c r="N112" s="35"/>
      <c r="O112" s="34" t="s">
        <v>1520</v>
      </c>
      <c r="P112" s="36"/>
      <c r="Q112" s="37"/>
      <c r="R112" s="189"/>
      <c r="S112" s="189"/>
      <c r="T112" s="189"/>
      <c r="U112" s="189">
        <f t="shared" si="5"/>
        <v>0</v>
      </c>
      <c r="V112" s="189"/>
      <c r="W112" s="189"/>
      <c r="X112" s="189"/>
      <c r="Y112" s="189"/>
      <c r="Z112" s="189"/>
    </row>
    <row r="113" spans="1:26" ht="82" customHeight="1">
      <c r="A113" s="51"/>
      <c r="B113" s="318"/>
      <c r="C113" s="319"/>
      <c r="D113" s="316" t="s">
        <v>333</v>
      </c>
      <c r="E113" s="317" t="s">
        <v>334</v>
      </c>
      <c r="F113" s="29" t="s">
        <v>335</v>
      </c>
      <c r="G113" s="30" t="s">
        <v>336</v>
      </c>
      <c r="H113" s="31" t="s">
        <v>62</v>
      </c>
      <c r="I113" s="31" t="s">
        <v>120</v>
      </c>
      <c r="J113" s="43" t="s">
        <v>335</v>
      </c>
      <c r="K113" s="32" t="s">
        <v>1521</v>
      </c>
      <c r="L113" s="43" t="s">
        <v>1522</v>
      </c>
      <c r="M113" s="38" t="s">
        <v>900</v>
      </c>
      <c r="N113" s="35" t="s">
        <v>1155</v>
      </c>
      <c r="O113" s="34" t="s">
        <v>1523</v>
      </c>
      <c r="P113" s="36" t="s">
        <v>72</v>
      </c>
      <c r="Q113" s="37"/>
      <c r="R113" s="190" t="s">
        <v>1524</v>
      </c>
      <c r="S113" s="190" t="s">
        <v>1525</v>
      </c>
      <c r="T113" s="190" t="s">
        <v>1526</v>
      </c>
      <c r="U113" s="189">
        <f t="shared" si="5"/>
        <v>377.6</v>
      </c>
      <c r="V113" s="189" t="s">
        <v>1335</v>
      </c>
      <c r="W113" s="190" t="s">
        <v>1462</v>
      </c>
      <c r="X113" s="189">
        <f>50*16+18*8</f>
        <v>944</v>
      </c>
      <c r="Y113" s="189" t="s">
        <v>1335</v>
      </c>
      <c r="Z113" s="190" t="s">
        <v>1462</v>
      </c>
    </row>
    <row r="114" spans="1:26" ht="119.15" customHeight="1">
      <c r="A114" s="51"/>
      <c r="B114" s="322"/>
      <c r="C114" s="323"/>
      <c r="D114" s="303"/>
      <c r="E114" s="321"/>
      <c r="F114" s="29" t="s">
        <v>337</v>
      </c>
      <c r="G114" s="30" t="s">
        <v>338</v>
      </c>
      <c r="H114" s="31" t="s">
        <v>62</v>
      </c>
      <c r="I114" s="31" t="s">
        <v>120</v>
      </c>
      <c r="J114" s="43" t="s">
        <v>337</v>
      </c>
      <c r="K114" s="32" t="s">
        <v>1527</v>
      </c>
      <c r="L114" s="43" t="s">
        <v>1528</v>
      </c>
      <c r="M114" s="34" t="s">
        <v>900</v>
      </c>
      <c r="N114" s="35" t="s">
        <v>1155</v>
      </c>
      <c r="O114" s="34" t="s">
        <v>1529</v>
      </c>
      <c r="P114" s="36" t="s">
        <v>72</v>
      </c>
      <c r="Q114" s="37"/>
      <c r="R114" s="190" t="s">
        <v>1530</v>
      </c>
      <c r="S114" s="190" t="s">
        <v>1531</v>
      </c>
      <c r="T114" s="190" t="s">
        <v>1532</v>
      </c>
      <c r="U114" s="189">
        <f t="shared" si="5"/>
        <v>120</v>
      </c>
      <c r="V114" s="189" t="s">
        <v>1335</v>
      </c>
      <c r="W114" s="190" t="s">
        <v>1462</v>
      </c>
      <c r="X114" s="189">
        <f>3*20+15*16</f>
        <v>300</v>
      </c>
      <c r="Y114" s="189" t="s">
        <v>1335</v>
      </c>
      <c r="Z114" s="190" t="s">
        <v>1462</v>
      </c>
    </row>
    <row r="115" spans="1:26" ht="88.5" customHeight="1">
      <c r="A115" s="324" t="s">
        <v>339</v>
      </c>
      <c r="B115" s="325">
        <v>10</v>
      </c>
      <c r="C115" s="326" t="s">
        <v>340</v>
      </c>
      <c r="D115" s="327" t="s">
        <v>341</v>
      </c>
      <c r="E115" s="328" t="s">
        <v>300</v>
      </c>
      <c r="F115" s="29" t="s">
        <v>342</v>
      </c>
      <c r="G115" s="30" t="s">
        <v>343</v>
      </c>
      <c r="H115" s="31" t="s">
        <v>62</v>
      </c>
      <c r="I115" s="31" t="s">
        <v>71</v>
      </c>
      <c r="J115" s="43" t="s">
        <v>342</v>
      </c>
      <c r="K115" s="32" t="s">
        <v>1533</v>
      </c>
      <c r="L115" s="32" t="s">
        <v>1534</v>
      </c>
      <c r="M115" s="56" t="s">
        <v>900</v>
      </c>
      <c r="N115" s="35" t="s">
        <v>1178</v>
      </c>
      <c r="O115" s="56" t="s">
        <v>1535</v>
      </c>
      <c r="P115" s="35"/>
      <c r="Q115" s="329" t="s">
        <v>344</v>
      </c>
      <c r="R115" s="189" t="s">
        <v>1536</v>
      </c>
      <c r="S115" s="189">
        <v>1</v>
      </c>
      <c r="T115" s="189">
        <v>1</v>
      </c>
      <c r="U115" s="189">
        <f t="shared" si="5"/>
        <v>64</v>
      </c>
      <c r="V115" s="189" t="s">
        <v>1208</v>
      </c>
      <c r="W115" s="190" t="s">
        <v>1537</v>
      </c>
      <c r="X115" s="189">
        <v>160</v>
      </c>
      <c r="Y115" s="189" t="s">
        <v>1208</v>
      </c>
      <c r="Z115" s="190" t="s">
        <v>1537</v>
      </c>
    </row>
    <row r="116" spans="1:26" ht="88.5" customHeight="1">
      <c r="A116" s="324"/>
      <c r="B116" s="325"/>
      <c r="C116" s="326"/>
      <c r="D116" s="330"/>
      <c r="E116" s="331"/>
      <c r="F116" s="29" t="s">
        <v>1538</v>
      </c>
      <c r="G116" s="30" t="s">
        <v>1539</v>
      </c>
      <c r="H116" s="31" t="s">
        <v>62</v>
      </c>
      <c r="I116" s="31" t="s">
        <v>71</v>
      </c>
      <c r="J116" s="43" t="s">
        <v>1538</v>
      </c>
      <c r="K116" s="32"/>
      <c r="L116" s="32"/>
      <c r="M116" s="56"/>
      <c r="N116" s="35"/>
      <c r="O116" s="56" t="s">
        <v>1540</v>
      </c>
      <c r="P116" s="35"/>
      <c r="Q116" s="329"/>
      <c r="R116" s="189"/>
      <c r="S116" s="189"/>
      <c r="T116" s="189"/>
      <c r="U116" s="189">
        <f t="shared" si="5"/>
        <v>0</v>
      </c>
      <c r="V116" s="189"/>
      <c r="W116" s="190"/>
      <c r="X116" s="189"/>
      <c r="Y116" s="189"/>
      <c r="Z116" s="190"/>
    </row>
    <row r="117" spans="1:26" ht="65.5" customHeight="1">
      <c r="A117" s="324"/>
      <c r="B117" s="332">
        <v>11</v>
      </c>
      <c r="C117" s="333" t="s">
        <v>345</v>
      </c>
      <c r="D117" s="334" t="s">
        <v>346</v>
      </c>
      <c r="E117" s="335" t="s">
        <v>347</v>
      </c>
      <c r="F117" s="29" t="s">
        <v>348</v>
      </c>
      <c r="G117" s="30" t="s">
        <v>1541</v>
      </c>
      <c r="H117" s="31" t="s">
        <v>62</v>
      </c>
      <c r="I117" s="31" t="s">
        <v>71</v>
      </c>
      <c r="J117" s="43" t="s">
        <v>348</v>
      </c>
      <c r="K117" s="32" t="s">
        <v>1542</v>
      </c>
      <c r="L117" s="43" t="s">
        <v>1543</v>
      </c>
      <c r="M117" s="56" t="s">
        <v>900</v>
      </c>
      <c r="N117" s="35" t="s">
        <v>1178</v>
      </c>
      <c r="O117" s="32" t="s">
        <v>1544</v>
      </c>
      <c r="P117" s="36"/>
      <c r="Q117" s="37" t="s">
        <v>344</v>
      </c>
      <c r="R117" s="190" t="s">
        <v>1545</v>
      </c>
      <c r="S117" s="189">
        <v>1</v>
      </c>
      <c r="T117" s="189">
        <v>2</v>
      </c>
      <c r="U117" s="189">
        <f t="shared" si="5"/>
        <v>24</v>
      </c>
      <c r="V117" s="189" t="s">
        <v>1335</v>
      </c>
      <c r="W117" s="189" t="s">
        <v>1182</v>
      </c>
      <c r="X117" s="189">
        <v>60</v>
      </c>
      <c r="Y117" s="189" t="s">
        <v>1335</v>
      </c>
      <c r="Z117" s="189" t="s">
        <v>1182</v>
      </c>
    </row>
    <row r="118" spans="1:26" ht="58" customHeight="1">
      <c r="A118" s="324"/>
      <c r="B118" s="336"/>
      <c r="C118" s="337"/>
      <c r="D118" s="338"/>
      <c r="E118" s="339"/>
      <c r="F118" s="29" t="s">
        <v>349</v>
      </c>
      <c r="G118" s="30" t="s">
        <v>1546</v>
      </c>
      <c r="H118" s="31" t="s">
        <v>62</v>
      </c>
      <c r="I118" s="31" t="s">
        <v>71</v>
      </c>
      <c r="J118" s="43" t="s">
        <v>349</v>
      </c>
      <c r="K118" s="32" t="s">
        <v>1547</v>
      </c>
      <c r="L118" s="33"/>
      <c r="M118" s="56" t="s">
        <v>900</v>
      </c>
      <c r="N118" s="35" t="s">
        <v>1178</v>
      </c>
      <c r="O118" s="32" t="s">
        <v>1548</v>
      </c>
      <c r="P118" s="36"/>
      <c r="Q118" s="37" t="s">
        <v>344</v>
      </c>
      <c r="R118" s="189" t="s">
        <v>1549</v>
      </c>
      <c r="S118" s="189">
        <v>1</v>
      </c>
      <c r="T118" s="189">
        <v>1</v>
      </c>
      <c r="U118" s="189">
        <f t="shared" si="5"/>
        <v>148</v>
      </c>
      <c r="V118" s="189"/>
      <c r="W118" s="190" t="s">
        <v>1462</v>
      </c>
      <c r="X118" s="189">
        <f>20*16+50</f>
        <v>370</v>
      </c>
      <c r="Y118" s="189"/>
      <c r="Z118" s="190" t="s">
        <v>1462</v>
      </c>
    </row>
    <row r="119" spans="1:26" ht="54" customHeight="1">
      <c r="A119" s="324"/>
      <c r="B119" s="336"/>
      <c r="C119" s="337"/>
      <c r="D119" s="338"/>
      <c r="E119" s="339"/>
      <c r="F119" s="29" t="s">
        <v>350</v>
      </c>
      <c r="G119" s="30" t="s">
        <v>1550</v>
      </c>
      <c r="H119" s="31" t="s">
        <v>82</v>
      </c>
      <c r="I119" s="31" t="s">
        <v>71</v>
      </c>
      <c r="J119" s="43" t="s">
        <v>350</v>
      </c>
      <c r="K119" s="32" t="s">
        <v>1551</v>
      </c>
      <c r="L119" s="33" t="s">
        <v>1552</v>
      </c>
      <c r="M119" s="56" t="s">
        <v>900</v>
      </c>
      <c r="N119" s="35" t="s">
        <v>1178</v>
      </c>
      <c r="O119" s="32" t="s">
        <v>1553</v>
      </c>
      <c r="P119" s="36"/>
      <c r="Q119" s="37" t="s">
        <v>344</v>
      </c>
      <c r="R119" s="190" t="s">
        <v>1554</v>
      </c>
      <c r="S119" s="189">
        <v>1</v>
      </c>
      <c r="T119" s="189">
        <v>1</v>
      </c>
      <c r="U119" s="189">
        <f t="shared" si="5"/>
        <v>16</v>
      </c>
      <c r="V119" s="189" t="s">
        <v>1335</v>
      </c>
      <c r="W119" s="189" t="s">
        <v>1151</v>
      </c>
      <c r="X119" s="189">
        <v>40</v>
      </c>
      <c r="Y119" s="189" t="s">
        <v>1335</v>
      </c>
      <c r="Z119" s="189" t="s">
        <v>1151</v>
      </c>
    </row>
    <row r="120" spans="1:26" ht="63" customHeight="1">
      <c r="A120" s="324"/>
      <c r="B120" s="336"/>
      <c r="C120" s="337"/>
      <c r="D120" s="338"/>
      <c r="E120" s="339"/>
      <c r="F120" s="29" t="s">
        <v>351</v>
      </c>
      <c r="G120" s="30" t="s">
        <v>1555</v>
      </c>
      <c r="H120" s="31" t="s">
        <v>62</v>
      </c>
      <c r="I120" s="31" t="s">
        <v>71</v>
      </c>
      <c r="J120" s="43" t="s">
        <v>351</v>
      </c>
      <c r="K120" s="32" t="s">
        <v>1556</v>
      </c>
      <c r="L120" s="33"/>
      <c r="M120" s="56" t="s">
        <v>900</v>
      </c>
      <c r="N120" s="35" t="s">
        <v>1178</v>
      </c>
      <c r="O120" s="32" t="s">
        <v>1548</v>
      </c>
      <c r="P120" s="36"/>
      <c r="Q120" s="37" t="s">
        <v>344</v>
      </c>
      <c r="R120" s="190" t="s">
        <v>1557</v>
      </c>
      <c r="S120" s="190" t="s">
        <v>1558</v>
      </c>
      <c r="T120" s="190" t="s">
        <v>1559</v>
      </c>
      <c r="U120" s="189">
        <f t="shared" si="5"/>
        <v>368</v>
      </c>
      <c r="V120" s="189" t="s">
        <v>1335</v>
      </c>
      <c r="W120" s="190" t="s">
        <v>1376</v>
      </c>
      <c r="X120" s="189">
        <f>20*16+50*12</f>
        <v>920</v>
      </c>
      <c r="Y120" s="189" t="s">
        <v>1335</v>
      </c>
      <c r="Z120" s="190" t="s">
        <v>1376</v>
      </c>
    </row>
    <row r="121" spans="1:26" ht="59.15" customHeight="1">
      <c r="A121" s="324"/>
      <c r="B121" s="336"/>
      <c r="C121" s="337"/>
      <c r="D121" s="338"/>
      <c r="E121" s="339"/>
      <c r="F121" s="29" t="s">
        <v>352</v>
      </c>
      <c r="G121" s="30" t="s">
        <v>353</v>
      </c>
      <c r="H121" s="31" t="s">
        <v>62</v>
      </c>
      <c r="I121" s="31" t="s">
        <v>71</v>
      </c>
      <c r="J121" s="43" t="s">
        <v>352</v>
      </c>
      <c r="K121" s="32" t="s">
        <v>1560</v>
      </c>
      <c r="L121" s="33"/>
      <c r="M121" s="56" t="s">
        <v>900</v>
      </c>
      <c r="N121" s="35" t="s">
        <v>1178</v>
      </c>
      <c r="O121" s="32" t="s">
        <v>1561</v>
      </c>
      <c r="P121" s="36"/>
      <c r="Q121" s="37" t="s">
        <v>344</v>
      </c>
      <c r="R121" s="190" t="s">
        <v>1557</v>
      </c>
      <c r="S121" s="190" t="s">
        <v>1271</v>
      </c>
      <c r="T121" s="190" t="s">
        <v>1562</v>
      </c>
      <c r="U121" s="189">
        <f t="shared" si="5"/>
        <v>152</v>
      </c>
      <c r="V121" s="189" t="s">
        <v>1335</v>
      </c>
      <c r="W121" s="190" t="s">
        <v>1563</v>
      </c>
      <c r="X121" s="189">
        <f>60+20*16</f>
        <v>380</v>
      </c>
      <c r="Y121" s="189" t="s">
        <v>1335</v>
      </c>
      <c r="Z121" s="190" t="s">
        <v>1563</v>
      </c>
    </row>
    <row r="122" spans="1:26" ht="64.5" customHeight="1">
      <c r="A122" s="324"/>
      <c r="B122" s="336"/>
      <c r="C122" s="337"/>
      <c r="D122" s="338"/>
      <c r="E122" s="339"/>
      <c r="F122" s="29" t="s">
        <v>354</v>
      </c>
      <c r="G122" s="30" t="s">
        <v>1564</v>
      </c>
      <c r="H122" s="31" t="s">
        <v>62</v>
      </c>
      <c r="I122" s="31" t="s">
        <v>71</v>
      </c>
      <c r="J122" s="43" t="s">
        <v>354</v>
      </c>
      <c r="K122" s="32" t="s">
        <v>1565</v>
      </c>
      <c r="L122" s="33"/>
      <c r="M122" s="32" t="s">
        <v>900</v>
      </c>
      <c r="N122" s="35" t="s">
        <v>1178</v>
      </c>
      <c r="O122" s="32" t="s">
        <v>1566</v>
      </c>
      <c r="P122" s="36"/>
      <c r="Q122" s="37" t="s">
        <v>344</v>
      </c>
      <c r="R122" s="190" t="s">
        <v>1557</v>
      </c>
      <c r="S122" s="190" t="s">
        <v>1567</v>
      </c>
      <c r="T122" s="190" t="s">
        <v>1567</v>
      </c>
      <c r="U122" s="189">
        <f t="shared" si="5"/>
        <v>312</v>
      </c>
      <c r="V122" s="190" t="s">
        <v>1387</v>
      </c>
      <c r="W122" s="190" t="s">
        <v>1568</v>
      </c>
      <c r="X122" s="189">
        <f>60+60*12</f>
        <v>780</v>
      </c>
      <c r="Y122" s="190" t="s">
        <v>1387</v>
      </c>
      <c r="Z122" s="190" t="s">
        <v>1568</v>
      </c>
    </row>
    <row r="123" spans="1:26" ht="62.15" customHeight="1">
      <c r="A123" s="324"/>
      <c r="B123" s="336"/>
      <c r="C123" s="337"/>
      <c r="D123" s="338"/>
      <c r="E123" s="339"/>
      <c r="F123" s="29" t="s">
        <v>355</v>
      </c>
      <c r="G123" s="30" t="s">
        <v>1569</v>
      </c>
      <c r="H123" s="31" t="s">
        <v>82</v>
      </c>
      <c r="I123" s="31" t="s">
        <v>71</v>
      </c>
      <c r="J123" s="43" t="s">
        <v>355</v>
      </c>
      <c r="K123" s="32" t="s">
        <v>1570</v>
      </c>
      <c r="L123" s="43" t="s">
        <v>1571</v>
      </c>
      <c r="M123" s="32" t="s">
        <v>900</v>
      </c>
      <c r="N123" s="35" t="s">
        <v>1178</v>
      </c>
      <c r="O123" s="32" t="s">
        <v>1566</v>
      </c>
      <c r="P123" s="36"/>
      <c r="Q123" s="37" t="s">
        <v>344</v>
      </c>
      <c r="R123" s="189" t="s">
        <v>1549</v>
      </c>
      <c r="S123" s="189">
        <v>1</v>
      </c>
      <c r="T123" s="189">
        <v>1</v>
      </c>
      <c r="U123" s="189">
        <f t="shared" si="5"/>
        <v>24</v>
      </c>
      <c r="V123" s="189" t="s">
        <v>1208</v>
      </c>
      <c r="W123" s="190" t="s">
        <v>1327</v>
      </c>
      <c r="X123" s="189">
        <v>60</v>
      </c>
      <c r="Y123" s="189" t="s">
        <v>1208</v>
      </c>
      <c r="Z123" s="190" t="s">
        <v>1327</v>
      </c>
    </row>
    <row r="124" spans="1:26" ht="51.75" customHeight="1">
      <c r="A124" s="324"/>
      <c r="B124" s="336"/>
      <c r="C124" s="337"/>
      <c r="D124" s="338"/>
      <c r="E124" s="339"/>
      <c r="F124" s="29" t="s">
        <v>356</v>
      </c>
      <c r="G124" s="30" t="s">
        <v>1572</v>
      </c>
      <c r="H124" s="31" t="s">
        <v>82</v>
      </c>
      <c r="I124" s="31" t="s">
        <v>71</v>
      </c>
      <c r="J124" s="43" t="s">
        <v>356</v>
      </c>
      <c r="K124" s="32" t="s">
        <v>1573</v>
      </c>
      <c r="L124" s="33"/>
      <c r="M124" s="32" t="s">
        <v>900</v>
      </c>
      <c r="N124" s="35" t="s">
        <v>1178</v>
      </c>
      <c r="O124" s="32" t="s">
        <v>1574</v>
      </c>
      <c r="P124" s="36"/>
      <c r="Q124" s="37" t="s">
        <v>344</v>
      </c>
      <c r="R124" s="189" t="s">
        <v>1549</v>
      </c>
      <c r="S124" s="189">
        <v>1</v>
      </c>
      <c r="T124" s="189">
        <v>1</v>
      </c>
      <c r="U124" s="189">
        <f t="shared" si="5"/>
        <v>24</v>
      </c>
      <c r="V124" s="189" t="s">
        <v>1208</v>
      </c>
      <c r="W124" s="190" t="s">
        <v>1575</v>
      </c>
      <c r="X124" s="189">
        <v>60</v>
      </c>
      <c r="Y124" s="189" t="s">
        <v>1208</v>
      </c>
      <c r="Z124" s="190" t="s">
        <v>1575</v>
      </c>
    </row>
    <row r="125" spans="1:26" ht="59.5" customHeight="1">
      <c r="A125" s="324"/>
      <c r="B125" s="336"/>
      <c r="C125" s="337"/>
      <c r="D125" s="338"/>
      <c r="E125" s="339"/>
      <c r="F125" s="29" t="s">
        <v>357</v>
      </c>
      <c r="G125" s="30" t="s">
        <v>1576</v>
      </c>
      <c r="H125" s="31" t="s">
        <v>82</v>
      </c>
      <c r="I125" s="31" t="s">
        <v>71</v>
      </c>
      <c r="J125" s="43" t="s">
        <v>357</v>
      </c>
      <c r="K125" s="32" t="s">
        <v>1577</v>
      </c>
      <c r="L125" s="33" t="s">
        <v>1578</v>
      </c>
      <c r="M125" s="32" t="s">
        <v>900</v>
      </c>
      <c r="N125" s="35" t="s">
        <v>1178</v>
      </c>
      <c r="O125" s="32" t="s">
        <v>1566</v>
      </c>
      <c r="P125" s="36"/>
      <c r="Q125" s="37" t="s">
        <v>344</v>
      </c>
      <c r="R125" s="189" t="s">
        <v>1549</v>
      </c>
      <c r="S125" s="189">
        <v>1</v>
      </c>
      <c r="T125" s="189">
        <v>1</v>
      </c>
      <c r="U125" s="189">
        <f t="shared" si="5"/>
        <v>24</v>
      </c>
      <c r="V125" s="190" t="s">
        <v>1164</v>
      </c>
      <c r="W125" s="190" t="s">
        <v>1165</v>
      </c>
      <c r="X125" s="189">
        <v>60</v>
      </c>
      <c r="Y125" s="190" t="s">
        <v>1164</v>
      </c>
      <c r="Z125" s="190" t="s">
        <v>1165</v>
      </c>
    </row>
    <row r="126" spans="1:26" ht="55" customHeight="1">
      <c r="A126" s="324"/>
      <c r="B126" s="336"/>
      <c r="C126" s="337"/>
      <c r="D126" s="338"/>
      <c r="E126" s="339"/>
      <c r="F126" s="29" t="s">
        <v>358</v>
      </c>
      <c r="G126" s="30" t="s">
        <v>1579</v>
      </c>
      <c r="H126" s="31" t="s">
        <v>82</v>
      </c>
      <c r="I126" s="31" t="s">
        <v>71</v>
      </c>
      <c r="J126" s="43" t="s">
        <v>358</v>
      </c>
      <c r="K126" s="32" t="s">
        <v>1580</v>
      </c>
      <c r="L126" s="33"/>
      <c r="M126" s="32" t="s">
        <v>900</v>
      </c>
      <c r="N126" s="35" t="s">
        <v>1178</v>
      </c>
      <c r="O126" s="32" t="s">
        <v>1566</v>
      </c>
      <c r="P126" s="36"/>
      <c r="Q126" s="37" t="s">
        <v>344</v>
      </c>
      <c r="R126" s="189" t="s">
        <v>1549</v>
      </c>
      <c r="S126" s="189">
        <v>1</v>
      </c>
      <c r="T126" s="189">
        <v>1</v>
      </c>
      <c r="U126" s="189">
        <f t="shared" si="5"/>
        <v>24</v>
      </c>
      <c r="V126" s="190" t="s">
        <v>1164</v>
      </c>
      <c r="W126" s="190" t="s">
        <v>1165</v>
      </c>
      <c r="X126" s="189">
        <v>60</v>
      </c>
      <c r="Y126" s="190" t="s">
        <v>1164</v>
      </c>
      <c r="Z126" s="190" t="s">
        <v>1165</v>
      </c>
    </row>
    <row r="127" spans="1:26" ht="64" customHeight="1">
      <c r="A127" s="324"/>
      <c r="B127" s="336"/>
      <c r="C127" s="337"/>
      <c r="D127" s="338"/>
      <c r="E127" s="339"/>
      <c r="F127" s="29" t="s">
        <v>359</v>
      </c>
      <c r="G127" s="30" t="s">
        <v>1581</v>
      </c>
      <c r="H127" s="31" t="s">
        <v>62</v>
      </c>
      <c r="I127" s="31" t="s">
        <v>71</v>
      </c>
      <c r="J127" s="43" t="s">
        <v>359</v>
      </c>
      <c r="K127" s="32" t="s">
        <v>1582</v>
      </c>
      <c r="L127" s="33"/>
      <c r="M127" s="32" t="s">
        <v>900</v>
      </c>
      <c r="N127" s="35" t="s">
        <v>1178</v>
      </c>
      <c r="O127" s="32" t="s">
        <v>1566</v>
      </c>
      <c r="P127" s="36"/>
      <c r="Q127" s="37" t="s">
        <v>344</v>
      </c>
      <c r="R127" s="189" t="s">
        <v>1549</v>
      </c>
      <c r="S127" s="189">
        <v>1</v>
      </c>
      <c r="T127" s="189">
        <v>1</v>
      </c>
      <c r="U127" s="189">
        <f t="shared" si="5"/>
        <v>48</v>
      </c>
      <c r="V127" s="190" t="s">
        <v>1335</v>
      </c>
      <c r="W127" s="190" t="s">
        <v>1583</v>
      </c>
      <c r="X127" s="189">
        <f>3*40</f>
        <v>120</v>
      </c>
      <c r="Y127" s="190" t="s">
        <v>1335</v>
      </c>
      <c r="Z127" s="190" t="s">
        <v>1583</v>
      </c>
    </row>
    <row r="128" spans="1:26" ht="61.5" customHeight="1">
      <c r="A128" s="324"/>
      <c r="B128" s="336"/>
      <c r="C128" s="337"/>
      <c r="D128" s="330"/>
      <c r="E128" s="340"/>
      <c r="F128" s="29" t="s">
        <v>360</v>
      </c>
      <c r="G128" s="30" t="s">
        <v>1584</v>
      </c>
      <c r="H128" s="31" t="s">
        <v>62</v>
      </c>
      <c r="I128" s="31" t="s">
        <v>71</v>
      </c>
      <c r="J128" s="43" t="s">
        <v>360</v>
      </c>
      <c r="K128" s="32" t="s">
        <v>1585</v>
      </c>
      <c r="L128" s="33"/>
      <c r="M128" s="32" t="s">
        <v>900</v>
      </c>
      <c r="N128" s="35" t="s">
        <v>1178</v>
      </c>
      <c r="O128" s="32" t="s">
        <v>1566</v>
      </c>
      <c r="P128" s="36"/>
      <c r="Q128" s="37" t="s">
        <v>344</v>
      </c>
      <c r="R128" s="189" t="s">
        <v>1549</v>
      </c>
      <c r="S128" s="189">
        <v>1</v>
      </c>
      <c r="T128" s="189">
        <v>1</v>
      </c>
      <c r="U128" s="189">
        <f t="shared" si="5"/>
        <v>48</v>
      </c>
      <c r="V128" s="190" t="s">
        <v>1335</v>
      </c>
      <c r="W128" s="190" t="s">
        <v>1182</v>
      </c>
      <c r="X128" s="189">
        <f>3*40</f>
        <v>120</v>
      </c>
      <c r="Y128" s="190" t="s">
        <v>1335</v>
      </c>
      <c r="Z128" s="190" t="s">
        <v>1182</v>
      </c>
    </row>
    <row r="129" spans="1:26" ht="85.5" customHeight="1">
      <c r="A129" s="324"/>
      <c r="B129" s="336"/>
      <c r="C129" s="337"/>
      <c r="D129" s="334" t="s">
        <v>361</v>
      </c>
      <c r="E129" s="335" t="s">
        <v>334</v>
      </c>
      <c r="F129" s="31" t="s">
        <v>362</v>
      </c>
      <c r="G129" s="30" t="s">
        <v>363</v>
      </c>
      <c r="H129" s="31" t="s">
        <v>62</v>
      </c>
      <c r="I129" s="31" t="s">
        <v>71</v>
      </c>
      <c r="J129" s="43" t="s">
        <v>362</v>
      </c>
      <c r="K129" s="32" t="s">
        <v>1586</v>
      </c>
      <c r="L129" s="33"/>
      <c r="M129" s="34" t="s">
        <v>900</v>
      </c>
      <c r="N129" s="35" t="s">
        <v>1178</v>
      </c>
      <c r="O129" s="34" t="s">
        <v>1587</v>
      </c>
      <c r="P129" s="36"/>
      <c r="Q129" s="30" t="s">
        <v>364</v>
      </c>
      <c r="R129" s="190" t="s">
        <v>1549</v>
      </c>
      <c r="S129" s="189">
        <v>1</v>
      </c>
      <c r="T129" s="189">
        <v>1</v>
      </c>
      <c r="U129" s="189">
        <f t="shared" si="5"/>
        <v>48</v>
      </c>
      <c r="V129" s="190" t="s">
        <v>1335</v>
      </c>
      <c r="W129" s="190" t="s">
        <v>1588</v>
      </c>
      <c r="X129" s="189">
        <f>3*40</f>
        <v>120</v>
      </c>
      <c r="Y129" s="190" t="s">
        <v>1335</v>
      </c>
      <c r="Z129" s="190" t="s">
        <v>1588</v>
      </c>
    </row>
    <row r="130" spans="1:26" ht="50.5" customHeight="1">
      <c r="A130" s="324"/>
      <c r="B130" s="336"/>
      <c r="C130" s="337"/>
      <c r="D130" s="338"/>
      <c r="E130" s="339"/>
      <c r="F130" s="31" t="s">
        <v>365</v>
      </c>
      <c r="G130" s="30" t="s">
        <v>366</v>
      </c>
      <c r="H130" s="31" t="s">
        <v>62</v>
      </c>
      <c r="I130" s="31" t="s">
        <v>71</v>
      </c>
      <c r="J130" s="43" t="s">
        <v>365</v>
      </c>
      <c r="K130" s="32" t="str">
        <f>G130</f>
        <v>Treballar conjuntament amb els principals canals d’informació de rutes  per prioritzar itineraris oficials dins l’ENP</v>
      </c>
      <c r="L130" s="33"/>
      <c r="M130" s="34" t="s">
        <v>586</v>
      </c>
      <c r="N130" s="35" t="s">
        <v>1178</v>
      </c>
      <c r="O130" s="34" t="s">
        <v>1589</v>
      </c>
      <c r="P130" s="36"/>
      <c r="Q130" s="30" t="s">
        <v>367</v>
      </c>
      <c r="R130" s="190" t="s">
        <v>1590</v>
      </c>
      <c r="S130" s="189">
        <v>50</v>
      </c>
      <c r="T130" s="189">
        <v>60</v>
      </c>
      <c r="U130" s="189">
        <f t="shared" si="5"/>
        <v>264</v>
      </c>
      <c r="V130" s="190" t="s">
        <v>1335</v>
      </c>
      <c r="W130" s="190" t="s">
        <v>1182</v>
      </c>
      <c r="X130" s="189">
        <f>55*12</f>
        <v>660</v>
      </c>
      <c r="Y130" s="190" t="s">
        <v>1335</v>
      </c>
      <c r="Z130" s="190" t="s">
        <v>1182</v>
      </c>
    </row>
    <row r="131" spans="1:26" ht="66" customHeight="1">
      <c r="A131" s="324"/>
      <c r="B131" s="336"/>
      <c r="C131" s="337"/>
      <c r="D131" s="330"/>
      <c r="E131" s="340"/>
      <c r="F131" s="31" t="s">
        <v>1041</v>
      </c>
      <c r="G131" s="30" t="s">
        <v>1591</v>
      </c>
      <c r="H131" s="31" t="s">
        <v>62</v>
      </c>
      <c r="I131" s="31" t="s">
        <v>71</v>
      </c>
      <c r="J131" s="43" t="s">
        <v>1041</v>
      </c>
      <c r="K131" s="32" t="str">
        <f>G131</f>
        <v>Identificar i classificar els itineraris i recorreguts submarins i d'esnòrquel per prioritzar itineraris oficials dins l’ENP</v>
      </c>
      <c r="L131" s="33"/>
      <c r="M131" s="34" t="s">
        <v>586</v>
      </c>
      <c r="N131" s="35" t="s">
        <v>1178</v>
      </c>
      <c r="O131" s="34" t="s">
        <v>1592</v>
      </c>
      <c r="P131" s="36"/>
      <c r="Q131" s="30" t="s">
        <v>367</v>
      </c>
      <c r="R131" s="190" t="s">
        <v>1593</v>
      </c>
      <c r="S131" s="189">
        <v>14</v>
      </c>
      <c r="T131" s="189">
        <v>27</v>
      </c>
      <c r="U131" s="189">
        <f t="shared" si="5"/>
        <v>225.60000000000002</v>
      </c>
      <c r="V131" s="190" t="s">
        <v>1164</v>
      </c>
      <c r="W131" s="190" t="s">
        <v>1594</v>
      </c>
      <c r="X131" s="189">
        <f>47*12</f>
        <v>564</v>
      </c>
      <c r="Y131" s="190" t="s">
        <v>1164</v>
      </c>
      <c r="Z131" s="190" t="s">
        <v>1594</v>
      </c>
    </row>
    <row r="132" spans="1:26" ht="79.5" customHeight="1">
      <c r="A132" s="324"/>
      <c r="B132" s="336"/>
      <c r="C132" s="337"/>
      <c r="D132" s="334" t="s">
        <v>368</v>
      </c>
      <c r="E132" s="341" t="s">
        <v>347</v>
      </c>
      <c r="F132" s="29" t="s">
        <v>369</v>
      </c>
      <c r="G132" s="30" t="s">
        <v>1595</v>
      </c>
      <c r="H132" s="31" t="s">
        <v>62</v>
      </c>
      <c r="I132" s="31" t="s">
        <v>71</v>
      </c>
      <c r="J132" s="43" t="s">
        <v>369</v>
      </c>
      <c r="K132" s="32" t="s">
        <v>1596</v>
      </c>
      <c r="L132" s="33"/>
      <c r="M132" s="32" t="s">
        <v>900</v>
      </c>
      <c r="N132" s="35" t="s">
        <v>1178</v>
      </c>
      <c r="O132" s="32" t="s">
        <v>1597</v>
      </c>
      <c r="P132" s="36"/>
      <c r="Q132" s="37" t="s">
        <v>344</v>
      </c>
      <c r="R132" s="189" t="s">
        <v>1549</v>
      </c>
      <c r="S132" s="189">
        <v>1</v>
      </c>
      <c r="T132" s="189">
        <v>1</v>
      </c>
      <c r="U132" s="189">
        <f t="shared" si="5"/>
        <v>8</v>
      </c>
      <c r="V132" s="189" t="s">
        <v>1335</v>
      </c>
      <c r="W132" s="189" t="s">
        <v>1182</v>
      </c>
      <c r="X132" s="189">
        <v>20</v>
      </c>
      <c r="Y132" s="189" t="s">
        <v>1335</v>
      </c>
      <c r="Z132" s="189" t="s">
        <v>1182</v>
      </c>
    </row>
    <row r="133" spans="1:26" ht="56.5" customHeight="1">
      <c r="A133" s="324"/>
      <c r="B133" s="336"/>
      <c r="C133" s="337"/>
      <c r="D133" s="338"/>
      <c r="E133" s="342"/>
      <c r="F133" s="29" t="s">
        <v>370</v>
      </c>
      <c r="G133" s="30" t="s">
        <v>1598</v>
      </c>
      <c r="H133" s="31" t="s">
        <v>62</v>
      </c>
      <c r="I133" s="31" t="s">
        <v>71</v>
      </c>
      <c r="J133" s="43" t="s">
        <v>370</v>
      </c>
      <c r="K133" s="32" t="s">
        <v>1599</v>
      </c>
      <c r="L133" s="33"/>
      <c r="M133" s="32" t="s">
        <v>900</v>
      </c>
      <c r="N133" s="35" t="s">
        <v>1178</v>
      </c>
      <c r="O133" s="32" t="s">
        <v>1566</v>
      </c>
      <c r="P133" s="36"/>
      <c r="Q133" s="37" t="s">
        <v>344</v>
      </c>
      <c r="R133" s="189" t="s">
        <v>1549</v>
      </c>
      <c r="S133" s="189">
        <v>1</v>
      </c>
      <c r="T133" s="189">
        <v>1</v>
      </c>
      <c r="U133" s="189">
        <f t="shared" si="5"/>
        <v>115.2</v>
      </c>
      <c r="V133" s="189" t="s">
        <v>1335</v>
      </c>
      <c r="W133" s="190" t="s">
        <v>1600</v>
      </c>
      <c r="X133" s="189">
        <f>8*12*3</f>
        <v>288</v>
      </c>
      <c r="Y133" s="189" t="s">
        <v>1335</v>
      </c>
      <c r="Z133" s="190" t="s">
        <v>1600</v>
      </c>
    </row>
    <row r="134" spans="1:26" ht="53.5" customHeight="1">
      <c r="A134" s="324"/>
      <c r="B134" s="336"/>
      <c r="C134" s="337"/>
      <c r="D134" s="338"/>
      <c r="E134" s="342"/>
      <c r="F134" s="29" t="s">
        <v>371</v>
      </c>
      <c r="G134" s="30" t="s">
        <v>1601</v>
      </c>
      <c r="H134" s="31" t="s">
        <v>82</v>
      </c>
      <c r="I134" s="31" t="s">
        <v>71</v>
      </c>
      <c r="J134" s="43" t="s">
        <v>371</v>
      </c>
      <c r="K134" s="32" t="s">
        <v>1602</v>
      </c>
      <c r="L134" s="33"/>
      <c r="M134" s="32" t="s">
        <v>900</v>
      </c>
      <c r="N134" s="35" t="s">
        <v>1178</v>
      </c>
      <c r="O134" s="32" t="s">
        <v>1574</v>
      </c>
      <c r="P134" s="36"/>
      <c r="Q134" s="37" t="s">
        <v>344</v>
      </c>
      <c r="R134" s="189" t="s">
        <v>1549</v>
      </c>
      <c r="S134" s="189">
        <v>1</v>
      </c>
      <c r="T134" s="189">
        <v>1</v>
      </c>
      <c r="U134" s="189">
        <f t="shared" si="5"/>
        <v>48</v>
      </c>
      <c r="V134" s="189" t="s">
        <v>1335</v>
      </c>
      <c r="W134" s="190" t="s">
        <v>1603</v>
      </c>
      <c r="X134" s="189">
        <f>12*10</f>
        <v>120</v>
      </c>
      <c r="Y134" s="189" t="s">
        <v>1335</v>
      </c>
      <c r="Z134" s="190" t="s">
        <v>1603</v>
      </c>
    </row>
    <row r="135" spans="1:26" ht="73" customHeight="1">
      <c r="A135" s="324"/>
      <c r="B135" s="336"/>
      <c r="C135" s="337"/>
      <c r="D135" s="338"/>
      <c r="E135" s="342"/>
      <c r="F135" s="29" t="s">
        <v>372</v>
      </c>
      <c r="G135" s="30" t="s">
        <v>373</v>
      </c>
      <c r="H135" s="31" t="s">
        <v>62</v>
      </c>
      <c r="I135" s="31" t="s">
        <v>71</v>
      </c>
      <c r="J135" s="43" t="s">
        <v>372</v>
      </c>
      <c r="K135" s="32" t="s">
        <v>1604</v>
      </c>
      <c r="L135" s="33"/>
      <c r="M135" s="32" t="s">
        <v>900</v>
      </c>
      <c r="N135" s="35" t="s">
        <v>1178</v>
      </c>
      <c r="O135" s="32" t="s">
        <v>1605</v>
      </c>
      <c r="P135" s="36"/>
      <c r="Q135" s="37" t="s">
        <v>344</v>
      </c>
      <c r="R135" s="190" t="s">
        <v>1606</v>
      </c>
      <c r="S135" s="189">
        <v>7</v>
      </c>
      <c r="T135" s="189">
        <v>10</v>
      </c>
      <c r="U135" s="189">
        <f t="shared" si="5"/>
        <v>64</v>
      </c>
      <c r="V135" s="189" t="s">
        <v>1335</v>
      </c>
      <c r="W135" s="190" t="s">
        <v>1607</v>
      </c>
      <c r="X135" s="189">
        <f>8*20</f>
        <v>160</v>
      </c>
      <c r="Y135" s="189" t="s">
        <v>1335</v>
      </c>
      <c r="Z135" s="190" t="s">
        <v>1607</v>
      </c>
    </row>
    <row r="136" spans="1:26" ht="72" customHeight="1">
      <c r="A136" s="324"/>
      <c r="B136" s="336"/>
      <c r="C136" s="337"/>
      <c r="D136" s="330"/>
      <c r="E136" s="343"/>
      <c r="F136" s="29" t="s">
        <v>374</v>
      </c>
      <c r="G136" s="30" t="s">
        <v>1608</v>
      </c>
      <c r="H136" s="31" t="s">
        <v>62</v>
      </c>
      <c r="I136" s="31" t="s">
        <v>71</v>
      </c>
      <c r="J136" s="43" t="s">
        <v>374</v>
      </c>
      <c r="K136" s="32" t="s">
        <v>1609</v>
      </c>
      <c r="L136" s="33"/>
      <c r="M136" s="32" t="s">
        <v>900</v>
      </c>
      <c r="N136" s="35" t="s">
        <v>1178</v>
      </c>
      <c r="O136" s="32" t="s">
        <v>1566</v>
      </c>
      <c r="P136" s="36"/>
      <c r="Q136" s="37" t="s">
        <v>344</v>
      </c>
      <c r="R136" s="190" t="s">
        <v>1606</v>
      </c>
      <c r="S136" s="189">
        <v>15</v>
      </c>
      <c r="T136" s="189">
        <v>20</v>
      </c>
      <c r="U136" s="189">
        <f t="shared" si="5"/>
        <v>144</v>
      </c>
      <c r="V136" s="189" t="s">
        <v>1335</v>
      </c>
      <c r="W136" s="190" t="s">
        <v>1607</v>
      </c>
      <c r="X136" s="189">
        <f>18*20</f>
        <v>360</v>
      </c>
      <c r="Y136" s="189" t="s">
        <v>1335</v>
      </c>
      <c r="Z136" s="190" t="s">
        <v>1607</v>
      </c>
    </row>
    <row r="137" spans="1:26" ht="74.5" customHeight="1">
      <c r="A137" s="324"/>
      <c r="B137" s="336"/>
      <c r="C137" s="337"/>
      <c r="D137" s="334" t="s">
        <v>375</v>
      </c>
      <c r="E137" s="335" t="s">
        <v>376</v>
      </c>
      <c r="F137" s="29" t="s">
        <v>377</v>
      </c>
      <c r="G137" s="30" t="s">
        <v>378</v>
      </c>
      <c r="H137" s="31" t="s">
        <v>62</v>
      </c>
      <c r="I137" s="31" t="s">
        <v>71</v>
      </c>
      <c r="J137" s="43" t="s">
        <v>377</v>
      </c>
      <c r="K137" s="32" t="s">
        <v>1610</v>
      </c>
      <c r="L137" s="33"/>
      <c r="M137" s="32" t="s">
        <v>900</v>
      </c>
      <c r="N137" s="35" t="s">
        <v>1155</v>
      </c>
      <c r="O137" s="34" t="s">
        <v>1611</v>
      </c>
      <c r="P137" s="36"/>
      <c r="Q137" s="37"/>
      <c r="R137" s="189" t="s">
        <v>1307</v>
      </c>
      <c r="S137" s="189">
        <v>24</v>
      </c>
      <c r="T137" s="189">
        <v>36</v>
      </c>
      <c r="U137" s="189">
        <f t="shared" si="5"/>
        <v>240</v>
      </c>
      <c r="V137" s="189" t="s">
        <v>1335</v>
      </c>
      <c r="W137" s="190" t="s">
        <v>1462</v>
      </c>
      <c r="X137" s="189">
        <f>30*20</f>
        <v>600</v>
      </c>
      <c r="Y137" s="189" t="s">
        <v>1335</v>
      </c>
      <c r="Z137" s="190" t="s">
        <v>1462</v>
      </c>
    </row>
    <row r="138" spans="1:26" ht="81.75" customHeight="1">
      <c r="A138" s="324"/>
      <c r="B138" s="336"/>
      <c r="C138" s="337"/>
      <c r="D138" s="330"/>
      <c r="E138" s="340"/>
      <c r="F138" s="29" t="s">
        <v>379</v>
      </c>
      <c r="G138" s="30" t="s">
        <v>380</v>
      </c>
      <c r="H138" s="31" t="s">
        <v>62</v>
      </c>
      <c r="I138" s="31" t="s">
        <v>71</v>
      </c>
      <c r="J138" s="43" t="s">
        <v>379</v>
      </c>
      <c r="K138" s="32" t="s">
        <v>1612</v>
      </c>
      <c r="L138" s="33"/>
      <c r="M138" s="57" t="s">
        <v>900</v>
      </c>
      <c r="N138" s="35" t="s">
        <v>1178</v>
      </c>
      <c r="O138" s="58" t="s">
        <v>1613</v>
      </c>
      <c r="P138" s="36"/>
      <c r="Q138" s="37"/>
      <c r="R138" s="189" t="s">
        <v>1307</v>
      </c>
      <c r="S138" s="189">
        <v>12</v>
      </c>
      <c r="T138" s="189">
        <v>20</v>
      </c>
      <c r="U138" s="189">
        <f t="shared" si="5"/>
        <v>128</v>
      </c>
      <c r="V138" s="189" t="s">
        <v>1335</v>
      </c>
      <c r="W138" s="190" t="s">
        <v>1462</v>
      </c>
      <c r="X138" s="189">
        <f>16*20</f>
        <v>320</v>
      </c>
      <c r="Y138" s="189" t="s">
        <v>1335</v>
      </c>
      <c r="Z138" s="190" t="s">
        <v>1462</v>
      </c>
    </row>
    <row r="139" spans="1:26" ht="39" customHeight="1">
      <c r="A139" s="324"/>
      <c r="B139" s="336"/>
      <c r="C139" s="337"/>
      <c r="D139" s="334" t="s">
        <v>381</v>
      </c>
      <c r="E139" s="341" t="s">
        <v>382</v>
      </c>
      <c r="F139" s="29" t="s">
        <v>383</v>
      </c>
      <c r="G139" s="30" t="s">
        <v>384</v>
      </c>
      <c r="H139" s="31" t="s">
        <v>62</v>
      </c>
      <c r="I139" s="31" t="s">
        <v>71</v>
      </c>
      <c r="J139" s="43" t="s">
        <v>383</v>
      </c>
      <c r="K139" s="32" t="s">
        <v>1614</v>
      </c>
      <c r="L139" s="33" t="s">
        <v>1615</v>
      </c>
      <c r="M139" s="38" t="s">
        <v>900</v>
      </c>
      <c r="N139" s="35" t="s">
        <v>1155</v>
      </c>
      <c r="O139" s="34" t="s">
        <v>1616</v>
      </c>
      <c r="P139" s="36"/>
      <c r="Q139" s="37"/>
      <c r="R139" s="190" t="s">
        <v>1617</v>
      </c>
      <c r="S139" s="189">
        <v>20</v>
      </c>
      <c r="T139" s="189">
        <v>30</v>
      </c>
      <c r="U139" s="189">
        <f t="shared" si="5"/>
        <v>5</v>
      </c>
      <c r="V139" s="189" t="s">
        <v>1335</v>
      </c>
      <c r="W139" s="190" t="s">
        <v>1182</v>
      </c>
      <c r="X139" s="189">
        <f>25*0.5</f>
        <v>12.5</v>
      </c>
      <c r="Y139" s="189" t="s">
        <v>1335</v>
      </c>
      <c r="Z139" s="190" t="s">
        <v>1182</v>
      </c>
    </row>
    <row r="140" spans="1:26" ht="65.5" customHeight="1">
      <c r="A140" s="324"/>
      <c r="B140" s="336"/>
      <c r="C140" s="337"/>
      <c r="D140" s="338"/>
      <c r="E140" s="342"/>
      <c r="F140" s="29" t="s">
        <v>385</v>
      </c>
      <c r="G140" s="30" t="s">
        <v>386</v>
      </c>
      <c r="H140" s="31" t="s">
        <v>62</v>
      </c>
      <c r="I140" s="31" t="s">
        <v>71</v>
      </c>
      <c r="J140" s="43" t="s">
        <v>385</v>
      </c>
      <c r="K140" s="32" t="s">
        <v>1618</v>
      </c>
      <c r="L140" s="33"/>
      <c r="M140" s="34" t="s">
        <v>900</v>
      </c>
      <c r="N140" s="35" t="s">
        <v>1155</v>
      </c>
      <c r="O140" s="34" t="s">
        <v>1619</v>
      </c>
      <c r="P140" s="40" t="s">
        <v>78</v>
      </c>
      <c r="Q140" s="30" t="s">
        <v>387</v>
      </c>
      <c r="R140" s="190" t="s">
        <v>1405</v>
      </c>
      <c r="S140" s="189">
        <v>20</v>
      </c>
      <c r="T140" s="189">
        <v>30</v>
      </c>
      <c r="U140" s="189">
        <f t="shared" si="5"/>
        <v>100</v>
      </c>
      <c r="V140" s="189" t="s">
        <v>1335</v>
      </c>
      <c r="W140" s="190" t="s">
        <v>1182</v>
      </c>
      <c r="X140" s="189">
        <f>25*10</f>
        <v>250</v>
      </c>
      <c r="Y140" s="189" t="s">
        <v>1335</v>
      </c>
      <c r="Z140" s="190" t="s">
        <v>1182</v>
      </c>
    </row>
    <row r="141" spans="1:26" ht="58.5" customHeight="1">
      <c r="A141" s="324"/>
      <c r="B141" s="336"/>
      <c r="C141" s="337"/>
      <c r="D141" s="334" t="s">
        <v>388</v>
      </c>
      <c r="E141" s="335" t="s">
        <v>389</v>
      </c>
      <c r="F141" s="29" t="s">
        <v>390</v>
      </c>
      <c r="G141" s="30" t="s">
        <v>391</v>
      </c>
      <c r="H141" s="31" t="s">
        <v>62</v>
      </c>
      <c r="I141" s="31" t="s">
        <v>120</v>
      </c>
      <c r="J141" s="43" t="s">
        <v>390</v>
      </c>
      <c r="K141" s="32" t="s">
        <v>1620</v>
      </c>
      <c r="L141" s="33" t="s">
        <v>1621</v>
      </c>
      <c r="M141" s="34" t="s">
        <v>900</v>
      </c>
      <c r="N141" s="35" t="s">
        <v>1155</v>
      </c>
      <c r="O141" s="32" t="s">
        <v>1620</v>
      </c>
      <c r="P141" s="36"/>
      <c r="Q141" s="37"/>
      <c r="R141" s="190" t="s">
        <v>1405</v>
      </c>
      <c r="S141" s="189">
        <v>8</v>
      </c>
      <c r="T141" s="189">
        <v>16</v>
      </c>
      <c r="U141" s="189">
        <f t="shared" si="5"/>
        <v>57.6</v>
      </c>
      <c r="V141" s="189" t="s">
        <v>1335</v>
      </c>
      <c r="W141" s="190" t="s">
        <v>1376</v>
      </c>
      <c r="X141" s="189">
        <f>12*12</f>
        <v>144</v>
      </c>
      <c r="Y141" s="189" t="s">
        <v>1335</v>
      </c>
      <c r="Z141" s="190" t="s">
        <v>1376</v>
      </c>
    </row>
    <row r="142" spans="1:26" ht="66.650000000000006" customHeight="1">
      <c r="A142" s="324"/>
      <c r="B142" s="336"/>
      <c r="C142" s="337"/>
      <c r="D142" s="330"/>
      <c r="E142" s="340"/>
      <c r="F142" s="29" t="s">
        <v>392</v>
      </c>
      <c r="G142" s="49" t="s">
        <v>393</v>
      </c>
      <c r="H142" s="31" t="s">
        <v>62</v>
      </c>
      <c r="I142" s="31" t="s">
        <v>120</v>
      </c>
      <c r="J142" s="43" t="s">
        <v>392</v>
      </c>
      <c r="K142" s="32" t="s">
        <v>1622</v>
      </c>
      <c r="L142" s="33"/>
      <c r="M142" s="34" t="s">
        <v>900</v>
      </c>
      <c r="N142" s="35" t="s">
        <v>1155</v>
      </c>
      <c r="O142" s="34" t="s">
        <v>1623</v>
      </c>
      <c r="P142" s="36"/>
      <c r="Q142" s="37"/>
      <c r="R142" s="190" t="s">
        <v>1405</v>
      </c>
      <c r="S142" s="189">
        <v>20</v>
      </c>
      <c r="T142" s="189">
        <v>28</v>
      </c>
      <c r="U142" s="189">
        <f t="shared" si="5"/>
        <v>115.2</v>
      </c>
      <c r="V142" s="189" t="s">
        <v>1335</v>
      </c>
      <c r="W142" s="190" t="s">
        <v>1607</v>
      </c>
      <c r="X142" s="189">
        <f>24*12</f>
        <v>288</v>
      </c>
      <c r="Y142" s="189" t="s">
        <v>1335</v>
      </c>
      <c r="Z142" s="190" t="s">
        <v>1607</v>
      </c>
    </row>
    <row r="143" spans="1:26" ht="57" customHeight="1">
      <c r="A143" s="324"/>
      <c r="B143" s="336"/>
      <c r="C143" s="337"/>
      <c r="D143" s="334" t="s">
        <v>394</v>
      </c>
      <c r="E143" s="341" t="s">
        <v>395</v>
      </c>
      <c r="F143" s="29" t="s">
        <v>396</v>
      </c>
      <c r="G143" s="30" t="s">
        <v>397</v>
      </c>
      <c r="H143" s="31" t="s">
        <v>62</v>
      </c>
      <c r="I143" s="31" t="s">
        <v>71</v>
      </c>
      <c r="J143" s="43" t="s">
        <v>396</v>
      </c>
      <c r="K143" s="32" t="s">
        <v>1624</v>
      </c>
      <c r="L143" s="43" t="s">
        <v>1625</v>
      </c>
      <c r="M143" s="34" t="s">
        <v>900</v>
      </c>
      <c r="N143" s="35" t="s">
        <v>1178</v>
      </c>
      <c r="O143" s="34" t="s">
        <v>1626</v>
      </c>
      <c r="P143" s="36"/>
      <c r="Q143" s="37"/>
      <c r="R143" s="190" t="s">
        <v>1627</v>
      </c>
      <c r="S143" s="189">
        <v>3</v>
      </c>
      <c r="T143" s="189">
        <v>6</v>
      </c>
      <c r="U143" s="189">
        <f>0.4*X143+U101</f>
        <v>168</v>
      </c>
      <c r="V143" s="189" t="s">
        <v>1335</v>
      </c>
      <c r="W143" s="190" t="s">
        <v>1600</v>
      </c>
      <c r="X143" s="189">
        <v>120</v>
      </c>
      <c r="Y143" s="189" t="s">
        <v>1335</v>
      </c>
      <c r="Z143" s="190" t="s">
        <v>1600</v>
      </c>
    </row>
    <row r="144" spans="1:26" ht="85" customHeight="1">
      <c r="A144" s="324"/>
      <c r="B144" s="336"/>
      <c r="C144" s="337"/>
      <c r="D144" s="338"/>
      <c r="E144" s="342"/>
      <c r="F144" s="29" t="s">
        <v>398</v>
      </c>
      <c r="G144" s="49" t="s">
        <v>1628</v>
      </c>
      <c r="H144" s="31" t="s">
        <v>62</v>
      </c>
      <c r="I144" s="31" t="s">
        <v>71</v>
      </c>
      <c r="J144" s="43" t="s">
        <v>398</v>
      </c>
      <c r="K144" s="32" t="str">
        <f>G144</f>
        <v>Disposar i mantenir els serveis, equipaments i infraestructures necessàries i accessibles per acollir, informar, facilitar la visita i garantir la seguretat dels visitants i la protecció de l'entorn</v>
      </c>
      <c r="L144" s="33"/>
      <c r="M144" s="34" t="s">
        <v>586</v>
      </c>
      <c r="N144" s="35" t="s">
        <v>1155</v>
      </c>
      <c r="O144" s="34" t="s">
        <v>1629</v>
      </c>
      <c r="P144" s="36"/>
      <c r="Q144" s="37"/>
      <c r="R144" s="190" t="s">
        <v>1630</v>
      </c>
      <c r="S144" s="189">
        <v>2</v>
      </c>
      <c r="T144" s="189">
        <v>4</v>
      </c>
      <c r="U144" s="189">
        <f t="shared" si="5"/>
        <v>120</v>
      </c>
      <c r="V144" s="189" t="s">
        <v>1208</v>
      </c>
      <c r="W144" s="189" t="s">
        <v>1192</v>
      </c>
      <c r="X144" s="189">
        <v>300</v>
      </c>
      <c r="Y144" s="189" t="s">
        <v>1208</v>
      </c>
      <c r="Z144" s="189" t="s">
        <v>1192</v>
      </c>
    </row>
    <row r="145" spans="1:26" ht="54.65" customHeight="1">
      <c r="A145" s="324"/>
      <c r="B145" s="336"/>
      <c r="C145" s="337"/>
      <c r="D145" s="338"/>
      <c r="E145" s="342"/>
      <c r="F145" s="29" t="s">
        <v>399</v>
      </c>
      <c r="G145" s="49" t="s">
        <v>400</v>
      </c>
      <c r="H145" s="31" t="s">
        <v>62</v>
      </c>
      <c r="I145" s="31" t="s">
        <v>71</v>
      </c>
      <c r="J145" s="43" t="s">
        <v>399</v>
      </c>
      <c r="K145" s="32" t="s">
        <v>1631</v>
      </c>
      <c r="L145" s="33" t="s">
        <v>1632</v>
      </c>
      <c r="M145" s="34" t="s">
        <v>900</v>
      </c>
      <c r="N145" s="35" t="s">
        <v>1224</v>
      </c>
      <c r="O145" s="34" t="s">
        <v>1633</v>
      </c>
      <c r="P145" s="36"/>
      <c r="Q145" s="30" t="s">
        <v>401</v>
      </c>
      <c r="R145" s="189" t="s">
        <v>1634</v>
      </c>
      <c r="S145" s="189">
        <v>1</v>
      </c>
      <c r="T145" s="189">
        <v>2</v>
      </c>
      <c r="U145" s="189">
        <f t="shared" si="5"/>
        <v>72</v>
      </c>
      <c r="V145" s="189" t="s">
        <v>1335</v>
      </c>
      <c r="W145" s="189" t="s">
        <v>1182</v>
      </c>
      <c r="X145" s="189">
        <f>120*1.5</f>
        <v>180</v>
      </c>
      <c r="Y145" s="189" t="s">
        <v>1335</v>
      </c>
      <c r="Z145" s="189" t="s">
        <v>1182</v>
      </c>
    </row>
    <row r="146" spans="1:26" ht="206.5" customHeight="1">
      <c r="A146" s="324"/>
      <c r="B146" s="336"/>
      <c r="C146" s="337"/>
      <c r="D146" s="338"/>
      <c r="E146" s="342"/>
      <c r="F146" s="29" t="s">
        <v>402</v>
      </c>
      <c r="G146" s="49" t="s">
        <v>403</v>
      </c>
      <c r="H146" s="31" t="s">
        <v>62</v>
      </c>
      <c r="I146" s="31" t="s">
        <v>71</v>
      </c>
      <c r="J146" s="43" t="s">
        <v>402</v>
      </c>
      <c r="K146" s="32" t="s">
        <v>1635</v>
      </c>
      <c r="L146" s="33"/>
      <c r="M146" s="34" t="s">
        <v>900</v>
      </c>
      <c r="N146" s="35" t="s">
        <v>1155</v>
      </c>
      <c r="O146" s="34" t="s">
        <v>1636</v>
      </c>
      <c r="P146" s="36" t="s">
        <v>64</v>
      </c>
      <c r="Q146" s="30" t="s">
        <v>404</v>
      </c>
      <c r="R146" s="190" t="s">
        <v>1637</v>
      </c>
      <c r="S146" s="190" t="s">
        <v>1638</v>
      </c>
      <c r="T146" s="190" t="s">
        <v>1639</v>
      </c>
      <c r="U146" s="189">
        <f t="shared" si="5"/>
        <v>248</v>
      </c>
      <c r="V146" s="189" t="s">
        <v>1335</v>
      </c>
      <c r="W146" s="189" t="s">
        <v>1182</v>
      </c>
      <c r="X146" s="189">
        <f>110*4+6*30</f>
        <v>620</v>
      </c>
      <c r="Y146" s="189" t="s">
        <v>1335</v>
      </c>
      <c r="Z146" s="189" t="s">
        <v>1182</v>
      </c>
    </row>
    <row r="147" spans="1:26" ht="29">
      <c r="A147" s="324"/>
      <c r="B147" s="336"/>
      <c r="C147" s="337"/>
      <c r="D147" s="344"/>
      <c r="E147" s="345"/>
      <c r="F147" s="29" t="s">
        <v>407</v>
      </c>
      <c r="G147" s="30" t="s">
        <v>408</v>
      </c>
      <c r="H147" s="31" t="s">
        <v>62</v>
      </c>
      <c r="I147" s="31" t="s">
        <v>120</v>
      </c>
      <c r="J147" s="43" t="s">
        <v>407</v>
      </c>
      <c r="K147" s="32" t="s">
        <v>1273</v>
      </c>
      <c r="L147" s="33" t="s">
        <v>1640</v>
      </c>
      <c r="M147" s="34"/>
      <c r="N147" s="35"/>
      <c r="O147" s="34"/>
      <c r="P147" s="36"/>
      <c r="Q147" s="37"/>
      <c r="R147" s="189"/>
      <c r="S147" s="189"/>
      <c r="T147" s="189"/>
      <c r="U147" s="189">
        <f t="shared" si="5"/>
        <v>0</v>
      </c>
      <c r="V147" s="189"/>
      <c r="W147" s="189"/>
      <c r="X147" s="189"/>
      <c r="Y147" s="189"/>
      <c r="Z147" s="189"/>
    </row>
    <row r="148" spans="1:26" ht="90" customHeight="1">
      <c r="A148" s="324"/>
      <c r="B148" s="336"/>
      <c r="C148" s="337"/>
      <c r="D148" s="334" t="s">
        <v>405</v>
      </c>
      <c r="E148" s="341" t="s">
        <v>406</v>
      </c>
      <c r="F148" s="29" t="s">
        <v>409</v>
      </c>
      <c r="G148" s="30" t="s">
        <v>410</v>
      </c>
      <c r="H148" s="31" t="s">
        <v>62</v>
      </c>
      <c r="I148" s="31" t="s">
        <v>71</v>
      </c>
      <c r="J148" s="43" t="s">
        <v>409</v>
      </c>
      <c r="K148" s="32" t="s">
        <v>1641</v>
      </c>
      <c r="L148" s="32" t="s">
        <v>1642</v>
      </c>
      <c r="M148" s="34" t="s">
        <v>586</v>
      </c>
      <c r="N148" s="35" t="s">
        <v>1224</v>
      </c>
      <c r="O148" s="34" t="s">
        <v>1643</v>
      </c>
      <c r="P148" s="36"/>
      <c r="Q148" s="37"/>
      <c r="R148" s="190" t="s">
        <v>1644</v>
      </c>
      <c r="S148" s="190" t="s">
        <v>1645</v>
      </c>
      <c r="T148" s="190" t="s">
        <v>1646</v>
      </c>
      <c r="U148" s="189">
        <f t="shared" si="5"/>
        <v>89.600000000000009</v>
      </c>
      <c r="V148" s="189" t="s">
        <v>1208</v>
      </c>
      <c r="W148" s="190" t="s">
        <v>1647</v>
      </c>
      <c r="X148" s="189">
        <f>8*18+400*0.1+400*0.1</f>
        <v>224</v>
      </c>
      <c r="Y148" s="189" t="s">
        <v>1208</v>
      </c>
      <c r="Z148" s="190" t="s">
        <v>1647</v>
      </c>
    </row>
    <row r="149" spans="1:26" ht="51.75" customHeight="1">
      <c r="A149" s="324"/>
      <c r="B149" s="346"/>
      <c r="C149" s="337"/>
      <c r="D149" s="338"/>
      <c r="E149" s="342"/>
      <c r="F149" s="29" t="s">
        <v>411</v>
      </c>
      <c r="G149" s="30" t="s">
        <v>412</v>
      </c>
      <c r="H149" s="31" t="s">
        <v>62</v>
      </c>
      <c r="I149" s="31" t="s">
        <v>71</v>
      </c>
      <c r="J149" s="43" t="s">
        <v>411</v>
      </c>
      <c r="K149" s="32" t="str">
        <f>G149</f>
        <v>Vetllar pel compliment d'informes i la vigilància tècnica de l'espai</v>
      </c>
      <c r="L149" s="33"/>
      <c r="M149" s="34" t="s">
        <v>586</v>
      </c>
      <c r="N149" s="35" t="s">
        <v>1178</v>
      </c>
      <c r="O149" s="34" t="s">
        <v>1648</v>
      </c>
      <c r="P149" s="36"/>
      <c r="Q149" s="37"/>
      <c r="R149" s="190" t="s">
        <v>1649</v>
      </c>
      <c r="S149" s="189">
        <v>0</v>
      </c>
      <c r="T149" s="189">
        <v>3</v>
      </c>
      <c r="U149" s="189">
        <f t="shared" si="5"/>
        <v>6.4</v>
      </c>
      <c r="V149" s="189" t="s">
        <v>1208</v>
      </c>
      <c r="W149" s="189" t="s">
        <v>1192</v>
      </c>
      <c r="X149" s="189">
        <v>16</v>
      </c>
      <c r="Y149" s="189" t="s">
        <v>1208</v>
      </c>
      <c r="Z149" s="189" t="s">
        <v>1192</v>
      </c>
    </row>
    <row r="150" spans="1:26" ht="67.5" customHeight="1">
      <c r="A150" s="324"/>
      <c r="B150" s="59">
        <v>12</v>
      </c>
      <c r="C150" s="60" t="s">
        <v>413</v>
      </c>
      <c r="D150" s="334" t="s">
        <v>414</v>
      </c>
      <c r="E150" s="341" t="s">
        <v>415</v>
      </c>
      <c r="F150" s="29" t="s">
        <v>416</v>
      </c>
      <c r="G150" s="30" t="s">
        <v>417</v>
      </c>
      <c r="H150" s="31" t="s">
        <v>62</v>
      </c>
      <c r="I150" s="31" t="s">
        <v>71</v>
      </c>
      <c r="J150" s="43" t="s">
        <v>416</v>
      </c>
      <c r="K150" s="32" t="s">
        <v>1273</v>
      </c>
      <c r="L150" s="32" t="s">
        <v>1650</v>
      </c>
      <c r="M150" s="34"/>
      <c r="N150" s="35"/>
      <c r="O150" s="34"/>
      <c r="P150" s="36"/>
      <c r="Q150" s="37"/>
      <c r="R150" s="189"/>
      <c r="S150" s="189"/>
      <c r="T150" s="189"/>
      <c r="U150" s="189">
        <f t="shared" si="5"/>
        <v>0</v>
      </c>
      <c r="V150" s="189"/>
      <c r="W150" s="189"/>
      <c r="X150" s="189"/>
      <c r="Y150" s="189"/>
      <c r="Z150" s="189"/>
    </row>
    <row r="151" spans="1:26" ht="75.650000000000006" customHeight="1">
      <c r="A151" s="324"/>
      <c r="B151" s="347"/>
      <c r="C151" s="348"/>
      <c r="D151" s="330"/>
      <c r="E151" s="343"/>
      <c r="F151" s="29" t="s">
        <v>418</v>
      </c>
      <c r="G151" s="30" t="s">
        <v>419</v>
      </c>
      <c r="H151" s="31" t="s">
        <v>62</v>
      </c>
      <c r="I151" s="31" t="s">
        <v>71</v>
      </c>
      <c r="J151" s="43" t="s">
        <v>418</v>
      </c>
      <c r="K151" s="32" t="str">
        <f>G151</f>
        <v>Contribuir a la protecció dels assentaments humans respecte dels riscos naturals</v>
      </c>
      <c r="L151" s="33"/>
      <c r="M151" s="34" t="s">
        <v>900</v>
      </c>
      <c r="N151" s="35" t="s">
        <v>1178</v>
      </c>
      <c r="O151" s="34" t="s">
        <v>1651</v>
      </c>
      <c r="P151" s="36"/>
      <c r="Q151" s="37"/>
      <c r="R151" s="189" t="s">
        <v>1307</v>
      </c>
      <c r="S151" s="189">
        <v>8</v>
      </c>
      <c r="T151" s="189">
        <v>12</v>
      </c>
      <c r="U151" s="189">
        <f t="shared" si="5"/>
        <v>0</v>
      </c>
      <c r="V151" s="190" t="s">
        <v>1158</v>
      </c>
      <c r="W151" s="190" t="s">
        <v>1218</v>
      </c>
      <c r="X151" s="189"/>
      <c r="Y151" s="190" t="s">
        <v>1158</v>
      </c>
      <c r="Z151" s="190" t="s">
        <v>1218</v>
      </c>
    </row>
    <row r="152" spans="1:26" ht="68" customHeight="1">
      <c r="A152" s="349" t="s">
        <v>420</v>
      </c>
      <c r="B152" s="350">
        <v>13</v>
      </c>
      <c r="C152" s="351" t="s">
        <v>421</v>
      </c>
      <c r="D152" s="352" t="s">
        <v>422</v>
      </c>
      <c r="E152" s="353" t="s">
        <v>1652</v>
      </c>
      <c r="F152" s="61" t="s">
        <v>423</v>
      </c>
      <c r="G152" s="30" t="s">
        <v>424</v>
      </c>
      <c r="H152" s="31" t="s">
        <v>62</v>
      </c>
      <c r="I152" s="31" t="s">
        <v>71</v>
      </c>
      <c r="J152" s="43" t="s">
        <v>423</v>
      </c>
      <c r="K152" s="32" t="s">
        <v>1653</v>
      </c>
      <c r="L152" s="33"/>
      <c r="M152" s="34" t="s">
        <v>900</v>
      </c>
      <c r="N152" s="35" t="s">
        <v>1155</v>
      </c>
      <c r="O152" s="34" t="s">
        <v>1654</v>
      </c>
      <c r="P152" s="61" t="s">
        <v>425</v>
      </c>
      <c r="Q152" s="37"/>
      <c r="R152" s="190" t="s">
        <v>1655</v>
      </c>
      <c r="S152" s="190" t="s">
        <v>1461</v>
      </c>
      <c r="T152" s="190" t="s">
        <v>1656</v>
      </c>
      <c r="U152" s="189">
        <f t="shared" si="5"/>
        <v>53.6</v>
      </c>
      <c r="V152" s="189" t="s">
        <v>1335</v>
      </c>
      <c r="W152" s="189" t="s">
        <v>1182</v>
      </c>
      <c r="X152" s="189">
        <f>50+14*6</f>
        <v>134</v>
      </c>
      <c r="Y152" s="189" t="s">
        <v>1335</v>
      </c>
      <c r="Z152" s="189" t="s">
        <v>1182</v>
      </c>
    </row>
    <row r="153" spans="1:26" ht="139.5" customHeight="1">
      <c r="A153" s="349"/>
      <c r="B153" s="350"/>
      <c r="C153" s="351"/>
      <c r="D153" s="352"/>
      <c r="E153" s="354"/>
      <c r="F153" s="61" t="s">
        <v>426</v>
      </c>
      <c r="G153" s="49" t="s">
        <v>427</v>
      </c>
      <c r="H153" s="31" t="s">
        <v>62</v>
      </c>
      <c r="I153" s="31" t="s">
        <v>71</v>
      </c>
      <c r="J153" s="43" t="s">
        <v>426</v>
      </c>
      <c r="K153" s="32" t="s">
        <v>1657</v>
      </c>
      <c r="L153" s="33"/>
      <c r="M153" s="62" t="s">
        <v>900</v>
      </c>
      <c r="N153" s="35" t="s">
        <v>1155</v>
      </c>
      <c r="O153" s="62" t="s">
        <v>1658</v>
      </c>
      <c r="P153" s="61" t="s">
        <v>425</v>
      </c>
      <c r="Q153" s="30" t="s">
        <v>428</v>
      </c>
      <c r="R153" s="189" t="s">
        <v>1307</v>
      </c>
      <c r="S153" s="189">
        <v>12</v>
      </c>
      <c r="T153" s="189">
        <v>16</v>
      </c>
      <c r="U153" s="189">
        <f t="shared" si="5"/>
        <v>53.6</v>
      </c>
      <c r="V153" s="189" t="s">
        <v>1335</v>
      </c>
      <c r="W153" s="189" t="s">
        <v>1182</v>
      </c>
      <c r="X153" s="189">
        <f>+X152</f>
        <v>134</v>
      </c>
      <c r="Y153" s="189" t="s">
        <v>1335</v>
      </c>
      <c r="Z153" s="189" t="s">
        <v>1182</v>
      </c>
    </row>
    <row r="154" spans="1:26" ht="69.650000000000006" customHeight="1">
      <c r="A154" s="349"/>
      <c r="B154" s="350"/>
      <c r="C154" s="351"/>
      <c r="D154" s="355"/>
      <c r="E154" s="356"/>
      <c r="F154" s="61" t="s">
        <v>429</v>
      </c>
      <c r="G154" s="30" t="s">
        <v>430</v>
      </c>
      <c r="H154" s="31" t="s">
        <v>62</v>
      </c>
      <c r="I154" s="31" t="s">
        <v>71</v>
      </c>
      <c r="J154" s="43" t="s">
        <v>429</v>
      </c>
      <c r="K154" s="32" t="s">
        <v>430</v>
      </c>
      <c r="L154" s="33"/>
      <c r="M154" s="62" t="s">
        <v>900</v>
      </c>
      <c r="N154" s="35" t="s">
        <v>1155</v>
      </c>
      <c r="O154" s="62" t="s">
        <v>1659</v>
      </c>
      <c r="P154" s="61" t="s">
        <v>425</v>
      </c>
      <c r="Q154" s="30"/>
      <c r="R154" s="190" t="s">
        <v>1660</v>
      </c>
      <c r="S154" s="189">
        <v>60</v>
      </c>
      <c r="T154" s="189">
        <v>90</v>
      </c>
      <c r="U154" s="189">
        <f t="shared" si="5"/>
        <v>144</v>
      </c>
      <c r="V154" s="189" t="s">
        <v>1335</v>
      </c>
      <c r="W154" s="189" t="s">
        <v>1182</v>
      </c>
      <c r="X154" s="189">
        <f>60*6</f>
        <v>360</v>
      </c>
      <c r="Y154" s="189" t="s">
        <v>1335</v>
      </c>
      <c r="Z154" s="189" t="s">
        <v>1182</v>
      </c>
    </row>
    <row r="155" spans="1:26" ht="119.5" customHeight="1">
      <c r="A155" s="349"/>
      <c r="B155" s="350"/>
      <c r="C155" s="351"/>
      <c r="D155" s="357" t="s">
        <v>431</v>
      </c>
      <c r="E155" s="358" t="s">
        <v>432</v>
      </c>
      <c r="F155" s="29" t="s">
        <v>433</v>
      </c>
      <c r="G155" s="30" t="s">
        <v>434</v>
      </c>
      <c r="H155" s="31" t="s">
        <v>62</v>
      </c>
      <c r="I155" s="31" t="s">
        <v>71</v>
      </c>
      <c r="J155" s="43" t="s">
        <v>433</v>
      </c>
      <c r="K155" s="32" t="s">
        <v>1661</v>
      </c>
      <c r="L155" s="43" t="s">
        <v>1662</v>
      </c>
      <c r="M155" s="62" t="s">
        <v>900</v>
      </c>
      <c r="N155" s="35" t="s">
        <v>1155</v>
      </c>
      <c r="O155" s="34" t="s">
        <v>1663</v>
      </c>
      <c r="P155" s="61" t="s">
        <v>425</v>
      </c>
      <c r="Q155" s="30" t="s">
        <v>435</v>
      </c>
      <c r="R155" s="190" t="s">
        <v>1664</v>
      </c>
      <c r="S155" s="189">
        <v>6</v>
      </c>
      <c r="T155" s="189">
        <v>10</v>
      </c>
      <c r="U155" s="189">
        <f t="shared" si="5"/>
        <v>128</v>
      </c>
      <c r="V155" s="189" t="s">
        <v>1335</v>
      </c>
      <c r="W155" s="189" t="s">
        <v>1182</v>
      </c>
      <c r="X155" s="189">
        <f>40*8</f>
        <v>320</v>
      </c>
      <c r="Y155" s="189" t="s">
        <v>1335</v>
      </c>
      <c r="Z155" s="189" t="s">
        <v>1182</v>
      </c>
    </row>
    <row r="156" spans="1:26" ht="69.650000000000006" customHeight="1">
      <c r="A156" s="349"/>
      <c r="B156" s="350"/>
      <c r="C156" s="351"/>
      <c r="D156" s="352"/>
      <c r="E156" s="359"/>
      <c r="F156" s="29" t="s">
        <v>436</v>
      </c>
      <c r="G156" s="30" t="s">
        <v>437</v>
      </c>
      <c r="H156" s="31" t="s">
        <v>62</v>
      </c>
      <c r="I156" s="31" t="s">
        <v>120</v>
      </c>
      <c r="J156" s="43" t="s">
        <v>436</v>
      </c>
      <c r="K156" s="32" t="str">
        <f>G156</f>
        <v>Dissenyar projectes d'ApS ambiental i Ciència ciutadana i projectes compartits amb entitats del territori que s'incloguin dins de l'oferta pedagògica.</v>
      </c>
      <c r="L156" s="33"/>
      <c r="M156" s="62" t="s">
        <v>900</v>
      </c>
      <c r="N156" s="35" t="s">
        <v>1224</v>
      </c>
      <c r="O156" s="34" t="s">
        <v>1665</v>
      </c>
      <c r="P156" s="61" t="s">
        <v>425</v>
      </c>
      <c r="Q156" s="37"/>
      <c r="R156" s="189" t="s">
        <v>1666</v>
      </c>
      <c r="S156" s="189">
        <v>1</v>
      </c>
      <c r="T156" s="189">
        <v>2</v>
      </c>
      <c r="U156" s="189">
        <f t="shared" ref="U156:U206" si="6">0.4*X156</f>
        <v>24</v>
      </c>
      <c r="V156" s="189" t="s">
        <v>1335</v>
      </c>
      <c r="W156" s="189" t="s">
        <v>1182</v>
      </c>
      <c r="X156" s="189">
        <v>60</v>
      </c>
      <c r="Y156" s="189" t="s">
        <v>1335</v>
      </c>
      <c r="Z156" s="189" t="s">
        <v>1182</v>
      </c>
    </row>
    <row r="157" spans="1:26" ht="64.5" customHeight="1">
      <c r="A157" s="349"/>
      <c r="B157" s="350"/>
      <c r="C157" s="351"/>
      <c r="D157" s="352"/>
      <c r="E157" s="359"/>
      <c r="F157" s="29" t="s">
        <v>438</v>
      </c>
      <c r="G157" s="30" t="s">
        <v>439</v>
      </c>
      <c r="H157" s="31" t="s">
        <v>62</v>
      </c>
      <c r="I157" s="31" t="s">
        <v>120</v>
      </c>
      <c r="J157" s="43" t="s">
        <v>438</v>
      </c>
      <c r="K157" s="32" t="s">
        <v>1667</v>
      </c>
      <c r="L157" s="43" t="s">
        <v>1668</v>
      </c>
      <c r="M157" s="62" t="s">
        <v>900</v>
      </c>
      <c r="N157" s="35" t="s">
        <v>1178</v>
      </c>
      <c r="O157" s="34" t="s">
        <v>1669</v>
      </c>
      <c r="P157" s="61" t="s">
        <v>425</v>
      </c>
      <c r="Q157" s="37"/>
      <c r="R157" s="190" t="s">
        <v>1670</v>
      </c>
      <c r="S157" s="189">
        <v>4</v>
      </c>
      <c r="T157" s="189">
        <v>8</v>
      </c>
      <c r="U157" s="189">
        <f t="shared" si="6"/>
        <v>120</v>
      </c>
      <c r="V157" s="189" t="s">
        <v>1335</v>
      </c>
      <c r="W157" s="190" t="s">
        <v>1671</v>
      </c>
      <c r="X157" s="189">
        <f>6*50</f>
        <v>300</v>
      </c>
      <c r="Y157" s="189" t="s">
        <v>1335</v>
      </c>
      <c r="Z157" s="190" t="s">
        <v>1671</v>
      </c>
    </row>
    <row r="158" spans="1:26" ht="116">
      <c r="A158" s="349"/>
      <c r="B158" s="350"/>
      <c r="C158" s="351"/>
      <c r="D158" s="355"/>
      <c r="E158" s="360"/>
      <c r="F158" s="29" t="s">
        <v>440</v>
      </c>
      <c r="G158" s="30" t="s">
        <v>441</v>
      </c>
      <c r="H158" s="31" t="s">
        <v>62</v>
      </c>
      <c r="I158" s="31" t="s">
        <v>120</v>
      </c>
      <c r="J158" s="43" t="s">
        <v>440</v>
      </c>
      <c r="K158" s="32" t="s">
        <v>1672</v>
      </c>
      <c r="L158" s="33"/>
      <c r="M158" s="62" t="s">
        <v>900</v>
      </c>
      <c r="N158" s="35" t="s">
        <v>1155</v>
      </c>
      <c r="O158" s="34" t="s">
        <v>1673</v>
      </c>
      <c r="P158" s="61" t="s">
        <v>425</v>
      </c>
      <c r="Q158" s="37"/>
      <c r="R158" s="189" t="s">
        <v>1674</v>
      </c>
      <c r="S158" s="189">
        <v>2</v>
      </c>
      <c r="T158" s="189">
        <v>4</v>
      </c>
      <c r="U158" s="189">
        <f t="shared" si="6"/>
        <v>57.6</v>
      </c>
      <c r="V158" s="189" t="s">
        <v>1335</v>
      </c>
      <c r="W158" s="190" t="s">
        <v>1607</v>
      </c>
      <c r="X158" s="189">
        <f>3*8*6</f>
        <v>144</v>
      </c>
      <c r="Y158" s="189" t="s">
        <v>1335</v>
      </c>
      <c r="Z158" s="190" t="s">
        <v>1607</v>
      </c>
    </row>
    <row r="159" spans="1:26" ht="63.75" customHeight="1">
      <c r="A159" s="349"/>
      <c r="B159" s="350"/>
      <c r="C159" s="351"/>
      <c r="D159" s="361" t="s">
        <v>442</v>
      </c>
      <c r="E159" s="362" t="s">
        <v>443</v>
      </c>
      <c r="F159" s="29" t="s">
        <v>444</v>
      </c>
      <c r="G159" s="30" t="s">
        <v>445</v>
      </c>
      <c r="H159" s="31" t="s">
        <v>62</v>
      </c>
      <c r="I159" s="31" t="s">
        <v>71</v>
      </c>
      <c r="J159" s="43" t="s">
        <v>444</v>
      </c>
      <c r="K159" s="32" t="str">
        <f>G159</f>
        <v>Establir un model de coordinació territorial amb agents clau de l'educació ambiental</v>
      </c>
      <c r="L159" s="33"/>
      <c r="M159" s="34" t="s">
        <v>900</v>
      </c>
      <c r="N159" s="35" t="s">
        <v>1178</v>
      </c>
      <c r="O159" s="34" t="s">
        <v>1675</v>
      </c>
      <c r="P159" s="61" t="s">
        <v>425</v>
      </c>
      <c r="Q159" s="37"/>
      <c r="R159" s="189" t="s">
        <v>1307</v>
      </c>
      <c r="S159" s="189">
        <v>0</v>
      </c>
      <c r="T159" s="189">
        <v>1</v>
      </c>
      <c r="U159" s="189">
        <f t="shared" si="6"/>
        <v>32</v>
      </c>
      <c r="V159" s="189" t="s">
        <v>1335</v>
      </c>
      <c r="W159" s="189" t="s">
        <v>1182</v>
      </c>
      <c r="X159" s="189">
        <f>8*10</f>
        <v>80</v>
      </c>
      <c r="Y159" s="189" t="s">
        <v>1335</v>
      </c>
      <c r="Z159" s="189" t="s">
        <v>1182</v>
      </c>
    </row>
    <row r="160" spans="1:26" ht="59.5" customHeight="1">
      <c r="A160" s="349"/>
      <c r="B160" s="350"/>
      <c r="C160" s="351"/>
      <c r="D160" s="363"/>
      <c r="E160" s="354"/>
      <c r="F160" s="29" t="s">
        <v>446</v>
      </c>
      <c r="G160" s="30" t="s">
        <v>447</v>
      </c>
      <c r="H160" s="31" t="s">
        <v>62</v>
      </c>
      <c r="I160" s="31" t="s">
        <v>71</v>
      </c>
      <c r="J160" s="43" t="s">
        <v>446</v>
      </c>
      <c r="K160" s="32" t="str">
        <f>G160</f>
        <v>Cercar i establir col·laboracions i projectes conjunts amb agents clau del territori</v>
      </c>
      <c r="L160" s="33"/>
      <c r="M160" s="34" t="s">
        <v>900</v>
      </c>
      <c r="N160" s="35" t="s">
        <v>1224</v>
      </c>
      <c r="O160" s="34" t="s">
        <v>1676</v>
      </c>
      <c r="P160" s="61" t="s">
        <v>425</v>
      </c>
      <c r="Q160" s="37"/>
      <c r="R160" s="190" t="s">
        <v>1677</v>
      </c>
      <c r="S160" s="189">
        <v>4</v>
      </c>
      <c r="T160" s="189">
        <v>8</v>
      </c>
      <c r="U160" s="189">
        <f t="shared" si="6"/>
        <v>38.400000000000006</v>
      </c>
      <c r="V160" s="189" t="s">
        <v>1335</v>
      </c>
      <c r="W160" s="189" t="s">
        <v>1182</v>
      </c>
      <c r="X160" s="189">
        <f>6*16</f>
        <v>96</v>
      </c>
      <c r="Y160" s="189" t="s">
        <v>1335</v>
      </c>
      <c r="Z160" s="189" t="s">
        <v>1182</v>
      </c>
    </row>
    <row r="161" spans="1:26" ht="122.5" customHeight="1">
      <c r="A161" s="349"/>
      <c r="B161" s="350"/>
      <c r="C161" s="351"/>
      <c r="D161" s="363"/>
      <c r="E161" s="354"/>
      <c r="F161" s="29" t="s">
        <v>448</v>
      </c>
      <c r="G161" s="30" t="s">
        <v>449</v>
      </c>
      <c r="H161" s="31" t="s">
        <v>62</v>
      </c>
      <c r="I161" s="31" t="s">
        <v>71</v>
      </c>
      <c r="J161" s="43" t="s">
        <v>448</v>
      </c>
      <c r="K161" s="32" t="s">
        <v>1678</v>
      </c>
      <c r="L161" s="33" t="s">
        <v>1679</v>
      </c>
      <c r="M161" s="34" t="s">
        <v>900</v>
      </c>
      <c r="N161" s="35" t="s">
        <v>1155</v>
      </c>
      <c r="O161" s="34" t="s">
        <v>1680</v>
      </c>
      <c r="P161" s="61" t="s">
        <v>425</v>
      </c>
      <c r="Q161" s="30" t="s">
        <v>450</v>
      </c>
      <c r="R161" s="190" t="s">
        <v>1681</v>
      </c>
      <c r="S161" s="189">
        <v>40</v>
      </c>
      <c r="T161" s="189">
        <v>60</v>
      </c>
      <c r="U161" s="189">
        <f t="shared" si="6"/>
        <v>40</v>
      </c>
      <c r="V161" s="189" t="s">
        <v>1335</v>
      </c>
      <c r="W161" s="189" t="s">
        <v>1182</v>
      </c>
      <c r="X161" s="189">
        <f>50*2</f>
        <v>100</v>
      </c>
      <c r="Y161" s="189" t="s">
        <v>1335</v>
      </c>
      <c r="Z161" s="189" t="s">
        <v>1182</v>
      </c>
    </row>
    <row r="162" spans="1:26" ht="92.5" customHeight="1">
      <c r="A162" s="349"/>
      <c r="B162" s="350"/>
      <c r="C162" s="351"/>
      <c r="D162" s="361" t="s">
        <v>451</v>
      </c>
      <c r="E162" s="362" t="s">
        <v>452</v>
      </c>
      <c r="F162" s="29" t="s">
        <v>453</v>
      </c>
      <c r="G162" s="30" t="s">
        <v>454</v>
      </c>
      <c r="H162" s="31" t="s">
        <v>62</v>
      </c>
      <c r="I162" s="31" t="s">
        <v>71</v>
      </c>
      <c r="J162" s="43" t="s">
        <v>453</v>
      </c>
      <c r="K162" s="32" t="str">
        <f>G162</f>
        <v>Desplegar en el territori les campanyes de sensibilització i bones pràctiques que s'impulsin des de la DG</v>
      </c>
      <c r="L162" s="33"/>
      <c r="M162" s="34" t="s">
        <v>900</v>
      </c>
      <c r="N162" s="35" t="s">
        <v>1155</v>
      </c>
      <c r="O162" s="34" t="s">
        <v>1682</v>
      </c>
      <c r="P162" s="61" t="s">
        <v>425</v>
      </c>
      <c r="Q162" s="30" t="s">
        <v>455</v>
      </c>
      <c r="R162" s="189" t="s">
        <v>1683</v>
      </c>
      <c r="S162" s="189">
        <v>4</v>
      </c>
      <c r="T162" s="189">
        <v>4</v>
      </c>
      <c r="U162" s="189">
        <f t="shared" si="6"/>
        <v>16</v>
      </c>
      <c r="V162" s="189" t="s">
        <v>1335</v>
      </c>
      <c r="W162" s="189" t="s">
        <v>1182</v>
      </c>
      <c r="X162" s="189">
        <f>4*10</f>
        <v>40</v>
      </c>
      <c r="Y162" s="189" t="s">
        <v>1335</v>
      </c>
      <c r="Z162" s="189" t="s">
        <v>1182</v>
      </c>
    </row>
    <row r="163" spans="1:26" ht="65" customHeight="1">
      <c r="A163" s="349"/>
      <c r="B163" s="350"/>
      <c r="C163" s="351"/>
      <c r="D163" s="363"/>
      <c r="E163" s="354"/>
      <c r="F163" s="29" t="s">
        <v>456</v>
      </c>
      <c r="G163" s="30" t="s">
        <v>457</v>
      </c>
      <c r="H163" s="31" t="s">
        <v>62</v>
      </c>
      <c r="I163" s="31" t="s">
        <v>120</v>
      </c>
      <c r="J163" s="43" t="s">
        <v>456</v>
      </c>
      <c r="K163" s="32" t="s">
        <v>1684</v>
      </c>
      <c r="L163" s="33" t="s">
        <v>1685</v>
      </c>
      <c r="M163" s="34" t="s">
        <v>900</v>
      </c>
      <c r="N163" s="35" t="s">
        <v>1155</v>
      </c>
      <c r="O163" s="34" t="s">
        <v>1686</v>
      </c>
      <c r="P163" s="61" t="s">
        <v>425</v>
      </c>
      <c r="Q163" s="63"/>
      <c r="R163" s="189" t="s">
        <v>1687</v>
      </c>
      <c r="S163" s="189">
        <f>6*4</f>
        <v>24</v>
      </c>
      <c r="T163" s="189">
        <v>30</v>
      </c>
      <c r="U163" s="189">
        <f t="shared" si="6"/>
        <v>20.8</v>
      </c>
      <c r="V163" s="189" t="s">
        <v>1335</v>
      </c>
      <c r="W163" s="189" t="s">
        <v>1182</v>
      </c>
      <c r="X163" s="189">
        <f>26*2</f>
        <v>52</v>
      </c>
      <c r="Y163" s="189" t="s">
        <v>1335</v>
      </c>
      <c r="Z163" s="189" t="s">
        <v>1182</v>
      </c>
    </row>
    <row r="164" spans="1:26" ht="159.5">
      <c r="A164" s="349"/>
      <c r="B164" s="350"/>
      <c r="C164" s="351"/>
      <c r="D164" s="363"/>
      <c r="E164" s="354"/>
      <c r="F164" s="29" t="s">
        <v>458</v>
      </c>
      <c r="G164" s="49" t="s">
        <v>459</v>
      </c>
      <c r="H164" s="31" t="s">
        <v>62</v>
      </c>
      <c r="I164" s="31" t="s">
        <v>120</v>
      </c>
      <c r="J164" s="43" t="s">
        <v>458</v>
      </c>
      <c r="K164" s="32" t="s">
        <v>1688</v>
      </c>
      <c r="L164" s="33"/>
      <c r="M164" s="34" t="s">
        <v>900</v>
      </c>
      <c r="N164" s="35" t="s">
        <v>1155</v>
      </c>
      <c r="O164" s="34" t="s">
        <v>1689</v>
      </c>
      <c r="P164" s="61" t="s">
        <v>425</v>
      </c>
      <c r="Q164" s="63"/>
      <c r="R164" s="189" t="s">
        <v>1687</v>
      </c>
      <c r="S164" s="189">
        <f>4*4</f>
        <v>16</v>
      </c>
      <c r="T164" s="189">
        <v>20</v>
      </c>
      <c r="U164" s="189">
        <f t="shared" si="6"/>
        <v>14.4</v>
      </c>
      <c r="V164" s="189" t="s">
        <v>1335</v>
      </c>
      <c r="W164" s="189" t="s">
        <v>1182</v>
      </c>
      <c r="X164" s="189">
        <f>18*2</f>
        <v>36</v>
      </c>
      <c r="Y164" s="189" t="s">
        <v>1335</v>
      </c>
      <c r="Z164" s="189" t="s">
        <v>1182</v>
      </c>
    </row>
    <row r="165" spans="1:26" ht="53.5" customHeight="1">
      <c r="A165" s="349"/>
      <c r="B165" s="350"/>
      <c r="C165" s="351"/>
      <c r="D165" s="363"/>
      <c r="E165" s="354"/>
      <c r="F165" s="29" t="s">
        <v>460</v>
      </c>
      <c r="G165" s="30" t="s">
        <v>461</v>
      </c>
      <c r="H165" s="31" t="s">
        <v>62</v>
      </c>
      <c r="I165" s="31" t="s">
        <v>120</v>
      </c>
      <c r="J165" s="43" t="s">
        <v>460</v>
      </c>
      <c r="K165" s="32" t="s">
        <v>1690</v>
      </c>
      <c r="L165" s="33"/>
      <c r="M165" s="34" t="s">
        <v>900</v>
      </c>
      <c r="N165" s="35" t="s">
        <v>1224</v>
      </c>
      <c r="O165" s="34" t="s">
        <v>1691</v>
      </c>
      <c r="P165" s="61" t="s">
        <v>425</v>
      </c>
      <c r="Q165" s="63"/>
      <c r="R165" s="189" t="s">
        <v>1307</v>
      </c>
      <c r="S165" s="189">
        <v>4</v>
      </c>
      <c r="T165" s="189">
        <v>12</v>
      </c>
      <c r="U165" s="189">
        <f t="shared" si="6"/>
        <v>51.2</v>
      </c>
      <c r="V165" s="189" t="s">
        <v>1335</v>
      </c>
      <c r="W165" s="190" t="s">
        <v>1600</v>
      </c>
      <c r="X165" s="189">
        <f>8*16</f>
        <v>128</v>
      </c>
      <c r="Y165" s="189" t="s">
        <v>1335</v>
      </c>
      <c r="Z165" s="190" t="s">
        <v>1600</v>
      </c>
    </row>
    <row r="166" spans="1:26" ht="43.5">
      <c r="A166" s="349"/>
      <c r="B166" s="350"/>
      <c r="C166" s="351"/>
      <c r="D166" s="361" t="s">
        <v>462</v>
      </c>
      <c r="E166" s="362" t="s">
        <v>463</v>
      </c>
      <c r="F166" s="29" t="s">
        <v>464</v>
      </c>
      <c r="G166" s="49" t="s">
        <v>465</v>
      </c>
      <c r="H166" s="31" t="s">
        <v>62</v>
      </c>
      <c r="I166" s="31" t="s">
        <v>71</v>
      </c>
      <c r="J166" s="43" t="s">
        <v>464</v>
      </c>
      <c r="K166" s="32" t="str">
        <f>G166</f>
        <v>Identificar col·lectius estratègics implicats en la gestió i l'ús del territori</v>
      </c>
      <c r="L166" s="33"/>
      <c r="M166" s="34" t="s">
        <v>900</v>
      </c>
      <c r="N166" s="35" t="s">
        <v>1224</v>
      </c>
      <c r="O166" s="34" t="s">
        <v>1692</v>
      </c>
      <c r="P166" s="61" t="s">
        <v>425</v>
      </c>
      <c r="Q166" s="37"/>
      <c r="R166" s="189" t="s">
        <v>1693</v>
      </c>
      <c r="S166" s="189">
        <v>6</v>
      </c>
      <c r="T166" s="189">
        <v>10</v>
      </c>
      <c r="U166" s="189">
        <f t="shared" si="6"/>
        <v>6.4</v>
      </c>
      <c r="V166" s="189" t="s">
        <v>1335</v>
      </c>
      <c r="W166" s="189" t="s">
        <v>1182</v>
      </c>
      <c r="X166" s="189">
        <f>8*2</f>
        <v>16</v>
      </c>
      <c r="Y166" s="189" t="s">
        <v>1335</v>
      </c>
      <c r="Z166" s="189" t="s">
        <v>1182</v>
      </c>
    </row>
    <row r="167" spans="1:26" ht="74.5" customHeight="1">
      <c r="A167" s="349"/>
      <c r="B167" s="350"/>
      <c r="C167" s="351"/>
      <c r="D167" s="363"/>
      <c r="E167" s="354"/>
      <c r="F167" s="29" t="s">
        <v>466</v>
      </c>
      <c r="G167" s="30" t="s">
        <v>467</v>
      </c>
      <c r="H167" s="31" t="s">
        <v>62</v>
      </c>
      <c r="I167" s="31" t="s">
        <v>120</v>
      </c>
      <c r="J167" s="43" t="s">
        <v>466</v>
      </c>
      <c r="K167" s="32" t="s">
        <v>467</v>
      </c>
      <c r="L167" s="33"/>
      <c r="M167" s="34" t="s">
        <v>900</v>
      </c>
      <c r="N167" s="35" t="s">
        <v>1178</v>
      </c>
      <c r="O167" s="34" t="s">
        <v>1694</v>
      </c>
      <c r="P167" s="61" t="s">
        <v>425</v>
      </c>
      <c r="Q167" s="63"/>
      <c r="R167" s="190" t="s">
        <v>1695</v>
      </c>
      <c r="S167" s="189">
        <f>4*4</f>
        <v>16</v>
      </c>
      <c r="T167" s="189">
        <v>20</v>
      </c>
      <c r="U167" s="189">
        <f t="shared" si="6"/>
        <v>86.4</v>
      </c>
      <c r="V167" s="189" t="s">
        <v>1335</v>
      </c>
      <c r="W167" s="189" t="s">
        <v>1182</v>
      </c>
      <c r="X167" s="189">
        <f>18*12</f>
        <v>216</v>
      </c>
      <c r="Y167" s="189" t="s">
        <v>1335</v>
      </c>
      <c r="Z167" s="189" t="s">
        <v>1182</v>
      </c>
    </row>
    <row r="168" spans="1:26" ht="91.5" customHeight="1">
      <c r="A168" s="349"/>
      <c r="B168" s="350"/>
      <c r="C168" s="351"/>
      <c r="D168" s="363"/>
      <c r="E168" s="354"/>
      <c r="F168" s="29" t="s">
        <v>468</v>
      </c>
      <c r="G168" s="30" t="s">
        <v>469</v>
      </c>
      <c r="H168" s="31" t="s">
        <v>62</v>
      </c>
      <c r="I168" s="31" t="s">
        <v>120</v>
      </c>
      <c r="J168" s="43" t="s">
        <v>468</v>
      </c>
      <c r="K168" s="32" t="s">
        <v>1273</v>
      </c>
      <c r="L168" s="43" t="s">
        <v>1696</v>
      </c>
      <c r="M168" s="34"/>
      <c r="N168" s="35"/>
      <c r="O168" s="34"/>
      <c r="P168" s="61" t="s">
        <v>425</v>
      </c>
      <c r="Q168" s="63"/>
      <c r="R168" s="189"/>
      <c r="S168" s="189"/>
      <c r="T168" s="189"/>
      <c r="U168" s="189">
        <f t="shared" si="6"/>
        <v>0</v>
      </c>
      <c r="V168" s="189"/>
      <c r="W168" s="189"/>
      <c r="X168" s="189"/>
      <c r="Y168" s="189"/>
      <c r="Z168" s="189"/>
    </row>
    <row r="169" spans="1:26" ht="79.5" customHeight="1">
      <c r="A169" s="349"/>
      <c r="B169" s="350"/>
      <c r="C169" s="351"/>
      <c r="D169" s="363"/>
      <c r="E169" s="354"/>
      <c r="F169" s="29" t="s">
        <v>470</v>
      </c>
      <c r="G169" s="30" t="s">
        <v>471</v>
      </c>
      <c r="H169" s="31" t="s">
        <v>62</v>
      </c>
      <c r="I169" s="31" t="s">
        <v>120</v>
      </c>
      <c r="J169" s="43" t="s">
        <v>470</v>
      </c>
      <c r="K169" s="32" t="s">
        <v>471</v>
      </c>
      <c r="L169" s="33"/>
      <c r="M169" s="38" t="s">
        <v>900</v>
      </c>
      <c r="N169" s="35" t="s">
        <v>1224</v>
      </c>
      <c r="O169" s="34" t="s">
        <v>1697</v>
      </c>
      <c r="P169" s="61" t="s">
        <v>425</v>
      </c>
      <c r="Q169" s="63"/>
      <c r="R169" s="189" t="s">
        <v>1698</v>
      </c>
      <c r="S169" s="189">
        <v>8</v>
      </c>
      <c r="T169" s="189">
        <v>12</v>
      </c>
      <c r="U169" s="189">
        <f t="shared" si="6"/>
        <v>48</v>
      </c>
      <c r="V169" s="189" t="s">
        <v>1335</v>
      </c>
      <c r="W169" s="190" t="s">
        <v>1376</v>
      </c>
      <c r="X169" s="189">
        <f>10*12</f>
        <v>120</v>
      </c>
      <c r="Y169" s="189" t="s">
        <v>1335</v>
      </c>
      <c r="Z169" s="190" t="s">
        <v>1376</v>
      </c>
    </row>
    <row r="170" spans="1:26" ht="77.150000000000006" customHeight="1">
      <c r="A170" s="349"/>
      <c r="B170" s="350"/>
      <c r="C170" s="351"/>
      <c r="D170" s="364"/>
      <c r="E170" s="356"/>
      <c r="F170" s="29" t="s">
        <v>472</v>
      </c>
      <c r="G170" s="49" t="s">
        <v>473</v>
      </c>
      <c r="H170" s="31" t="s">
        <v>62</v>
      </c>
      <c r="I170" s="31" t="s">
        <v>71</v>
      </c>
      <c r="J170" s="43" t="s">
        <v>472</v>
      </c>
      <c r="K170" s="32" t="s">
        <v>1699</v>
      </c>
      <c r="L170" s="33" t="s">
        <v>1700</v>
      </c>
      <c r="M170" s="34" t="s">
        <v>900</v>
      </c>
      <c r="N170" s="35" t="s">
        <v>1155</v>
      </c>
      <c r="O170" s="34" t="s">
        <v>1701</v>
      </c>
      <c r="P170" s="61" t="s">
        <v>425</v>
      </c>
      <c r="Q170" s="37"/>
      <c r="R170" s="190" t="s">
        <v>1702</v>
      </c>
      <c r="S170" s="189">
        <f>4*45</f>
        <v>180</v>
      </c>
      <c r="T170" s="189">
        <v>200</v>
      </c>
      <c r="U170" s="189">
        <f t="shared" si="6"/>
        <v>114</v>
      </c>
      <c r="V170" s="189" t="s">
        <v>1335</v>
      </c>
      <c r="W170" s="189" t="s">
        <v>1182</v>
      </c>
      <c r="X170" s="189">
        <f>190*1.5</f>
        <v>285</v>
      </c>
      <c r="Y170" s="189" t="s">
        <v>1335</v>
      </c>
      <c r="Z170" s="189" t="s">
        <v>1182</v>
      </c>
    </row>
    <row r="171" spans="1:26" ht="85" customHeight="1">
      <c r="A171" s="349"/>
      <c r="B171" s="350"/>
      <c r="C171" s="351"/>
      <c r="D171" s="365" t="s">
        <v>474</v>
      </c>
      <c r="E171" s="362" t="s">
        <v>475</v>
      </c>
      <c r="F171" s="29" t="s">
        <v>476</v>
      </c>
      <c r="G171" s="30" t="s">
        <v>477</v>
      </c>
      <c r="H171" s="31" t="s">
        <v>62</v>
      </c>
      <c r="I171" s="31" t="s">
        <v>71</v>
      </c>
      <c r="J171" s="43" t="s">
        <v>476</v>
      </c>
      <c r="K171" s="32" t="str">
        <f>G171</f>
        <v>Identificar els programes, projectes i accions en marxa o previstos a l’ENP que poden rebre el suport del voluntariat</v>
      </c>
      <c r="L171" s="33"/>
      <c r="M171" s="34" t="s">
        <v>900</v>
      </c>
      <c r="N171" s="35" t="s">
        <v>1224</v>
      </c>
      <c r="O171" s="34" t="s">
        <v>1703</v>
      </c>
      <c r="P171" s="61" t="s">
        <v>425</v>
      </c>
      <c r="Q171" s="37"/>
      <c r="R171" s="189" t="s">
        <v>1704</v>
      </c>
      <c r="S171" s="189">
        <v>4</v>
      </c>
      <c r="T171" s="189">
        <v>6</v>
      </c>
      <c r="U171" s="189">
        <f t="shared" si="6"/>
        <v>40</v>
      </c>
      <c r="V171" s="189" t="s">
        <v>1335</v>
      </c>
      <c r="W171" s="189" t="s">
        <v>1182</v>
      </c>
      <c r="X171" s="189">
        <f>20*5</f>
        <v>100</v>
      </c>
      <c r="Y171" s="189" t="s">
        <v>1335</v>
      </c>
      <c r="Z171" s="189" t="s">
        <v>1182</v>
      </c>
    </row>
    <row r="172" spans="1:26" ht="182.5" customHeight="1">
      <c r="A172" s="349"/>
      <c r="B172" s="350"/>
      <c r="C172" s="351"/>
      <c r="D172" s="366"/>
      <c r="E172" s="354"/>
      <c r="F172" s="29" t="s">
        <v>478</v>
      </c>
      <c r="G172" s="30" t="s">
        <v>479</v>
      </c>
      <c r="H172" s="31" t="s">
        <v>62</v>
      </c>
      <c r="I172" s="31" t="s">
        <v>71</v>
      </c>
      <c r="J172" s="43" t="s">
        <v>478</v>
      </c>
      <c r="K172" s="32" t="s">
        <v>1705</v>
      </c>
      <c r="L172" s="43" t="s">
        <v>1706</v>
      </c>
      <c r="M172" s="34" t="s">
        <v>900</v>
      </c>
      <c r="N172" s="35" t="s">
        <v>1178</v>
      </c>
      <c r="O172" s="34" t="s">
        <v>1707</v>
      </c>
      <c r="P172" s="40" t="s">
        <v>480</v>
      </c>
      <c r="Q172" s="37" t="s">
        <v>481</v>
      </c>
      <c r="R172" s="189" t="s">
        <v>1307</v>
      </c>
      <c r="S172" s="189">
        <v>16</v>
      </c>
      <c r="T172" s="189">
        <v>20</v>
      </c>
      <c r="U172" s="189">
        <f t="shared" si="6"/>
        <v>86.4</v>
      </c>
      <c r="V172" s="189" t="s">
        <v>1335</v>
      </c>
      <c r="W172" s="189" t="s">
        <v>1182</v>
      </c>
      <c r="X172" s="189">
        <f>18*12</f>
        <v>216</v>
      </c>
      <c r="Y172" s="189" t="s">
        <v>1335</v>
      </c>
      <c r="Z172" s="189" t="s">
        <v>1182</v>
      </c>
    </row>
    <row r="173" spans="1:26" ht="117" customHeight="1">
      <c r="A173" s="349"/>
      <c r="B173" s="350"/>
      <c r="C173" s="351"/>
      <c r="D173" s="365" t="s">
        <v>482</v>
      </c>
      <c r="E173" s="362" t="s">
        <v>483</v>
      </c>
      <c r="F173" s="64" t="s">
        <v>484</v>
      </c>
      <c r="G173" s="30" t="s">
        <v>485</v>
      </c>
      <c r="H173" s="31" t="s">
        <v>62</v>
      </c>
      <c r="I173" s="31" t="s">
        <v>71</v>
      </c>
      <c r="J173" s="43" t="s">
        <v>484</v>
      </c>
      <c r="K173" s="32" t="s">
        <v>1708</v>
      </c>
      <c r="L173" s="33"/>
      <c r="M173" s="34" t="s">
        <v>900</v>
      </c>
      <c r="N173" s="35" t="s">
        <v>1155</v>
      </c>
      <c r="O173" s="34" t="s">
        <v>1709</v>
      </c>
      <c r="P173" s="61" t="s">
        <v>425</v>
      </c>
      <c r="Q173" s="63"/>
      <c r="R173" s="190" t="s">
        <v>1710</v>
      </c>
      <c r="S173" s="189">
        <v>4</v>
      </c>
      <c r="T173" s="189">
        <v>12</v>
      </c>
      <c r="U173" s="189">
        <f t="shared" si="6"/>
        <v>38.400000000000006</v>
      </c>
      <c r="V173" s="189" t="s">
        <v>1335</v>
      </c>
      <c r="W173" s="189" t="s">
        <v>1182</v>
      </c>
      <c r="X173" s="189">
        <f>12*8</f>
        <v>96</v>
      </c>
      <c r="Y173" s="189" t="s">
        <v>1335</v>
      </c>
      <c r="Z173" s="189" t="s">
        <v>1182</v>
      </c>
    </row>
    <row r="174" spans="1:26" ht="80.5" customHeight="1">
      <c r="A174" s="349"/>
      <c r="B174" s="350"/>
      <c r="C174" s="351"/>
      <c r="D174" s="366"/>
      <c r="E174" s="354"/>
      <c r="F174" s="64" t="s">
        <v>486</v>
      </c>
      <c r="G174" s="30" t="s">
        <v>487</v>
      </c>
      <c r="H174" s="31" t="s">
        <v>62</v>
      </c>
      <c r="I174" s="31" t="s">
        <v>120</v>
      </c>
      <c r="J174" s="43" t="s">
        <v>486</v>
      </c>
      <c r="K174" s="32" t="str">
        <f>G174</f>
        <v>Formar el personal de l'ENP (informadors i personal que treballa de cara al públic) en accessibilitat, diversitat funcional i diversitat de gènere</v>
      </c>
      <c r="L174" s="33"/>
      <c r="M174" s="34" t="s">
        <v>900</v>
      </c>
      <c r="N174" s="35" t="s">
        <v>1224</v>
      </c>
      <c r="O174" s="34" t="s">
        <v>1711</v>
      </c>
      <c r="P174" s="61" t="s">
        <v>425</v>
      </c>
      <c r="Q174" s="37"/>
      <c r="R174" s="190" t="s">
        <v>1681</v>
      </c>
      <c r="S174" s="189">
        <v>4</v>
      </c>
      <c r="T174" s="189">
        <v>8</v>
      </c>
      <c r="U174" s="189">
        <f t="shared" si="6"/>
        <v>28.8</v>
      </c>
      <c r="V174" s="189" t="s">
        <v>1335</v>
      </c>
      <c r="W174" s="189" t="s">
        <v>1182</v>
      </c>
      <c r="X174" s="189">
        <f>12*6</f>
        <v>72</v>
      </c>
      <c r="Y174" s="189" t="s">
        <v>1335</v>
      </c>
      <c r="Z174" s="189" t="s">
        <v>1182</v>
      </c>
    </row>
    <row r="175" spans="1:26" ht="45" customHeight="1">
      <c r="A175" s="349"/>
      <c r="B175" s="350"/>
      <c r="C175" s="351"/>
      <c r="D175" s="366"/>
      <c r="E175" s="354"/>
      <c r="F175" s="64" t="s">
        <v>488</v>
      </c>
      <c r="G175" s="30" t="s">
        <v>489</v>
      </c>
      <c r="H175" s="31" t="s">
        <v>62</v>
      </c>
      <c r="I175" s="31" t="s">
        <v>71</v>
      </c>
      <c r="J175" s="43" t="s">
        <v>488</v>
      </c>
      <c r="K175" s="32" t="str">
        <f>G175</f>
        <v>Incorporar la perspectiva de gènere als continguts i activitats de l'ENP</v>
      </c>
      <c r="L175" s="33"/>
      <c r="M175" s="34"/>
      <c r="N175" s="35" t="s">
        <v>1178</v>
      </c>
      <c r="O175" s="34" t="s">
        <v>1712</v>
      </c>
      <c r="P175" s="61" t="s">
        <v>425</v>
      </c>
      <c r="Q175" s="37"/>
      <c r="R175" s="189" t="s">
        <v>1713</v>
      </c>
      <c r="S175" s="189">
        <v>6</v>
      </c>
      <c r="T175" s="189">
        <v>10</v>
      </c>
      <c r="U175" s="189">
        <f t="shared" si="6"/>
        <v>12.8</v>
      </c>
      <c r="V175" s="189" t="s">
        <v>1335</v>
      </c>
      <c r="W175" s="189" t="s">
        <v>1182</v>
      </c>
      <c r="X175" s="189">
        <f>4*8</f>
        <v>32</v>
      </c>
      <c r="Y175" s="189" t="s">
        <v>1335</v>
      </c>
      <c r="Z175" s="189" t="s">
        <v>1182</v>
      </c>
    </row>
    <row r="176" spans="1:26" ht="51.65" customHeight="1">
      <c r="A176" s="349"/>
      <c r="B176" s="350"/>
      <c r="C176" s="351"/>
      <c r="D176" s="365" t="s">
        <v>490</v>
      </c>
      <c r="E176" s="362" t="s">
        <v>452</v>
      </c>
      <c r="F176" s="64" t="s">
        <v>491</v>
      </c>
      <c r="G176" s="30" t="s">
        <v>492</v>
      </c>
      <c r="H176" s="31" t="s">
        <v>62</v>
      </c>
      <c r="I176" s="31" t="s">
        <v>120</v>
      </c>
      <c r="J176" s="43" t="s">
        <v>491</v>
      </c>
      <c r="K176" s="32" t="s">
        <v>1714</v>
      </c>
      <c r="L176" s="43" t="s">
        <v>1715</v>
      </c>
      <c r="M176" s="34" t="s">
        <v>900</v>
      </c>
      <c r="N176" s="35" t="s">
        <v>1224</v>
      </c>
      <c r="O176" s="34" t="s">
        <v>1716</v>
      </c>
      <c r="P176" s="61" t="s">
        <v>425</v>
      </c>
      <c r="Q176" s="37"/>
      <c r="R176" s="189" t="s">
        <v>1307</v>
      </c>
      <c r="S176" s="189">
        <v>4</v>
      </c>
      <c r="T176" s="189">
        <v>4</v>
      </c>
      <c r="U176" s="189">
        <f t="shared" si="6"/>
        <v>25.6</v>
      </c>
      <c r="V176" s="189" t="s">
        <v>1335</v>
      </c>
      <c r="W176" s="190" t="s">
        <v>1462</v>
      </c>
      <c r="X176" s="189">
        <f>16*4</f>
        <v>64</v>
      </c>
      <c r="Y176" s="189" t="s">
        <v>1335</v>
      </c>
      <c r="Z176" s="190" t="s">
        <v>1462</v>
      </c>
    </row>
    <row r="177" spans="1:26" ht="72" customHeight="1">
      <c r="A177" s="349"/>
      <c r="B177" s="350"/>
      <c r="C177" s="351"/>
      <c r="D177" s="366"/>
      <c r="E177" s="354"/>
      <c r="F177" s="64" t="s">
        <v>493</v>
      </c>
      <c r="G177" s="49" t="s">
        <v>494</v>
      </c>
      <c r="H177" s="31" t="s">
        <v>62</v>
      </c>
      <c r="I177" s="31" t="s">
        <v>120</v>
      </c>
      <c r="J177" s="43" t="s">
        <v>493</v>
      </c>
      <c r="K177" s="32" t="str">
        <f>G177</f>
        <v>Identificar els agents clau i els àmbits de col·laboració per implementar el binomi salut i natura</v>
      </c>
      <c r="L177" s="33"/>
      <c r="M177" s="62" t="s">
        <v>900</v>
      </c>
      <c r="N177" s="35" t="s">
        <v>1224</v>
      </c>
      <c r="O177" s="62" t="s">
        <v>1717</v>
      </c>
      <c r="P177" s="61" t="s">
        <v>425</v>
      </c>
      <c r="Q177" s="37"/>
      <c r="R177" s="189" t="s">
        <v>1307</v>
      </c>
      <c r="S177" s="189">
        <v>4</v>
      </c>
      <c r="T177" s="189">
        <v>4</v>
      </c>
      <c r="U177" s="189">
        <f t="shared" si="6"/>
        <v>25.6</v>
      </c>
      <c r="V177" s="189" t="s">
        <v>1335</v>
      </c>
      <c r="W177" s="190" t="s">
        <v>1462</v>
      </c>
      <c r="X177" s="189">
        <f>16*4</f>
        <v>64</v>
      </c>
      <c r="Y177" s="189" t="s">
        <v>1335</v>
      </c>
      <c r="Z177" s="190" t="s">
        <v>1462</v>
      </c>
    </row>
    <row r="178" spans="1:26" ht="132" customHeight="1">
      <c r="A178" s="349"/>
      <c r="B178" s="350"/>
      <c r="C178" s="351"/>
      <c r="D178" s="366"/>
      <c r="E178" s="354"/>
      <c r="F178" s="64" t="s">
        <v>495</v>
      </c>
      <c r="G178" s="30" t="s">
        <v>496</v>
      </c>
      <c r="H178" s="31" t="s">
        <v>62</v>
      </c>
      <c r="I178" s="31" t="s">
        <v>120</v>
      </c>
      <c r="J178" s="43" t="s">
        <v>495</v>
      </c>
      <c r="K178" s="32" t="str">
        <f>G178</f>
        <v xml:space="preserve">Incloure el concepte de salut i natura en els missatges educatius i comunicatius de l'ENP </v>
      </c>
      <c r="L178" s="33"/>
      <c r="M178" s="34" t="s">
        <v>900</v>
      </c>
      <c r="N178" s="35" t="s">
        <v>1224</v>
      </c>
      <c r="O178" s="34" t="s">
        <v>1718</v>
      </c>
      <c r="P178" s="61" t="s">
        <v>425</v>
      </c>
      <c r="Q178" s="37"/>
      <c r="R178" s="189" t="s">
        <v>1307</v>
      </c>
      <c r="S178" s="189">
        <v>4</v>
      </c>
      <c r="T178" s="189">
        <v>4</v>
      </c>
      <c r="U178" s="189">
        <f t="shared" si="6"/>
        <v>25.6</v>
      </c>
      <c r="V178" s="189" t="s">
        <v>1335</v>
      </c>
      <c r="W178" s="190" t="s">
        <v>1462</v>
      </c>
      <c r="X178" s="189">
        <f>16*4</f>
        <v>64</v>
      </c>
      <c r="Y178" s="189" t="s">
        <v>1335</v>
      </c>
      <c r="Z178" s="190" t="s">
        <v>1462</v>
      </c>
    </row>
    <row r="179" spans="1:26" ht="51" customHeight="1">
      <c r="A179" s="349"/>
      <c r="B179" s="367"/>
      <c r="C179" s="368"/>
      <c r="D179" s="369"/>
      <c r="E179" s="356"/>
      <c r="F179" s="64" t="s">
        <v>497</v>
      </c>
      <c r="G179" s="49" t="s">
        <v>1719</v>
      </c>
      <c r="H179" s="31" t="s">
        <v>62</v>
      </c>
      <c r="I179" s="31" t="s">
        <v>120</v>
      </c>
      <c r="J179" s="43" t="s">
        <v>497</v>
      </c>
      <c r="K179" s="32" t="str">
        <f>G179</f>
        <v>Desplegar i/o participar a les Taules territorials de Salut i Natura</v>
      </c>
      <c r="L179" s="33"/>
      <c r="M179" s="34" t="s">
        <v>900</v>
      </c>
      <c r="N179" s="35" t="s">
        <v>1224</v>
      </c>
      <c r="O179" s="34" t="s">
        <v>1720</v>
      </c>
      <c r="P179" s="61" t="s">
        <v>425</v>
      </c>
      <c r="Q179" s="37"/>
      <c r="R179" s="189" t="s">
        <v>1307</v>
      </c>
      <c r="S179" s="189">
        <v>4</v>
      </c>
      <c r="T179" s="189">
        <v>4</v>
      </c>
      <c r="U179" s="189">
        <f t="shared" si="6"/>
        <v>25.6</v>
      </c>
      <c r="V179" s="189" t="s">
        <v>1335</v>
      </c>
      <c r="W179" s="190" t="s">
        <v>1462</v>
      </c>
      <c r="X179" s="189">
        <f>16*4</f>
        <v>64</v>
      </c>
      <c r="Y179" s="189" t="s">
        <v>1335</v>
      </c>
      <c r="Z179" s="190" t="s">
        <v>1462</v>
      </c>
    </row>
    <row r="180" spans="1:26" ht="198" customHeight="1">
      <c r="A180" s="349"/>
      <c r="B180" s="370">
        <v>14</v>
      </c>
      <c r="C180" s="371" t="s">
        <v>498</v>
      </c>
      <c r="D180" s="65" t="s">
        <v>499</v>
      </c>
      <c r="E180" s="66" t="s">
        <v>500</v>
      </c>
      <c r="F180" s="29" t="s">
        <v>501</v>
      </c>
      <c r="G180" s="30" t="s">
        <v>502</v>
      </c>
      <c r="H180" s="31" t="s">
        <v>62</v>
      </c>
      <c r="I180" s="31" t="s">
        <v>71</v>
      </c>
      <c r="J180" s="43" t="s">
        <v>501</v>
      </c>
      <c r="K180" s="32" t="s">
        <v>1721</v>
      </c>
      <c r="L180" s="33"/>
      <c r="M180" s="50" t="s">
        <v>900</v>
      </c>
      <c r="N180" s="35" t="s">
        <v>1224</v>
      </c>
      <c r="O180" s="50" t="s">
        <v>1722</v>
      </c>
      <c r="P180" s="36" t="s">
        <v>503</v>
      </c>
      <c r="Q180" s="37" t="s">
        <v>504</v>
      </c>
      <c r="R180" s="190" t="s">
        <v>1723</v>
      </c>
      <c r="S180" s="189">
        <v>48</v>
      </c>
      <c r="T180" s="189">
        <v>60</v>
      </c>
      <c r="U180" s="189">
        <f t="shared" si="6"/>
        <v>416</v>
      </c>
      <c r="V180" s="189" t="s">
        <v>1335</v>
      </c>
      <c r="W180" s="190" t="s">
        <v>1292</v>
      </c>
      <c r="X180" s="189">
        <f>52*20</f>
        <v>1040</v>
      </c>
      <c r="Y180" s="189" t="s">
        <v>1335</v>
      </c>
      <c r="Z180" s="190" t="s">
        <v>1292</v>
      </c>
    </row>
    <row r="181" spans="1:26" ht="48" customHeight="1">
      <c r="A181" s="349"/>
      <c r="B181" s="370"/>
      <c r="C181" s="371"/>
      <c r="D181" s="65"/>
      <c r="E181" s="66"/>
      <c r="F181" s="29" t="s">
        <v>505</v>
      </c>
      <c r="G181" s="30" t="s">
        <v>506</v>
      </c>
      <c r="H181" s="31" t="s">
        <v>62</v>
      </c>
      <c r="I181" s="31" t="s">
        <v>71</v>
      </c>
      <c r="J181" s="43" t="s">
        <v>505</v>
      </c>
      <c r="K181" s="32" t="str">
        <f>G181</f>
        <v>Garantir l'accessibilitat i gestió del coneixement disponible sobre l'ENP</v>
      </c>
      <c r="L181" s="33"/>
      <c r="M181" s="50" t="s">
        <v>900</v>
      </c>
      <c r="N181" s="35" t="s">
        <v>1155</v>
      </c>
      <c r="O181" s="50" t="s">
        <v>1724</v>
      </c>
      <c r="P181" s="36"/>
      <c r="Q181" s="37"/>
      <c r="R181" s="190" t="s">
        <v>1725</v>
      </c>
      <c r="S181" s="189">
        <v>10</v>
      </c>
      <c r="T181" s="189">
        <v>16</v>
      </c>
      <c r="U181" s="189">
        <f t="shared" si="6"/>
        <v>83.2</v>
      </c>
      <c r="V181" s="189" t="s">
        <v>1335</v>
      </c>
      <c r="W181" s="190" t="s">
        <v>1462</v>
      </c>
      <c r="X181" s="189">
        <f>13*16</f>
        <v>208</v>
      </c>
      <c r="Y181" s="189" t="s">
        <v>1335</v>
      </c>
      <c r="Z181" s="190" t="s">
        <v>1462</v>
      </c>
    </row>
    <row r="182" spans="1:26" ht="154" customHeight="1">
      <c r="A182" s="349"/>
      <c r="B182" s="370"/>
      <c r="C182" s="371"/>
      <c r="D182" s="65" t="s">
        <v>507</v>
      </c>
      <c r="E182" s="66" t="s">
        <v>508</v>
      </c>
      <c r="F182" s="29" t="s">
        <v>509</v>
      </c>
      <c r="G182" s="30" t="s">
        <v>510</v>
      </c>
      <c r="H182" s="31" t="s">
        <v>62</v>
      </c>
      <c r="I182" s="31" t="s">
        <v>71</v>
      </c>
      <c r="J182" s="43" t="s">
        <v>509</v>
      </c>
      <c r="K182" s="32" t="str">
        <f>G182</f>
        <v>Sensibilitzar als diferents agents sobre els valors de l'ENP</v>
      </c>
      <c r="L182" s="33"/>
      <c r="M182" s="50" t="s">
        <v>900</v>
      </c>
      <c r="N182" s="35" t="s">
        <v>1224</v>
      </c>
      <c r="O182" s="50" t="s">
        <v>1726</v>
      </c>
      <c r="P182" s="36"/>
      <c r="Q182" s="37" t="s">
        <v>511</v>
      </c>
      <c r="R182" s="190" t="s">
        <v>1727</v>
      </c>
      <c r="S182" s="189">
        <f>60*4</f>
        <v>240</v>
      </c>
      <c r="T182" s="189">
        <v>300</v>
      </c>
      <c r="U182" s="189">
        <f t="shared" si="6"/>
        <v>208</v>
      </c>
      <c r="V182" s="189" t="s">
        <v>1335</v>
      </c>
      <c r="W182" s="190" t="s">
        <v>1292</v>
      </c>
      <c r="X182" s="189">
        <f>260*2</f>
        <v>520</v>
      </c>
      <c r="Y182" s="189" t="s">
        <v>1335</v>
      </c>
      <c r="Z182" s="190" t="s">
        <v>1292</v>
      </c>
    </row>
    <row r="183" spans="1:26" ht="214.5" customHeight="1">
      <c r="A183" s="349"/>
      <c r="B183" s="370"/>
      <c r="C183" s="371"/>
      <c r="D183" s="372" t="s">
        <v>512</v>
      </c>
      <c r="E183" s="373" t="s">
        <v>513</v>
      </c>
      <c r="F183" s="29" t="s">
        <v>514</v>
      </c>
      <c r="G183" s="30" t="s">
        <v>515</v>
      </c>
      <c r="H183" s="31" t="s">
        <v>62</v>
      </c>
      <c r="I183" s="31" t="s">
        <v>71</v>
      </c>
      <c r="J183" s="43" t="s">
        <v>514</v>
      </c>
      <c r="K183" s="32" t="s">
        <v>1728</v>
      </c>
      <c r="L183" s="33"/>
      <c r="M183" s="50" t="s">
        <v>900</v>
      </c>
      <c r="N183" s="35" t="s">
        <v>1224</v>
      </c>
      <c r="O183" s="50" t="s">
        <v>1729</v>
      </c>
      <c r="P183" s="36" t="s">
        <v>503</v>
      </c>
      <c r="Q183" s="37"/>
      <c r="R183" s="189" t="s">
        <v>1307</v>
      </c>
      <c r="S183" s="189">
        <v>200</v>
      </c>
      <c r="T183" s="189">
        <v>300</v>
      </c>
      <c r="U183" s="189">
        <f t="shared" si="6"/>
        <v>100</v>
      </c>
      <c r="V183" s="189" t="s">
        <v>1335</v>
      </c>
      <c r="W183" s="190" t="s">
        <v>1292</v>
      </c>
      <c r="X183" s="189">
        <f>250*1</f>
        <v>250</v>
      </c>
      <c r="Y183" s="189" t="s">
        <v>1335</v>
      </c>
      <c r="Z183" s="190" t="s">
        <v>1292</v>
      </c>
    </row>
    <row r="184" spans="1:26" ht="130" customHeight="1">
      <c r="A184" s="349"/>
      <c r="B184" s="370"/>
      <c r="C184" s="371"/>
      <c r="D184" s="372"/>
      <c r="E184" s="373"/>
      <c r="F184" s="29" t="s">
        <v>516</v>
      </c>
      <c r="G184" s="30" t="s">
        <v>517</v>
      </c>
      <c r="H184" s="31" t="s">
        <v>62</v>
      </c>
      <c r="I184" s="31" t="s">
        <v>71</v>
      </c>
      <c r="J184" s="43" t="s">
        <v>516</v>
      </c>
      <c r="K184" s="32" t="str">
        <f>G184</f>
        <v>Garantir l'harmonització de la comunicació com a Parc, Xarxa i Generalitat.</v>
      </c>
      <c r="L184" s="33"/>
      <c r="M184" s="50" t="s">
        <v>900</v>
      </c>
      <c r="N184" s="35" t="s">
        <v>1224</v>
      </c>
      <c r="O184" s="50" t="s">
        <v>1730</v>
      </c>
      <c r="P184" s="36" t="s">
        <v>503</v>
      </c>
      <c r="Q184" s="37"/>
      <c r="R184" s="189" t="s">
        <v>1307</v>
      </c>
      <c r="S184" s="189">
        <v>20</v>
      </c>
      <c r="T184" s="189">
        <v>30</v>
      </c>
      <c r="U184" s="189">
        <f t="shared" si="6"/>
        <v>120</v>
      </c>
      <c r="V184" s="189" t="s">
        <v>1335</v>
      </c>
      <c r="W184" s="190" t="s">
        <v>1292</v>
      </c>
      <c r="X184" s="189">
        <f>25*12</f>
        <v>300</v>
      </c>
      <c r="Y184" s="189" t="s">
        <v>1335</v>
      </c>
      <c r="Z184" s="190" t="s">
        <v>1292</v>
      </c>
    </row>
    <row r="185" spans="1:26" ht="120.5" customHeight="1">
      <c r="A185" s="374" t="s">
        <v>518</v>
      </c>
      <c r="B185" s="375">
        <v>15</v>
      </c>
      <c r="C185" s="376" t="s">
        <v>519</v>
      </c>
      <c r="D185" s="377" t="s">
        <v>520</v>
      </c>
      <c r="E185" s="378" t="s">
        <v>521</v>
      </c>
      <c r="F185" s="29" t="s">
        <v>522</v>
      </c>
      <c r="G185" s="30" t="s">
        <v>523</v>
      </c>
      <c r="H185" s="31" t="s">
        <v>62</v>
      </c>
      <c r="I185" s="31" t="s">
        <v>120</v>
      </c>
      <c r="J185" s="43" t="s">
        <v>522</v>
      </c>
      <c r="K185" s="32" t="s">
        <v>1731</v>
      </c>
      <c r="L185" s="33"/>
      <c r="M185" s="50" t="s">
        <v>900</v>
      </c>
      <c r="N185" s="35" t="s">
        <v>1155</v>
      </c>
      <c r="O185" s="50" t="s">
        <v>1732</v>
      </c>
      <c r="P185" s="36"/>
      <c r="Q185" s="39"/>
      <c r="R185" s="189" t="s">
        <v>1307</v>
      </c>
      <c r="S185" s="189">
        <v>18</v>
      </c>
      <c r="T185" s="189">
        <v>24</v>
      </c>
      <c r="U185" s="189">
        <f t="shared" si="6"/>
        <v>110.4</v>
      </c>
      <c r="V185" s="189" t="s">
        <v>1335</v>
      </c>
      <c r="W185" s="190" t="s">
        <v>1292</v>
      </c>
      <c r="X185" s="189">
        <f>12*23</f>
        <v>276</v>
      </c>
      <c r="Y185" s="189" t="s">
        <v>1335</v>
      </c>
      <c r="Z185" s="190" t="s">
        <v>1292</v>
      </c>
    </row>
    <row r="186" spans="1:26" ht="82.5" customHeight="1">
      <c r="A186" s="374"/>
      <c r="B186" s="379"/>
      <c r="C186" s="380"/>
      <c r="D186" s="381"/>
      <c r="E186" s="382"/>
      <c r="F186" s="29" t="s">
        <v>524</v>
      </c>
      <c r="G186" s="30" t="s">
        <v>525</v>
      </c>
      <c r="H186" s="31" t="s">
        <v>62</v>
      </c>
      <c r="I186" s="31" t="s">
        <v>120</v>
      </c>
      <c r="J186" s="43" t="s">
        <v>524</v>
      </c>
      <c r="K186" s="32" t="s">
        <v>1733</v>
      </c>
      <c r="L186" s="33"/>
      <c r="M186" s="50" t="s">
        <v>900</v>
      </c>
      <c r="N186" s="35" t="s">
        <v>1263</v>
      </c>
      <c r="O186" s="50" t="s">
        <v>1734</v>
      </c>
      <c r="P186" s="36"/>
      <c r="Q186" s="39"/>
      <c r="R186" s="189" t="s">
        <v>1735</v>
      </c>
      <c r="S186" s="189">
        <v>0</v>
      </c>
      <c r="T186" s="189">
        <v>1</v>
      </c>
      <c r="U186" s="189">
        <f t="shared" si="6"/>
        <v>16</v>
      </c>
      <c r="V186" s="189" t="s">
        <v>1208</v>
      </c>
      <c r="W186" s="189" t="s">
        <v>1192</v>
      </c>
      <c r="X186" s="189">
        <v>40</v>
      </c>
      <c r="Y186" s="189" t="s">
        <v>1208</v>
      </c>
      <c r="Z186" s="189" t="s">
        <v>1192</v>
      </c>
    </row>
    <row r="187" spans="1:26" ht="98.5" customHeight="1">
      <c r="A187" s="374"/>
      <c r="B187" s="379"/>
      <c r="C187" s="380"/>
      <c r="D187" s="381"/>
      <c r="E187" s="382"/>
      <c r="F187" s="29" t="s">
        <v>526</v>
      </c>
      <c r="G187" s="30" t="s">
        <v>527</v>
      </c>
      <c r="H187" s="31" t="s">
        <v>62</v>
      </c>
      <c r="I187" s="31" t="s">
        <v>120</v>
      </c>
      <c r="J187" s="43" t="s">
        <v>526</v>
      </c>
      <c r="K187" s="32" t="s">
        <v>1736</v>
      </c>
      <c r="L187" s="43" t="s">
        <v>1737</v>
      </c>
      <c r="M187" s="50" t="s">
        <v>900</v>
      </c>
      <c r="N187" s="35" t="s">
        <v>1224</v>
      </c>
      <c r="O187" s="50" t="s">
        <v>1738</v>
      </c>
      <c r="P187" s="36"/>
      <c r="Q187" s="39"/>
      <c r="R187" s="190" t="s">
        <v>1739</v>
      </c>
      <c r="S187" s="383" t="s">
        <v>1740</v>
      </c>
      <c r="T187" s="383" t="s">
        <v>1741</v>
      </c>
      <c r="U187" s="189">
        <f t="shared" si="6"/>
        <v>249.60000000000002</v>
      </c>
      <c r="V187" s="189" t="s">
        <v>1208</v>
      </c>
      <c r="W187" s="189" t="s">
        <v>1192</v>
      </c>
      <c r="X187" s="189">
        <f>4*2*3+600</f>
        <v>624</v>
      </c>
      <c r="Y187" s="189" t="s">
        <v>1208</v>
      </c>
      <c r="Z187" s="189" t="s">
        <v>1192</v>
      </c>
    </row>
    <row r="188" spans="1:26" ht="40.5" customHeight="1">
      <c r="A188" s="374"/>
      <c r="B188" s="379"/>
      <c r="C188" s="380"/>
      <c r="D188" s="381"/>
      <c r="E188" s="382"/>
      <c r="F188" s="186" t="s">
        <v>528</v>
      </c>
      <c r="G188" s="187" t="s">
        <v>529</v>
      </c>
      <c r="H188" s="188" t="s">
        <v>62</v>
      </c>
      <c r="I188" s="188" t="s">
        <v>71</v>
      </c>
      <c r="J188" s="292" t="s">
        <v>528</v>
      </c>
      <c r="K188" s="384" t="str">
        <f>G188</f>
        <v>Adaptar i desplegar el model de governança dels espais naturals protegits</v>
      </c>
      <c r="L188" s="292" t="s">
        <v>1742</v>
      </c>
      <c r="M188" s="385" t="s">
        <v>900</v>
      </c>
      <c r="N188" s="293" t="s">
        <v>1155</v>
      </c>
      <c r="O188" s="294" t="s">
        <v>1743</v>
      </c>
      <c r="P188" s="36"/>
      <c r="Q188" s="30" t="s">
        <v>530</v>
      </c>
      <c r="R188" s="296" t="s">
        <v>1744</v>
      </c>
      <c r="S188" s="297">
        <v>1</v>
      </c>
      <c r="T188" s="297">
        <v>1</v>
      </c>
      <c r="U188" s="189">
        <f t="shared" si="6"/>
        <v>48</v>
      </c>
      <c r="V188" s="296" t="s">
        <v>1208</v>
      </c>
      <c r="W188" s="296" t="s">
        <v>1192</v>
      </c>
      <c r="X188" s="297">
        <f>2*5*12</f>
        <v>120</v>
      </c>
      <c r="Y188" s="296" t="s">
        <v>1208</v>
      </c>
      <c r="Z188" s="296" t="s">
        <v>1192</v>
      </c>
    </row>
    <row r="189" spans="1:26" s="1" customFormat="1" ht="53.5" customHeight="1">
      <c r="A189" s="374"/>
      <c r="B189" s="379"/>
      <c r="C189" s="380"/>
      <c r="D189" s="386"/>
      <c r="E189" s="387"/>
      <c r="F189" s="195"/>
      <c r="G189" s="196"/>
      <c r="H189" s="197"/>
      <c r="I189" s="197"/>
      <c r="J189" s="305"/>
      <c r="K189" s="388"/>
      <c r="L189" s="305"/>
      <c r="M189" s="389"/>
      <c r="N189" s="308"/>
      <c r="O189" s="309"/>
      <c r="P189" s="36"/>
      <c r="Q189" s="30"/>
      <c r="R189" s="311"/>
      <c r="S189" s="312"/>
      <c r="T189" s="312"/>
      <c r="U189" s="189">
        <f t="shared" si="6"/>
        <v>0</v>
      </c>
      <c r="V189" s="311"/>
      <c r="W189" s="311"/>
      <c r="X189" s="312"/>
      <c r="Y189" s="311"/>
      <c r="Z189" s="311"/>
    </row>
    <row r="190" spans="1:26" ht="153.5" customHeight="1">
      <c r="A190" s="374"/>
      <c r="B190" s="375">
        <v>16</v>
      </c>
      <c r="C190" s="390" t="s">
        <v>531</v>
      </c>
      <c r="D190" s="67" t="s">
        <v>532</v>
      </c>
      <c r="E190" s="391" t="s">
        <v>533</v>
      </c>
      <c r="F190" s="29" t="s">
        <v>534</v>
      </c>
      <c r="G190" s="30" t="s">
        <v>1745</v>
      </c>
      <c r="H190" s="31" t="s">
        <v>62</v>
      </c>
      <c r="I190" s="31" t="s">
        <v>71</v>
      </c>
      <c r="J190" s="43" t="s">
        <v>534</v>
      </c>
      <c r="K190" s="32" t="s">
        <v>1746</v>
      </c>
      <c r="L190" s="33"/>
      <c r="M190" s="50" t="s">
        <v>900</v>
      </c>
      <c r="N190" s="35" t="s">
        <v>1155</v>
      </c>
      <c r="O190" s="50" t="s">
        <v>1747</v>
      </c>
      <c r="P190" s="36"/>
      <c r="Q190" s="39" t="s">
        <v>535</v>
      </c>
      <c r="R190" s="190" t="s">
        <v>1748</v>
      </c>
      <c r="S190" s="189">
        <f>4*150</f>
        <v>600</v>
      </c>
      <c r="T190" s="189">
        <f>190*4</f>
        <v>760</v>
      </c>
      <c r="U190" s="189">
        <f t="shared" si="6"/>
        <v>816</v>
      </c>
      <c r="V190" s="189" t="s">
        <v>1749</v>
      </c>
      <c r="W190" s="190" t="s">
        <v>1750</v>
      </c>
      <c r="X190" s="189">
        <f>680*3</f>
        <v>2040</v>
      </c>
      <c r="Y190" s="189" t="s">
        <v>1749</v>
      </c>
      <c r="Z190" s="190" t="s">
        <v>1750</v>
      </c>
    </row>
    <row r="191" spans="1:26" ht="132" customHeight="1">
      <c r="A191" s="374"/>
      <c r="B191" s="379"/>
      <c r="C191" s="392"/>
      <c r="D191" s="377" t="s">
        <v>536</v>
      </c>
      <c r="E191" s="378" t="s">
        <v>537</v>
      </c>
      <c r="F191" s="29" t="s">
        <v>538</v>
      </c>
      <c r="G191" s="30" t="s">
        <v>1751</v>
      </c>
      <c r="H191" s="31" t="s">
        <v>62</v>
      </c>
      <c r="I191" s="31" t="s">
        <v>71</v>
      </c>
      <c r="J191" s="43" t="s">
        <v>538</v>
      </c>
      <c r="K191" s="32" t="str">
        <f>G191</f>
        <v>Planificar i detectar les necessitats de contractació del l'ENP per a l'optimització dels contractes a nivell de Xarxa i gestionar els contractes</v>
      </c>
      <c r="L191" s="33"/>
      <c r="M191" s="50" t="s">
        <v>900</v>
      </c>
      <c r="N191" s="35" t="s">
        <v>1224</v>
      </c>
      <c r="O191" s="50" t="s">
        <v>1752</v>
      </c>
      <c r="P191" s="36"/>
      <c r="Q191" s="37" t="s">
        <v>539</v>
      </c>
      <c r="R191" s="190" t="s">
        <v>1753</v>
      </c>
      <c r="S191" s="189">
        <v>4</v>
      </c>
      <c r="T191" s="189">
        <v>6</v>
      </c>
      <c r="U191" s="189">
        <f t="shared" si="6"/>
        <v>160</v>
      </c>
      <c r="V191" s="189" t="s">
        <v>1208</v>
      </c>
      <c r="W191" s="189" t="s">
        <v>1192</v>
      </c>
      <c r="X191" s="189">
        <f>5*80</f>
        <v>400</v>
      </c>
      <c r="Y191" s="189" t="s">
        <v>1208</v>
      </c>
      <c r="Z191" s="189" t="s">
        <v>1192</v>
      </c>
    </row>
    <row r="192" spans="1:26" ht="146" customHeight="1">
      <c r="A192" s="374"/>
      <c r="B192" s="379"/>
      <c r="C192" s="392"/>
      <c r="D192" s="381"/>
      <c r="E192" s="382"/>
      <c r="F192" s="29" t="s">
        <v>540</v>
      </c>
      <c r="G192" s="68" t="s">
        <v>1754</v>
      </c>
      <c r="H192" s="31" t="s">
        <v>62</v>
      </c>
      <c r="I192" s="31" t="s">
        <v>71</v>
      </c>
      <c r="J192" s="43" t="s">
        <v>540</v>
      </c>
      <c r="K192" s="32" t="s">
        <v>1755</v>
      </c>
      <c r="L192" s="43" t="s">
        <v>1756</v>
      </c>
      <c r="M192" s="32" t="s">
        <v>586</v>
      </c>
      <c r="N192" s="35" t="s">
        <v>1224</v>
      </c>
      <c r="O192" s="32" t="s">
        <v>1757</v>
      </c>
      <c r="P192" s="36"/>
      <c r="Q192" s="37"/>
      <c r="R192" s="190" t="s">
        <v>1758</v>
      </c>
      <c r="S192" s="189">
        <v>4</v>
      </c>
      <c r="T192" s="189">
        <v>12</v>
      </c>
      <c r="U192" s="189">
        <f t="shared" si="6"/>
        <v>96</v>
      </c>
      <c r="V192" s="190" t="s">
        <v>1387</v>
      </c>
      <c r="W192" s="190" t="s">
        <v>1568</v>
      </c>
      <c r="X192" s="189">
        <f>8*30</f>
        <v>240</v>
      </c>
      <c r="Y192" s="190" t="s">
        <v>1387</v>
      </c>
      <c r="Z192" s="190" t="s">
        <v>1568</v>
      </c>
    </row>
    <row r="193" spans="1:26" ht="84.65" customHeight="1">
      <c r="A193" s="374"/>
      <c r="B193" s="379"/>
      <c r="C193" s="392"/>
      <c r="D193" s="386"/>
      <c r="E193" s="387"/>
      <c r="F193" s="29" t="s">
        <v>541</v>
      </c>
      <c r="G193" s="68" t="s">
        <v>542</v>
      </c>
      <c r="H193" s="31" t="s">
        <v>62</v>
      </c>
      <c r="I193" s="31" t="s">
        <v>71</v>
      </c>
      <c r="J193" s="43" t="s">
        <v>541</v>
      </c>
      <c r="K193" s="32" t="str">
        <f t="shared" ref="K193:K199" si="7">G193</f>
        <v>Establir i renovar en temps i forma convenis de col·laboració, convenis marc, acords, protocols i altres instruments de col·laboració.</v>
      </c>
      <c r="L193" s="33"/>
      <c r="M193" s="32" t="s">
        <v>900</v>
      </c>
      <c r="N193" s="35" t="s">
        <v>1178</v>
      </c>
      <c r="O193" s="32" t="s">
        <v>1759</v>
      </c>
      <c r="P193" s="36"/>
      <c r="Q193" s="39" t="s">
        <v>543</v>
      </c>
      <c r="R193" s="190" t="s">
        <v>1760</v>
      </c>
      <c r="S193" s="189">
        <v>2</v>
      </c>
      <c r="T193" s="189">
        <v>4</v>
      </c>
      <c r="U193" s="189">
        <f t="shared" si="6"/>
        <v>24</v>
      </c>
      <c r="V193" s="189" t="s">
        <v>1208</v>
      </c>
      <c r="W193" s="189" t="s">
        <v>1192</v>
      </c>
      <c r="X193" s="189">
        <f>3*20</f>
        <v>60</v>
      </c>
      <c r="Y193" s="189" t="s">
        <v>1208</v>
      </c>
      <c r="Z193" s="189" t="s">
        <v>1192</v>
      </c>
    </row>
    <row r="194" spans="1:26" ht="170.5" customHeight="1">
      <c r="A194" s="374"/>
      <c r="B194" s="379"/>
      <c r="C194" s="392"/>
      <c r="D194" s="393" t="s">
        <v>544</v>
      </c>
      <c r="E194" s="394" t="s">
        <v>545</v>
      </c>
      <c r="F194" s="29" t="s">
        <v>546</v>
      </c>
      <c r="G194" s="68" t="s">
        <v>547</v>
      </c>
      <c r="H194" s="31" t="s">
        <v>62</v>
      </c>
      <c r="I194" s="31" t="s">
        <v>71</v>
      </c>
      <c r="J194" s="43" t="s">
        <v>546</v>
      </c>
      <c r="K194" s="32" t="str">
        <f t="shared" si="7"/>
        <v>Optimitzar l'elaboració d'informes</v>
      </c>
      <c r="L194" s="33"/>
      <c r="M194" s="32" t="s">
        <v>900</v>
      </c>
      <c r="N194" s="35" t="s">
        <v>1224</v>
      </c>
      <c r="O194" s="32" t="s">
        <v>1761</v>
      </c>
      <c r="P194" s="36"/>
      <c r="Q194" s="37"/>
      <c r="R194" s="190" t="s">
        <v>1762</v>
      </c>
      <c r="S194" s="189">
        <v>3</v>
      </c>
      <c r="T194" s="189">
        <v>6</v>
      </c>
      <c r="U194" s="189">
        <f t="shared" si="6"/>
        <v>100</v>
      </c>
      <c r="V194" s="189" t="s">
        <v>1208</v>
      </c>
      <c r="W194" s="190" t="s">
        <v>1309</v>
      </c>
      <c r="X194" s="189">
        <f>5*50</f>
        <v>250</v>
      </c>
      <c r="Y194" s="189" t="s">
        <v>1208</v>
      </c>
      <c r="Z194" s="190" t="s">
        <v>1309</v>
      </c>
    </row>
    <row r="195" spans="1:26" ht="68.5" customHeight="1">
      <c r="A195" s="374"/>
      <c r="B195" s="379"/>
      <c r="C195" s="392"/>
      <c r="D195" s="395"/>
      <c r="E195" s="396"/>
      <c r="F195" s="29" t="s">
        <v>548</v>
      </c>
      <c r="G195" s="30" t="s">
        <v>549</v>
      </c>
      <c r="H195" s="31" t="s">
        <v>62</v>
      </c>
      <c r="I195" s="31" t="s">
        <v>71</v>
      </c>
      <c r="J195" s="43" t="s">
        <v>548</v>
      </c>
      <c r="K195" s="32" t="str">
        <f t="shared" si="7"/>
        <v>Adequar i actualitzar els procediments i tramitacions realitzats des de l'ENP als nous processos i eines conjuntes proposades des de Serveis Centrals</v>
      </c>
      <c r="L195" s="33"/>
      <c r="M195" s="50" t="s">
        <v>586</v>
      </c>
      <c r="N195" s="35" t="s">
        <v>1224</v>
      </c>
      <c r="O195" s="50" t="s">
        <v>1763</v>
      </c>
      <c r="P195" s="36"/>
      <c r="Q195" s="39" t="s">
        <v>550</v>
      </c>
      <c r="R195" s="190" t="s">
        <v>1764</v>
      </c>
      <c r="S195" s="189">
        <v>3</v>
      </c>
      <c r="T195" s="189">
        <v>6</v>
      </c>
      <c r="U195" s="189">
        <f t="shared" si="6"/>
        <v>160</v>
      </c>
      <c r="V195" s="189" t="s">
        <v>1208</v>
      </c>
      <c r="W195" s="190" t="s">
        <v>1765</v>
      </c>
      <c r="X195" s="189">
        <f>5*80</f>
        <v>400</v>
      </c>
      <c r="Y195" s="189" t="s">
        <v>1208</v>
      </c>
      <c r="Z195" s="190" t="s">
        <v>1765</v>
      </c>
    </row>
    <row r="196" spans="1:26" ht="125.5" customHeight="1">
      <c r="A196" s="374"/>
      <c r="B196" s="379"/>
      <c r="C196" s="392"/>
      <c r="D196" s="395"/>
      <c r="E196" s="396"/>
      <c r="F196" s="29" t="s">
        <v>551</v>
      </c>
      <c r="G196" s="68" t="s">
        <v>552</v>
      </c>
      <c r="H196" s="31" t="s">
        <v>62</v>
      </c>
      <c r="I196" s="31" t="s">
        <v>71</v>
      </c>
      <c r="J196" s="43" t="s">
        <v>551</v>
      </c>
      <c r="K196" s="32" t="str">
        <f t="shared" si="7"/>
        <v>Augmentar el coneixement de l'equip de treball en matèria de procediment administratiu</v>
      </c>
      <c r="L196" s="33"/>
      <c r="M196" s="50" t="s">
        <v>900</v>
      </c>
      <c r="N196" s="35" t="s">
        <v>1224</v>
      </c>
      <c r="O196" s="50" t="s">
        <v>1766</v>
      </c>
      <c r="P196" s="36"/>
      <c r="Q196" s="37"/>
      <c r="R196" s="190" t="s">
        <v>1767</v>
      </c>
      <c r="S196" s="189">
        <v>8</v>
      </c>
      <c r="T196" s="189">
        <v>14</v>
      </c>
      <c r="U196" s="189">
        <f t="shared" si="6"/>
        <v>96</v>
      </c>
      <c r="V196" s="189" t="s">
        <v>1208</v>
      </c>
      <c r="W196" s="190" t="s">
        <v>1768</v>
      </c>
      <c r="X196" s="189">
        <f>12*20</f>
        <v>240</v>
      </c>
      <c r="Y196" s="189" t="s">
        <v>1208</v>
      </c>
      <c r="Z196" s="190" t="s">
        <v>1768</v>
      </c>
    </row>
    <row r="197" spans="1:26" ht="41" customHeight="1">
      <c r="A197" s="374"/>
      <c r="B197" s="379"/>
      <c r="C197" s="392"/>
      <c r="D197" s="395"/>
      <c r="E197" s="396"/>
      <c r="F197" s="29" t="s">
        <v>553</v>
      </c>
      <c r="G197" s="30" t="s">
        <v>554</v>
      </c>
      <c r="H197" s="31" t="s">
        <v>82</v>
      </c>
      <c r="I197" s="31" t="s">
        <v>71</v>
      </c>
      <c r="J197" s="43" t="s">
        <v>553</v>
      </c>
      <c r="K197" s="32" t="str">
        <f t="shared" si="7"/>
        <v>Garantir la transparència administrativa</v>
      </c>
      <c r="L197" s="33"/>
      <c r="M197" s="50" t="s">
        <v>900</v>
      </c>
      <c r="N197" s="35" t="s">
        <v>1224</v>
      </c>
      <c r="O197" s="50" t="s">
        <v>1769</v>
      </c>
      <c r="P197" s="36"/>
      <c r="Q197" s="37"/>
      <c r="R197" s="190" t="s">
        <v>1770</v>
      </c>
      <c r="S197" s="189">
        <v>8</v>
      </c>
      <c r="T197" s="189">
        <v>20</v>
      </c>
      <c r="U197" s="189">
        <f t="shared" si="6"/>
        <v>16.8</v>
      </c>
      <c r="V197" s="189" t="s">
        <v>1208</v>
      </c>
      <c r="W197" s="190" t="s">
        <v>1768</v>
      </c>
      <c r="X197" s="189">
        <f>14*3</f>
        <v>42</v>
      </c>
      <c r="Y197" s="189" t="s">
        <v>1208</v>
      </c>
      <c r="Z197" s="190" t="s">
        <v>1768</v>
      </c>
    </row>
    <row r="198" spans="1:26" ht="81.5" customHeight="1">
      <c r="A198" s="374"/>
      <c r="B198" s="379"/>
      <c r="C198" s="392"/>
      <c r="D198" s="395"/>
      <c r="E198" s="396"/>
      <c r="F198" s="29" t="s">
        <v>1086</v>
      </c>
      <c r="G198" s="30" t="s">
        <v>1771</v>
      </c>
      <c r="H198" s="31" t="s">
        <v>62</v>
      </c>
      <c r="I198" s="31" t="s">
        <v>120</v>
      </c>
      <c r="J198" s="43" t="s">
        <v>1086</v>
      </c>
      <c r="K198" s="32" t="str">
        <f t="shared" si="7"/>
        <v>Millorar i mantenir el material, infraestructures i equipaments de gestió de l'espai terrestre</v>
      </c>
      <c r="L198" s="33"/>
      <c r="M198" s="50" t="s">
        <v>900</v>
      </c>
      <c r="N198" s="35" t="s">
        <v>1155</v>
      </c>
      <c r="O198" s="50" t="s">
        <v>1772</v>
      </c>
      <c r="P198" s="36"/>
      <c r="Q198" s="30"/>
      <c r="R198" s="190" t="s">
        <v>1773</v>
      </c>
      <c r="S198" s="190" t="s">
        <v>1774</v>
      </c>
      <c r="T198" s="190" t="s">
        <v>1775</v>
      </c>
      <c r="U198" s="189">
        <f t="shared" si="6"/>
        <v>264</v>
      </c>
      <c r="V198" s="189" t="s">
        <v>1208</v>
      </c>
      <c r="W198" s="190" t="s">
        <v>1776</v>
      </c>
      <c r="X198" s="189">
        <f>3*200+10*6</f>
        <v>660</v>
      </c>
      <c r="Y198" s="189" t="s">
        <v>1208</v>
      </c>
      <c r="Z198" s="190" t="s">
        <v>1776</v>
      </c>
    </row>
    <row r="199" spans="1:26" ht="59.5" customHeight="1">
      <c r="A199" s="374"/>
      <c r="B199" s="379"/>
      <c r="C199" s="392"/>
      <c r="D199" s="397"/>
      <c r="E199" s="398"/>
      <c r="F199" s="29" t="s">
        <v>1082</v>
      </c>
      <c r="G199" s="30" t="s">
        <v>1777</v>
      </c>
      <c r="H199" s="31" t="s">
        <v>62</v>
      </c>
      <c r="I199" s="31" t="s">
        <v>71</v>
      </c>
      <c r="J199" s="43" t="s">
        <v>1082</v>
      </c>
      <c r="K199" s="32" t="str">
        <f t="shared" si="7"/>
        <v>Millorar i mantenir el material, infraestructures i equipaments de gestió de l'espai marí</v>
      </c>
      <c r="L199" s="33"/>
      <c r="M199" s="50"/>
      <c r="N199" s="35" t="s">
        <v>1155</v>
      </c>
      <c r="O199" s="50" t="s">
        <v>1778</v>
      </c>
      <c r="P199" s="36"/>
      <c r="Q199" s="30"/>
      <c r="R199" s="190" t="s">
        <v>1779</v>
      </c>
      <c r="S199" s="190">
        <v>200</v>
      </c>
      <c r="T199" s="190">
        <v>221</v>
      </c>
      <c r="U199" s="189">
        <f t="shared" si="6"/>
        <v>320</v>
      </c>
      <c r="V199" s="189" t="s">
        <v>1208</v>
      </c>
      <c r="W199" s="190" t="s">
        <v>1780</v>
      </c>
      <c r="X199" s="189">
        <f>1*200*4</f>
        <v>800</v>
      </c>
      <c r="Y199" s="189" t="s">
        <v>1208</v>
      </c>
      <c r="Z199" s="190" t="s">
        <v>1780</v>
      </c>
    </row>
    <row r="200" spans="1:26" ht="105.75" customHeight="1">
      <c r="A200" s="374"/>
      <c r="B200" s="379"/>
      <c r="C200" s="392"/>
      <c r="D200" s="67" t="s">
        <v>556</v>
      </c>
      <c r="E200" s="391" t="s">
        <v>557</v>
      </c>
      <c r="F200" s="29" t="s">
        <v>558</v>
      </c>
      <c r="G200" s="30" t="s">
        <v>559</v>
      </c>
      <c r="H200" s="31" t="s">
        <v>62</v>
      </c>
      <c r="I200" s="31" t="s">
        <v>71</v>
      </c>
      <c r="J200" s="43" t="s">
        <v>558</v>
      </c>
      <c r="K200" s="32" t="s">
        <v>1781</v>
      </c>
      <c r="L200" s="33" t="s">
        <v>1782</v>
      </c>
      <c r="M200" s="50" t="s">
        <v>900</v>
      </c>
      <c r="N200" s="35" t="s">
        <v>1155</v>
      </c>
      <c r="O200" s="50" t="s">
        <v>1783</v>
      </c>
      <c r="P200" s="36"/>
      <c r="Q200" s="39" t="s">
        <v>560</v>
      </c>
      <c r="R200" s="190" t="s">
        <v>1784</v>
      </c>
      <c r="S200" s="190">
        <v>1</v>
      </c>
      <c r="T200" s="190">
        <v>3</v>
      </c>
      <c r="U200" s="189">
        <f t="shared" si="6"/>
        <v>160</v>
      </c>
      <c r="V200" s="189" t="s">
        <v>1208</v>
      </c>
      <c r="W200" s="190" t="s">
        <v>1776</v>
      </c>
      <c r="X200" s="190">
        <f>2*200</f>
        <v>400</v>
      </c>
      <c r="Y200" s="189" t="s">
        <v>1208</v>
      </c>
      <c r="Z200" s="190" t="s">
        <v>1776</v>
      </c>
    </row>
    <row r="201" spans="1:26" ht="114.65" customHeight="1">
      <c r="A201" s="374"/>
      <c r="B201" s="379"/>
      <c r="C201" s="392"/>
      <c r="D201" s="67" t="s">
        <v>564</v>
      </c>
      <c r="E201" s="391" t="s">
        <v>565</v>
      </c>
      <c r="F201" s="29" t="s">
        <v>561</v>
      </c>
      <c r="G201" s="30" t="s">
        <v>562</v>
      </c>
      <c r="H201" s="31" t="s">
        <v>62</v>
      </c>
      <c r="I201" s="31" t="s">
        <v>71</v>
      </c>
      <c r="J201" s="43" t="s">
        <v>561</v>
      </c>
      <c r="K201" s="32" t="str">
        <f>G201</f>
        <v>Tenir cobertes les pèrdues o danys materials del patrimoni de la Direcció General que hi ha a l'àmbit territorial del Parc, com a conseqüència de la materialització de qualsevol dels riscs emparats en el plec de prescripcions tècniques de la pòlissa.</v>
      </c>
      <c r="L201" s="33"/>
      <c r="M201" s="50" t="s">
        <v>900</v>
      </c>
      <c r="N201" s="35" t="s">
        <v>1155</v>
      </c>
      <c r="O201" s="50" t="s">
        <v>1785</v>
      </c>
      <c r="P201" s="36"/>
      <c r="Q201" s="39" t="s">
        <v>563</v>
      </c>
      <c r="R201" s="189" t="s">
        <v>1477</v>
      </c>
      <c r="S201" s="189">
        <v>2</v>
      </c>
      <c r="T201" s="189">
        <v>2</v>
      </c>
      <c r="U201" s="189">
        <f t="shared" si="6"/>
        <v>57.6</v>
      </c>
      <c r="V201" s="189" t="s">
        <v>1749</v>
      </c>
      <c r="W201" s="190" t="s">
        <v>1786</v>
      </c>
      <c r="X201" s="189">
        <f>6*4*6</f>
        <v>144</v>
      </c>
      <c r="Y201" s="189" t="s">
        <v>1749</v>
      </c>
      <c r="Z201" s="190" t="s">
        <v>1786</v>
      </c>
    </row>
    <row r="202" spans="1:26" ht="56.15" customHeight="1">
      <c r="A202" s="374"/>
      <c r="B202" s="379"/>
      <c r="C202" s="392"/>
      <c r="D202" s="377" t="s">
        <v>568</v>
      </c>
      <c r="E202" s="399" t="s">
        <v>569</v>
      </c>
      <c r="F202" s="29" t="s">
        <v>566</v>
      </c>
      <c r="G202" s="30" t="s">
        <v>1787</v>
      </c>
      <c r="H202" s="31" t="s">
        <v>62</v>
      </c>
      <c r="I202" s="31" t="s">
        <v>71</v>
      </c>
      <c r="J202" s="43" t="s">
        <v>566</v>
      </c>
      <c r="K202" s="32" t="s">
        <v>1788</v>
      </c>
      <c r="L202" s="43" t="s">
        <v>1789</v>
      </c>
      <c r="M202" s="34" t="s">
        <v>900</v>
      </c>
      <c r="N202" s="35" t="s">
        <v>1178</v>
      </c>
      <c r="O202" s="34" t="s">
        <v>1790</v>
      </c>
      <c r="P202" s="36"/>
      <c r="Q202" s="37" t="s">
        <v>567</v>
      </c>
      <c r="R202" s="189" t="s">
        <v>1477</v>
      </c>
      <c r="S202" s="189">
        <v>2</v>
      </c>
      <c r="T202" s="189">
        <v>4</v>
      </c>
      <c r="U202" s="189">
        <f t="shared" si="6"/>
        <v>144</v>
      </c>
      <c r="V202" s="189" t="s">
        <v>1335</v>
      </c>
      <c r="W202" s="190" t="s">
        <v>1462</v>
      </c>
      <c r="X202" s="189">
        <f>3*120</f>
        <v>360</v>
      </c>
      <c r="Y202" s="189" t="s">
        <v>1335</v>
      </c>
      <c r="Z202" s="190" t="s">
        <v>1462</v>
      </c>
    </row>
    <row r="203" spans="1:26" ht="56.15" customHeight="1">
      <c r="A203" s="374"/>
      <c r="B203" s="379"/>
      <c r="C203" s="392"/>
      <c r="D203" s="381"/>
      <c r="E203" s="400"/>
      <c r="F203" s="186" t="s">
        <v>570</v>
      </c>
      <c r="G203" s="187" t="s">
        <v>1791</v>
      </c>
      <c r="H203" s="31" t="s">
        <v>82</v>
      </c>
      <c r="I203" s="31" t="s">
        <v>71</v>
      </c>
      <c r="J203" s="43" t="s">
        <v>1792</v>
      </c>
      <c r="K203" s="32" t="s">
        <v>1793</v>
      </c>
      <c r="L203" s="33"/>
      <c r="M203" s="34" t="s">
        <v>586</v>
      </c>
      <c r="N203" s="35" t="s">
        <v>1155</v>
      </c>
      <c r="O203" s="34" t="s">
        <v>1794</v>
      </c>
      <c r="P203" s="36"/>
      <c r="Q203" s="37"/>
      <c r="R203" s="189" t="s">
        <v>1477</v>
      </c>
      <c r="S203" s="189">
        <v>1</v>
      </c>
      <c r="T203" s="189">
        <v>2</v>
      </c>
      <c r="U203" s="189">
        <f t="shared" si="6"/>
        <v>96</v>
      </c>
      <c r="V203" s="189" t="s">
        <v>1208</v>
      </c>
      <c r="W203" s="190" t="s">
        <v>1256</v>
      </c>
      <c r="X203" s="189">
        <f>2*120</f>
        <v>240</v>
      </c>
      <c r="Y203" s="189" t="s">
        <v>1208</v>
      </c>
      <c r="Z203" s="190" t="s">
        <v>1256</v>
      </c>
    </row>
    <row r="204" spans="1:26" ht="73" customHeight="1">
      <c r="A204" s="374"/>
      <c r="B204" s="379"/>
      <c r="C204" s="392"/>
      <c r="D204" s="381"/>
      <c r="E204" s="400"/>
      <c r="F204" s="195"/>
      <c r="G204" s="196"/>
      <c r="H204" s="31" t="s">
        <v>82</v>
      </c>
      <c r="I204" s="31" t="s">
        <v>71</v>
      </c>
      <c r="J204" s="43" t="s">
        <v>1092</v>
      </c>
      <c r="K204" s="32" t="s">
        <v>1795</v>
      </c>
      <c r="L204" s="33"/>
      <c r="M204" s="34" t="s">
        <v>586</v>
      </c>
      <c r="N204" s="35" t="s">
        <v>1155</v>
      </c>
      <c r="O204" s="34" t="s">
        <v>1796</v>
      </c>
      <c r="P204" s="36"/>
      <c r="Q204" s="37"/>
      <c r="R204" s="189" t="s">
        <v>1477</v>
      </c>
      <c r="S204" s="189">
        <v>1</v>
      </c>
      <c r="T204" s="189">
        <v>2</v>
      </c>
      <c r="U204" s="189">
        <f t="shared" si="6"/>
        <v>96</v>
      </c>
      <c r="V204" s="189" t="s">
        <v>1208</v>
      </c>
      <c r="W204" s="190" t="s">
        <v>1439</v>
      </c>
      <c r="X204" s="189">
        <f>2*120</f>
        <v>240</v>
      </c>
      <c r="Y204" s="189" t="s">
        <v>1208</v>
      </c>
      <c r="Z204" s="190" t="s">
        <v>1439</v>
      </c>
    </row>
    <row r="205" spans="1:26" ht="73" customHeight="1">
      <c r="A205" s="374"/>
      <c r="B205" s="379"/>
      <c r="C205" s="392"/>
      <c r="D205" s="381"/>
      <c r="E205" s="400"/>
      <c r="F205" s="29" t="s">
        <v>571</v>
      </c>
      <c r="G205" s="30" t="s">
        <v>1797</v>
      </c>
      <c r="H205" s="31" t="s">
        <v>82</v>
      </c>
      <c r="I205" s="31" t="s">
        <v>71</v>
      </c>
      <c r="J205" s="43" t="s">
        <v>571</v>
      </c>
      <c r="K205" s="32" t="str">
        <f>G205</f>
        <v>Gestionar, enfortir i consolidar l'equip de gestió del parc</v>
      </c>
      <c r="L205" s="33"/>
      <c r="M205" s="34" t="s">
        <v>586</v>
      </c>
      <c r="N205" s="35" t="s">
        <v>1155</v>
      </c>
      <c r="O205" s="34" t="s">
        <v>1798</v>
      </c>
      <c r="P205" s="36"/>
      <c r="Q205" s="37"/>
      <c r="R205" s="189" t="s">
        <v>1477</v>
      </c>
      <c r="S205" s="189">
        <v>3</v>
      </c>
      <c r="T205" s="189">
        <v>3</v>
      </c>
      <c r="U205" s="189">
        <f t="shared" si="6"/>
        <v>105.60000000000001</v>
      </c>
      <c r="V205" s="189" t="s">
        <v>1208</v>
      </c>
      <c r="W205" s="189" t="s">
        <v>1799</v>
      </c>
      <c r="X205" s="189">
        <f>4*12*3+60+60</f>
        <v>264</v>
      </c>
      <c r="Y205" s="189" t="s">
        <v>1208</v>
      </c>
      <c r="Z205" s="189" t="s">
        <v>1799</v>
      </c>
    </row>
    <row r="206" spans="1:26" ht="58">
      <c r="A206" s="374"/>
      <c r="B206" s="379"/>
      <c r="C206" s="392"/>
      <c r="D206" s="401"/>
      <c r="E206" s="402"/>
      <c r="F206" s="29" t="s">
        <v>1108</v>
      </c>
      <c r="G206" s="30" t="s">
        <v>1800</v>
      </c>
      <c r="H206" s="31" t="s">
        <v>82</v>
      </c>
      <c r="I206" s="31" t="s">
        <v>71</v>
      </c>
      <c r="J206" s="43" t="s">
        <v>1108</v>
      </c>
      <c r="K206" s="32" t="str">
        <f>G206</f>
        <v>Gestió ordinària i imprevistos no contemplats en cap dels objectius operatius anterior</v>
      </c>
      <c r="L206" s="33"/>
      <c r="M206" s="34" t="s">
        <v>586</v>
      </c>
      <c r="N206" s="35" t="s">
        <v>1155</v>
      </c>
      <c r="O206" s="34" t="s">
        <v>1801</v>
      </c>
      <c r="P206" s="36"/>
      <c r="Q206" s="37"/>
      <c r="R206" s="189" t="s">
        <v>1802</v>
      </c>
      <c r="S206" s="403">
        <f>SUM(S5:S205)*0.2</f>
        <v>545.4</v>
      </c>
      <c r="T206" s="403">
        <f>SUM(T5:T205)*0.2</f>
        <v>791.75</v>
      </c>
      <c r="U206" s="189">
        <f t="shared" si="6"/>
        <v>3964.2800000000007</v>
      </c>
      <c r="V206" s="189" t="s">
        <v>1208</v>
      </c>
      <c r="W206" s="189" t="s">
        <v>1799</v>
      </c>
      <c r="X206" s="189">
        <f>SUM(X5:X205)*0.2</f>
        <v>9910.7000000000007</v>
      </c>
      <c r="Y206" s="189" t="s">
        <v>1208</v>
      </c>
      <c r="Z206" s="189" t="s">
        <v>1799</v>
      </c>
    </row>
  </sheetData>
  <autoFilter ref="A4:P185"/>
  <dataConsolidate/>
  <mergeCells count="175">
    <mergeCell ref="G203:G204"/>
    <mergeCell ref="V188:V189"/>
    <mergeCell ref="W188:W189"/>
    <mergeCell ref="X188:X189"/>
    <mergeCell ref="Y188:Y189"/>
    <mergeCell ref="Z188:Z189"/>
    <mergeCell ref="B190:B206"/>
    <mergeCell ref="C190:C206"/>
    <mergeCell ref="D191:D193"/>
    <mergeCell ref="E191:E193"/>
    <mergeCell ref="D194:D199"/>
    <mergeCell ref="M188:M189"/>
    <mergeCell ref="N188:N189"/>
    <mergeCell ref="O188:O189"/>
    <mergeCell ref="R188:R189"/>
    <mergeCell ref="S188:S189"/>
    <mergeCell ref="T188:T189"/>
    <mergeCell ref="G188:G189"/>
    <mergeCell ref="H188:H189"/>
    <mergeCell ref="I188:I189"/>
    <mergeCell ref="J188:J189"/>
    <mergeCell ref="K188:K189"/>
    <mergeCell ref="L188:L189"/>
    <mergeCell ref="A185:A206"/>
    <mergeCell ref="B185:B189"/>
    <mergeCell ref="C185:C189"/>
    <mergeCell ref="D185:D189"/>
    <mergeCell ref="E185:E189"/>
    <mergeCell ref="F188:F189"/>
    <mergeCell ref="E194:E199"/>
    <mergeCell ref="D202:D206"/>
    <mergeCell ref="E202:E206"/>
    <mergeCell ref="F203:F204"/>
    <mergeCell ref="D176:D179"/>
    <mergeCell ref="E176:E179"/>
    <mergeCell ref="B180:B184"/>
    <mergeCell ref="C180:C184"/>
    <mergeCell ref="D183:D184"/>
    <mergeCell ref="E183:E184"/>
    <mergeCell ref="E162:E165"/>
    <mergeCell ref="D166:D170"/>
    <mergeCell ref="E166:E170"/>
    <mergeCell ref="D171:D172"/>
    <mergeCell ref="E171:E172"/>
    <mergeCell ref="D173:D175"/>
    <mergeCell ref="E173:E175"/>
    <mergeCell ref="A152:A184"/>
    <mergeCell ref="B152:B179"/>
    <mergeCell ref="C152:C179"/>
    <mergeCell ref="D152:D154"/>
    <mergeCell ref="E152:E154"/>
    <mergeCell ref="D155:D158"/>
    <mergeCell ref="E155:E158"/>
    <mergeCell ref="D159:D161"/>
    <mergeCell ref="E159:E161"/>
    <mergeCell ref="D162:D165"/>
    <mergeCell ref="D143:D146"/>
    <mergeCell ref="E143:E146"/>
    <mergeCell ref="D148:D149"/>
    <mergeCell ref="E148:E149"/>
    <mergeCell ref="D150:D151"/>
    <mergeCell ref="E150:E151"/>
    <mergeCell ref="E132:E136"/>
    <mergeCell ref="D137:D138"/>
    <mergeCell ref="E137:E138"/>
    <mergeCell ref="D139:D140"/>
    <mergeCell ref="E139:E140"/>
    <mergeCell ref="D141:D142"/>
    <mergeCell ref="E141:E142"/>
    <mergeCell ref="A115:A151"/>
    <mergeCell ref="D115:D116"/>
    <mergeCell ref="E115:E116"/>
    <mergeCell ref="B117:B149"/>
    <mergeCell ref="C117:C149"/>
    <mergeCell ref="D117:D128"/>
    <mergeCell ref="E117:E128"/>
    <mergeCell ref="D129:D131"/>
    <mergeCell ref="E129:E131"/>
    <mergeCell ref="D132:D136"/>
    <mergeCell ref="W108:W109"/>
    <mergeCell ref="X108:X109"/>
    <mergeCell ref="Y108:Y109"/>
    <mergeCell ref="Z108:Z109"/>
    <mergeCell ref="C110:C114"/>
    <mergeCell ref="D110:D112"/>
    <mergeCell ref="E110:E112"/>
    <mergeCell ref="D113:D114"/>
    <mergeCell ref="E113:E114"/>
    <mergeCell ref="O108:O109"/>
    <mergeCell ref="R108:R109"/>
    <mergeCell ref="S108:S109"/>
    <mergeCell ref="T108:T109"/>
    <mergeCell ref="U108:U109"/>
    <mergeCell ref="V108:V109"/>
    <mergeCell ref="G108:G109"/>
    <mergeCell ref="H108:H109"/>
    <mergeCell ref="I108:I109"/>
    <mergeCell ref="J108:J109"/>
    <mergeCell ref="K108:K109"/>
    <mergeCell ref="N108:N109"/>
    <mergeCell ref="A108:A109"/>
    <mergeCell ref="B108:B109"/>
    <mergeCell ref="C108:C109"/>
    <mergeCell ref="D108:D109"/>
    <mergeCell ref="E108:E109"/>
    <mergeCell ref="F108:F109"/>
    <mergeCell ref="D76:D79"/>
    <mergeCell ref="E76:E79"/>
    <mergeCell ref="D80:D85"/>
    <mergeCell ref="E80:E85"/>
    <mergeCell ref="D86:D91"/>
    <mergeCell ref="E86:E91"/>
    <mergeCell ref="D64:D65"/>
    <mergeCell ref="E64:E65"/>
    <mergeCell ref="D66:D68"/>
    <mergeCell ref="E66:E68"/>
    <mergeCell ref="D69:D75"/>
    <mergeCell ref="E69:E75"/>
    <mergeCell ref="D53:D56"/>
    <mergeCell ref="E53:E56"/>
    <mergeCell ref="D57:D59"/>
    <mergeCell ref="E57:E59"/>
    <mergeCell ref="D61:D63"/>
    <mergeCell ref="E61:E63"/>
    <mergeCell ref="D44:D45"/>
    <mergeCell ref="E44:E45"/>
    <mergeCell ref="D46:D48"/>
    <mergeCell ref="E46:E48"/>
    <mergeCell ref="D49:D52"/>
    <mergeCell ref="E49:E52"/>
    <mergeCell ref="D27:D30"/>
    <mergeCell ref="E27:E30"/>
    <mergeCell ref="D31:D33"/>
    <mergeCell ref="E31:E33"/>
    <mergeCell ref="B34:B45"/>
    <mergeCell ref="C34:C45"/>
    <mergeCell ref="D34:D36"/>
    <mergeCell ref="E34:E36"/>
    <mergeCell ref="D38:D43"/>
    <mergeCell ref="E38:E43"/>
    <mergeCell ref="D23:D26"/>
    <mergeCell ref="E23:E26"/>
    <mergeCell ref="F24:F25"/>
    <mergeCell ref="G24:G25"/>
    <mergeCell ref="H24:H25"/>
    <mergeCell ref="I24:I25"/>
    <mergeCell ref="D14:D22"/>
    <mergeCell ref="E14:E22"/>
    <mergeCell ref="F14:F15"/>
    <mergeCell ref="G14:G15"/>
    <mergeCell ref="H14:H15"/>
    <mergeCell ref="I14:I15"/>
    <mergeCell ref="F21:F22"/>
    <mergeCell ref="G21:G22"/>
    <mergeCell ref="H21:H22"/>
    <mergeCell ref="I21:I22"/>
    <mergeCell ref="D8:D13"/>
    <mergeCell ref="E8:E13"/>
    <mergeCell ref="F8:F9"/>
    <mergeCell ref="G8:G9"/>
    <mergeCell ref="H8:H9"/>
    <mergeCell ref="I8:I9"/>
    <mergeCell ref="F11:F12"/>
    <mergeCell ref="G11:G12"/>
    <mergeCell ref="H11:H12"/>
    <mergeCell ref="I11:I12"/>
    <mergeCell ref="S3:T3"/>
    <mergeCell ref="U3:W3"/>
    <mergeCell ref="X3:Z3"/>
    <mergeCell ref="D5:D7"/>
    <mergeCell ref="E5:E7"/>
    <mergeCell ref="F5:F6"/>
    <mergeCell ref="G5:G6"/>
    <mergeCell ref="H5:H6"/>
    <mergeCell ref="I5:I6"/>
  </mergeCells>
  <conditionalFormatting sqref="L172 H172:I172">
    <cfRule type="duplicateValues" dxfId="0" priority="1"/>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'[Pla EstrategicPNMMBT versió aprovada Junta Rectora 24 octubre 2025.xlsx]Full1'!#REF!</xm:f>
          </x14:formula1>
          <xm:sqref>M80 M5:M20 M23:M77 M83:M108 M110:M188 M190:M206</xm:sqref>
        </x14:dataValidation>
        <x14:dataValidation type="list" allowBlank="1" showInputMessage="1" showErrorMessage="1">
          <x14:formula1>
            <xm:f>'[Pla EstrategicPNMMBT versió aprovada Junta Rectora 24 octubre 2025.xlsx]Full1'!#REF!</xm:f>
          </x14:formula1>
          <xm:sqref>H16:I20 H5:I5 H7:I8 H10:I11 H13:I14 H23:I24 H26:I108 H110:I188 H190:I206 N80 N82:N84 N190:N206 N5:N33 N35:N77 N110:N188 N86:N108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topLeftCell="D1" workbookViewId="0">
      <selection activeCell="K4" sqref="K4"/>
    </sheetView>
  </sheetViews>
  <sheetFormatPr defaultColWidth="8.7265625" defaultRowHeight="14.5"/>
  <cols>
    <col min="1" max="1" width="14.26953125" customWidth="1"/>
    <col min="2" max="2" width="33" customWidth="1"/>
    <col min="3" max="3" width="53.26953125" customWidth="1"/>
    <col min="5" max="5" width="30" customWidth="1"/>
    <col min="7" max="7" width="45" customWidth="1"/>
    <col min="9" max="9" width="53.81640625" customWidth="1"/>
  </cols>
  <sheetData>
    <row r="1" spans="1:11">
      <c r="B1" s="4" t="s">
        <v>572</v>
      </c>
      <c r="C1" s="4" t="s">
        <v>573</v>
      </c>
      <c r="D1" s="2"/>
      <c r="E1" s="78" t="s">
        <v>574</v>
      </c>
      <c r="G1" s="149" t="s">
        <v>575</v>
      </c>
      <c r="I1" t="s">
        <v>576</v>
      </c>
      <c r="K1" t="s">
        <v>36</v>
      </c>
    </row>
    <row r="2" spans="1:11">
      <c r="A2" t="s">
        <v>577</v>
      </c>
      <c r="B2" s="147" t="s">
        <v>578</v>
      </c>
      <c r="C2" s="79" t="s">
        <v>579</v>
      </c>
      <c r="E2" s="73" t="s">
        <v>580</v>
      </c>
      <c r="G2" s="150"/>
      <c r="K2" t="s">
        <v>581</v>
      </c>
    </row>
    <row r="3" spans="1:11" ht="29">
      <c r="A3" t="s">
        <v>577</v>
      </c>
      <c r="B3" s="147" t="s">
        <v>582</v>
      </c>
      <c r="C3" s="79" t="s">
        <v>583</v>
      </c>
      <c r="E3" s="73" t="s">
        <v>39</v>
      </c>
      <c r="G3" s="150" t="s">
        <v>584</v>
      </c>
      <c r="I3" s="151" t="s">
        <v>585</v>
      </c>
      <c r="K3" t="s">
        <v>586</v>
      </c>
    </row>
    <row r="4" spans="1:11">
      <c r="A4" t="s">
        <v>577</v>
      </c>
      <c r="B4" s="147" t="s">
        <v>587</v>
      </c>
      <c r="C4" s="79" t="s">
        <v>588</v>
      </c>
      <c r="E4" s="73" t="s">
        <v>40</v>
      </c>
      <c r="G4" s="150" t="s">
        <v>589</v>
      </c>
      <c r="I4" s="152" t="s">
        <v>590</v>
      </c>
    </row>
    <row r="5" spans="1:11">
      <c r="A5" t="s">
        <v>591</v>
      </c>
      <c r="B5" s="148" t="s">
        <v>592</v>
      </c>
      <c r="C5" s="79" t="s">
        <v>593</v>
      </c>
      <c r="E5" s="73" t="s">
        <v>41</v>
      </c>
      <c r="G5" s="150" t="s">
        <v>594</v>
      </c>
      <c r="I5" s="151" t="s">
        <v>595</v>
      </c>
    </row>
    <row r="6" spans="1:11" ht="29">
      <c r="A6" t="s">
        <v>591</v>
      </c>
      <c r="B6" s="148" t="s">
        <v>596</v>
      </c>
      <c r="C6" s="79" t="s">
        <v>597</v>
      </c>
      <c r="E6" s="73" t="s">
        <v>42</v>
      </c>
      <c r="G6" s="150" t="s">
        <v>598</v>
      </c>
      <c r="I6" s="152" t="s">
        <v>599</v>
      </c>
    </row>
    <row r="7" spans="1:11" ht="29">
      <c r="A7" t="s">
        <v>600</v>
      </c>
      <c r="B7" s="147" t="s">
        <v>601</v>
      </c>
      <c r="C7" s="79" t="s">
        <v>602</v>
      </c>
      <c r="E7" s="73" t="s">
        <v>43</v>
      </c>
      <c r="G7" s="150" t="s">
        <v>603</v>
      </c>
      <c r="I7" s="151" t="s">
        <v>604</v>
      </c>
    </row>
    <row r="8" spans="1:11">
      <c r="A8" t="s">
        <v>605</v>
      </c>
      <c r="B8" s="148" t="s">
        <v>606</v>
      </c>
      <c r="C8" s="79" t="s">
        <v>607</v>
      </c>
      <c r="E8" s="73" t="s">
        <v>608</v>
      </c>
      <c r="G8" s="150" t="s">
        <v>609</v>
      </c>
      <c r="I8" s="152" t="s">
        <v>610</v>
      </c>
    </row>
    <row r="9" spans="1:11">
      <c r="A9" t="s">
        <v>605</v>
      </c>
      <c r="B9" s="148" t="s">
        <v>611</v>
      </c>
      <c r="C9" s="79" t="s">
        <v>612</v>
      </c>
      <c r="G9" s="150" t="s">
        <v>613</v>
      </c>
      <c r="I9" s="151" t="s">
        <v>614</v>
      </c>
    </row>
    <row r="10" spans="1:11">
      <c r="A10" t="s">
        <v>605</v>
      </c>
      <c r="B10" s="148" t="s">
        <v>38</v>
      </c>
      <c r="C10" s="79" t="s">
        <v>615</v>
      </c>
      <c r="G10" s="150" t="s">
        <v>616</v>
      </c>
      <c r="I10" s="152" t="s">
        <v>617</v>
      </c>
    </row>
    <row r="11" spans="1:11" ht="29">
      <c r="A11" t="s">
        <v>605</v>
      </c>
      <c r="B11" s="148" t="s">
        <v>618</v>
      </c>
      <c r="C11" s="79" t="s">
        <v>619</v>
      </c>
      <c r="G11" s="150" t="s">
        <v>620</v>
      </c>
      <c r="I11" s="151" t="s">
        <v>621</v>
      </c>
    </row>
    <row r="12" spans="1:11" ht="29">
      <c r="A12" t="s">
        <v>605</v>
      </c>
      <c r="B12" s="148" t="s">
        <v>622</v>
      </c>
      <c r="C12" s="79" t="s">
        <v>623</v>
      </c>
      <c r="G12" s="150" t="s">
        <v>624</v>
      </c>
      <c r="I12" s="152" t="s">
        <v>625</v>
      </c>
    </row>
    <row r="13" spans="1:11" ht="29">
      <c r="A13" t="s">
        <v>626</v>
      </c>
      <c r="B13" s="148" t="s">
        <v>627</v>
      </c>
      <c r="C13" s="79" t="s">
        <v>628</v>
      </c>
      <c r="G13" s="150" t="s">
        <v>629</v>
      </c>
      <c r="I13" s="151" t="s">
        <v>630</v>
      </c>
    </row>
    <row r="14" spans="1:11" ht="29">
      <c r="A14" t="s">
        <v>626</v>
      </c>
      <c r="B14" s="148" t="s">
        <v>631</v>
      </c>
      <c r="C14" s="79" t="s">
        <v>632</v>
      </c>
      <c r="G14" s="150" t="s">
        <v>633</v>
      </c>
      <c r="I14" s="152" t="s">
        <v>634</v>
      </c>
    </row>
    <row r="15" spans="1:11" ht="29">
      <c r="A15" t="s">
        <v>635</v>
      </c>
      <c r="B15" s="148" t="s">
        <v>635</v>
      </c>
      <c r="C15" s="79" t="s">
        <v>636</v>
      </c>
      <c r="G15" s="150" t="s">
        <v>637</v>
      </c>
      <c r="I15" s="151" t="s">
        <v>638</v>
      </c>
    </row>
    <row r="16" spans="1:11" ht="29">
      <c r="C16" s="79" t="s">
        <v>639</v>
      </c>
      <c r="G16" s="150" t="s">
        <v>640</v>
      </c>
      <c r="I16" s="152" t="s">
        <v>641</v>
      </c>
    </row>
    <row r="17" spans="3:9" ht="29">
      <c r="C17" s="79" t="s">
        <v>642</v>
      </c>
      <c r="G17" s="150" t="s">
        <v>643</v>
      </c>
      <c r="I17" s="151" t="s">
        <v>644</v>
      </c>
    </row>
    <row r="18" spans="3:9" ht="29">
      <c r="C18" s="79" t="s">
        <v>645</v>
      </c>
      <c r="G18" s="150" t="s">
        <v>646</v>
      </c>
      <c r="I18" s="152" t="s">
        <v>647</v>
      </c>
    </row>
    <row r="19" spans="3:9">
      <c r="C19" s="79" t="s">
        <v>635</v>
      </c>
      <c r="G19" s="150" t="s">
        <v>648</v>
      </c>
      <c r="I19" s="151" t="s">
        <v>649</v>
      </c>
    </row>
    <row r="20" spans="3:9">
      <c r="G20" s="150" t="s">
        <v>650</v>
      </c>
      <c r="I20" s="152" t="s">
        <v>651</v>
      </c>
    </row>
    <row r="21" spans="3:9">
      <c r="G21" s="150" t="s">
        <v>652</v>
      </c>
      <c r="I21" s="151" t="s">
        <v>653</v>
      </c>
    </row>
    <row r="22" spans="3:9">
      <c r="G22" s="150" t="s">
        <v>654</v>
      </c>
      <c r="I22" s="152" t="s">
        <v>655</v>
      </c>
    </row>
    <row r="23" spans="3:9">
      <c r="G23" s="150" t="s">
        <v>656</v>
      </c>
      <c r="I23" s="151" t="s">
        <v>657</v>
      </c>
    </row>
    <row r="24" spans="3:9">
      <c r="G24" s="150" t="s">
        <v>658</v>
      </c>
      <c r="I24" s="152" t="s">
        <v>659</v>
      </c>
    </row>
    <row r="25" spans="3:9">
      <c r="G25" s="150" t="s">
        <v>660</v>
      </c>
      <c r="I25" s="151" t="s">
        <v>661</v>
      </c>
    </row>
    <row r="26" spans="3:9">
      <c r="G26" s="150" t="s">
        <v>662</v>
      </c>
      <c r="I26" s="152" t="s">
        <v>663</v>
      </c>
    </row>
    <row r="27" spans="3:9">
      <c r="G27" s="150" t="s">
        <v>664</v>
      </c>
      <c r="I27" s="151" t="s">
        <v>665</v>
      </c>
    </row>
    <row r="28" spans="3:9">
      <c r="G28" s="150" t="s">
        <v>666</v>
      </c>
      <c r="I28" s="152" t="s">
        <v>667</v>
      </c>
    </row>
    <row r="29" spans="3:9">
      <c r="G29" s="150" t="s">
        <v>668</v>
      </c>
      <c r="I29" s="151" t="s">
        <v>669</v>
      </c>
    </row>
    <row r="30" spans="3:9">
      <c r="G30" s="150" t="s">
        <v>670</v>
      </c>
      <c r="I30" s="152" t="s">
        <v>671</v>
      </c>
    </row>
    <row r="31" spans="3:9">
      <c r="G31" s="150" t="s">
        <v>672</v>
      </c>
      <c r="I31" s="151" t="s">
        <v>673</v>
      </c>
    </row>
    <row r="32" spans="3:9">
      <c r="G32" s="150" t="s">
        <v>674</v>
      </c>
      <c r="I32" s="152" t="s">
        <v>675</v>
      </c>
    </row>
    <row r="33" spans="7:9">
      <c r="G33" s="150" t="s">
        <v>676</v>
      </c>
      <c r="I33" s="151" t="s">
        <v>677</v>
      </c>
    </row>
    <row r="34" spans="7:9">
      <c r="G34" s="150" t="s">
        <v>678</v>
      </c>
      <c r="I34" s="152" t="s">
        <v>679</v>
      </c>
    </row>
    <row r="35" spans="7:9">
      <c r="G35" s="150" t="s">
        <v>680</v>
      </c>
      <c r="I35" s="151" t="s">
        <v>681</v>
      </c>
    </row>
    <row r="36" spans="7:9">
      <c r="G36" s="150" t="s">
        <v>682</v>
      </c>
      <c r="I36" s="152" t="s">
        <v>669</v>
      </c>
    </row>
    <row r="37" spans="7:9">
      <c r="G37" s="150" t="s">
        <v>683</v>
      </c>
      <c r="I37" s="151" t="s">
        <v>684</v>
      </c>
    </row>
    <row r="38" spans="7:9">
      <c r="G38" s="150" t="s">
        <v>685</v>
      </c>
      <c r="I38" s="152" t="s">
        <v>686</v>
      </c>
    </row>
    <row r="39" spans="7:9">
      <c r="G39" s="150"/>
      <c r="I39" s="151" t="s">
        <v>687</v>
      </c>
    </row>
    <row r="40" spans="7:9">
      <c r="I40" s="152" t="s">
        <v>688</v>
      </c>
    </row>
    <row r="41" spans="7:9">
      <c r="I41" s="151" t="s">
        <v>689</v>
      </c>
    </row>
    <row r="42" spans="7:9">
      <c r="I42" s="152" t="s">
        <v>690</v>
      </c>
    </row>
    <row r="43" spans="7:9">
      <c r="I43" s="151" t="s">
        <v>691</v>
      </c>
    </row>
    <row r="44" spans="7:9">
      <c r="I44" s="152" t="s">
        <v>692</v>
      </c>
    </row>
    <row r="45" spans="7:9">
      <c r="I45" s="151" t="s">
        <v>693</v>
      </c>
    </row>
    <row r="46" spans="7:9">
      <c r="I46" s="152" t="s">
        <v>694</v>
      </c>
    </row>
    <row r="47" spans="7:9">
      <c r="I47" s="151" t="s">
        <v>695</v>
      </c>
    </row>
    <row r="48" spans="7:9">
      <c r="I48" s="152" t="s">
        <v>696</v>
      </c>
    </row>
    <row r="49" spans="9:9">
      <c r="I49" s="151" t="s">
        <v>697</v>
      </c>
    </row>
    <row r="50" spans="9:9">
      <c r="I50" s="152" t="s">
        <v>698</v>
      </c>
    </row>
    <row r="51" spans="9:9">
      <c r="I51" s="151" t="s">
        <v>699</v>
      </c>
    </row>
    <row r="52" spans="9:9">
      <c r="I52" s="152" t="s">
        <v>700</v>
      </c>
    </row>
    <row r="53" spans="9:9">
      <c r="I53" s="151" t="s">
        <v>701</v>
      </c>
    </row>
    <row r="54" spans="9:9">
      <c r="I54" s="152" t="s">
        <v>702</v>
      </c>
    </row>
    <row r="55" spans="9:9">
      <c r="I55" s="151" t="s">
        <v>703</v>
      </c>
    </row>
    <row r="56" spans="9:9">
      <c r="I56" s="152" t="s">
        <v>704</v>
      </c>
    </row>
    <row r="57" spans="9:9">
      <c r="I57" s="151" t="s">
        <v>705</v>
      </c>
    </row>
    <row r="58" spans="9:9">
      <c r="I58" s="152" t="s">
        <v>706</v>
      </c>
    </row>
    <row r="59" spans="9:9">
      <c r="I59" s="151" t="s">
        <v>707</v>
      </c>
    </row>
    <row r="60" spans="9:9">
      <c r="I60" s="152" t="s">
        <v>708</v>
      </c>
    </row>
    <row r="61" spans="9:9">
      <c r="I61" s="151" t="s">
        <v>709</v>
      </c>
    </row>
    <row r="62" spans="9:9">
      <c r="I62" s="152" t="s">
        <v>710</v>
      </c>
    </row>
    <row r="63" spans="9:9">
      <c r="I63" s="151" t="s">
        <v>711</v>
      </c>
    </row>
    <row r="64" spans="9:9">
      <c r="I64" s="152" t="s">
        <v>712</v>
      </c>
    </row>
    <row r="65" spans="9:9">
      <c r="I65" s="151" t="s">
        <v>713</v>
      </c>
    </row>
    <row r="66" spans="9:9">
      <c r="I66" s="152" t="s">
        <v>714</v>
      </c>
    </row>
    <row r="67" spans="9:9">
      <c r="I67" s="151" t="s">
        <v>715</v>
      </c>
    </row>
    <row r="68" spans="9:9">
      <c r="I68" s="152" t="s">
        <v>716</v>
      </c>
    </row>
    <row r="69" spans="9:9">
      <c r="I69" s="151" t="s">
        <v>717</v>
      </c>
    </row>
    <row r="70" spans="9:9">
      <c r="I70" s="152" t="s">
        <v>718</v>
      </c>
    </row>
    <row r="71" spans="9:9">
      <c r="I71" s="151" t="s">
        <v>719</v>
      </c>
    </row>
    <row r="72" spans="9:9">
      <c r="I72" s="152" t="s">
        <v>720</v>
      </c>
    </row>
    <row r="73" spans="9:9">
      <c r="I73" s="151" t="s">
        <v>721</v>
      </c>
    </row>
    <row r="74" spans="9:9">
      <c r="I74" s="152" t="s">
        <v>722</v>
      </c>
    </row>
    <row r="75" spans="9:9">
      <c r="I75" s="151" t="s">
        <v>723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topLeftCell="G1" workbookViewId="0">
      <selection activeCell="N3" sqref="N3"/>
    </sheetView>
  </sheetViews>
  <sheetFormatPr defaultRowHeight="14.5"/>
  <cols>
    <col min="1" max="1" width="44.7265625" bestFit="1" customWidth="1"/>
    <col min="2" max="2" width="16.7265625" customWidth="1"/>
    <col min="4" max="4" width="11.453125" customWidth="1"/>
    <col min="5" max="5" width="22.26953125" customWidth="1"/>
    <col min="6" max="6" width="24.26953125" customWidth="1"/>
    <col min="7" max="7" width="14.1796875" customWidth="1"/>
    <col min="8" max="8" width="15.7265625" customWidth="1"/>
    <col min="9" max="9" width="18" customWidth="1"/>
    <col min="10" max="10" width="12.7265625" customWidth="1"/>
    <col min="11" max="11" width="18.7265625" customWidth="1"/>
    <col min="12" max="12" width="15.26953125" customWidth="1"/>
    <col min="13" max="13" width="28.7265625" customWidth="1"/>
    <col min="14" max="14" width="46.26953125" customWidth="1"/>
    <col min="15" max="15" width="38.26953125" customWidth="1"/>
    <col min="16" max="16" width="21.7265625" customWidth="1"/>
    <col min="17" max="17" width="16.54296875" customWidth="1"/>
  </cols>
  <sheetData>
    <row r="1" spans="1:17">
      <c r="A1" s="154" t="s">
        <v>22</v>
      </c>
      <c r="B1" s="155" t="s">
        <v>724</v>
      </c>
      <c r="D1" s="153" t="s">
        <v>725</v>
      </c>
      <c r="E1" s="153" t="s">
        <v>726</v>
      </c>
      <c r="F1" s="153" t="s">
        <v>727</v>
      </c>
      <c r="G1" s="153" t="s">
        <v>728</v>
      </c>
      <c r="H1" s="153" t="s">
        <v>729</v>
      </c>
      <c r="I1" s="153" t="s">
        <v>730</v>
      </c>
      <c r="J1" s="153" t="s">
        <v>731</v>
      </c>
      <c r="K1" s="153" t="s">
        <v>732</v>
      </c>
      <c r="L1" s="153" t="s">
        <v>733</v>
      </c>
      <c r="M1" s="153" t="s">
        <v>734</v>
      </c>
      <c r="N1" s="153" t="s">
        <v>735</v>
      </c>
      <c r="O1" s="153" t="s">
        <v>736</v>
      </c>
      <c r="P1" s="153" t="s">
        <v>737</v>
      </c>
      <c r="Q1" s="153" t="s">
        <v>738</v>
      </c>
    </row>
    <row r="2" spans="1:17">
      <c r="A2" s="153" t="s">
        <v>725</v>
      </c>
      <c r="B2" t="s">
        <v>739</v>
      </c>
      <c r="D2" s="153" t="s">
        <v>740</v>
      </c>
      <c r="E2" s="153" t="s">
        <v>741</v>
      </c>
      <c r="F2" s="153" t="s">
        <v>742</v>
      </c>
      <c r="G2" s="153" t="s">
        <v>743</v>
      </c>
      <c r="H2" s="153" t="s">
        <v>744</v>
      </c>
      <c r="I2" s="153" t="s">
        <v>745</v>
      </c>
      <c r="J2" s="153" t="s">
        <v>746</v>
      </c>
      <c r="K2" s="153" t="s">
        <v>747</v>
      </c>
      <c r="L2" s="153" t="s">
        <v>748</v>
      </c>
      <c r="M2" s="153" t="s">
        <v>749</v>
      </c>
      <c r="N2" s="153" t="s">
        <v>750</v>
      </c>
      <c r="O2" s="153" t="s">
        <v>751</v>
      </c>
      <c r="P2" s="153" t="s">
        <v>752</v>
      </c>
      <c r="Q2" s="153" t="s">
        <v>753</v>
      </c>
    </row>
    <row r="3" spans="1:17">
      <c r="A3" s="153" t="s">
        <v>726</v>
      </c>
      <c r="B3" t="s">
        <v>754</v>
      </c>
      <c r="D3" s="153" t="s">
        <v>755</v>
      </c>
      <c r="E3" s="153" t="s">
        <v>756</v>
      </c>
      <c r="F3" s="153" t="s">
        <v>757</v>
      </c>
      <c r="G3" s="153" t="s">
        <v>758</v>
      </c>
      <c r="H3" s="153" t="s">
        <v>759</v>
      </c>
      <c r="I3" s="153" t="s">
        <v>760</v>
      </c>
      <c r="J3" s="153" t="s">
        <v>761</v>
      </c>
      <c r="K3" s="153" t="s">
        <v>762</v>
      </c>
      <c r="L3" s="153" t="s">
        <v>763</v>
      </c>
      <c r="M3" s="153" t="s">
        <v>764</v>
      </c>
      <c r="N3" s="153" t="s">
        <v>765</v>
      </c>
      <c r="O3" s="153" t="s">
        <v>766</v>
      </c>
      <c r="P3" s="153" t="s">
        <v>767</v>
      </c>
      <c r="Q3" s="153" t="s">
        <v>768</v>
      </c>
    </row>
    <row r="4" spans="1:17">
      <c r="A4" s="153" t="s">
        <v>727</v>
      </c>
      <c r="B4" t="s">
        <v>769</v>
      </c>
      <c r="D4" s="153" t="s">
        <v>770</v>
      </c>
      <c r="E4" s="153" t="s">
        <v>771</v>
      </c>
      <c r="F4" s="153" t="s">
        <v>772</v>
      </c>
      <c r="G4" s="153" t="s">
        <v>773</v>
      </c>
      <c r="H4" s="153" t="s">
        <v>774</v>
      </c>
      <c r="I4" s="153" t="s">
        <v>775</v>
      </c>
      <c r="J4" s="153" t="s">
        <v>776</v>
      </c>
      <c r="K4" s="153" t="s">
        <v>777</v>
      </c>
      <c r="L4" s="153" t="s">
        <v>778</v>
      </c>
      <c r="M4" s="153" t="s">
        <v>779</v>
      </c>
      <c r="N4" s="153" t="s">
        <v>780</v>
      </c>
      <c r="O4" s="153" t="s">
        <v>781</v>
      </c>
      <c r="P4" s="153" t="s">
        <v>782</v>
      </c>
      <c r="Q4" s="153" t="s">
        <v>783</v>
      </c>
    </row>
    <row r="5" spans="1:17">
      <c r="A5" s="153" t="s">
        <v>728</v>
      </c>
      <c r="B5" t="s">
        <v>784</v>
      </c>
      <c r="E5" s="153" t="s">
        <v>785</v>
      </c>
      <c r="F5" s="153" t="s">
        <v>786</v>
      </c>
      <c r="G5" s="153" t="s">
        <v>787</v>
      </c>
      <c r="H5" s="153" t="s">
        <v>788</v>
      </c>
      <c r="I5" s="153" t="s">
        <v>789</v>
      </c>
      <c r="J5" s="153" t="s">
        <v>790</v>
      </c>
      <c r="K5" s="153" t="s">
        <v>791</v>
      </c>
      <c r="L5" s="153" t="s">
        <v>792</v>
      </c>
      <c r="M5" s="153" t="s">
        <v>793</v>
      </c>
      <c r="N5" s="153" t="s">
        <v>794</v>
      </c>
      <c r="O5" s="153" t="s">
        <v>795</v>
      </c>
      <c r="P5" s="153" t="s">
        <v>796</v>
      </c>
      <c r="Q5" s="153" t="s">
        <v>797</v>
      </c>
    </row>
    <row r="6" spans="1:17">
      <c r="A6" s="153" t="s">
        <v>729</v>
      </c>
      <c r="B6" t="s">
        <v>798</v>
      </c>
      <c r="E6" s="153" t="s">
        <v>799</v>
      </c>
      <c r="F6" s="153" t="s">
        <v>800</v>
      </c>
      <c r="G6" s="153" t="s">
        <v>801</v>
      </c>
      <c r="H6" s="153" t="s">
        <v>802</v>
      </c>
      <c r="I6" s="153" t="s">
        <v>803</v>
      </c>
      <c r="J6" s="153" t="s">
        <v>804</v>
      </c>
      <c r="K6" s="153" t="s">
        <v>805</v>
      </c>
      <c r="L6" s="153" t="s">
        <v>806</v>
      </c>
      <c r="M6" s="153" t="s">
        <v>807</v>
      </c>
      <c r="N6" s="153" t="s">
        <v>808</v>
      </c>
      <c r="O6" s="153" t="s">
        <v>809</v>
      </c>
      <c r="P6" s="153" t="s">
        <v>810</v>
      </c>
      <c r="Q6" s="153" t="s">
        <v>811</v>
      </c>
    </row>
    <row r="7" spans="1:17">
      <c r="A7" s="153" t="s">
        <v>730</v>
      </c>
      <c r="B7" t="s">
        <v>812</v>
      </c>
      <c r="E7" s="153" t="s">
        <v>813</v>
      </c>
      <c r="F7" s="153" t="s">
        <v>814</v>
      </c>
      <c r="G7" s="153" t="s">
        <v>815</v>
      </c>
      <c r="H7" s="153" t="s">
        <v>816</v>
      </c>
      <c r="I7" s="153" t="s">
        <v>817</v>
      </c>
      <c r="J7" s="153" t="s">
        <v>818</v>
      </c>
      <c r="L7" s="153" t="s">
        <v>819</v>
      </c>
      <c r="M7" s="153" t="s">
        <v>820</v>
      </c>
      <c r="N7" s="153" t="s">
        <v>821</v>
      </c>
      <c r="O7" s="153" t="s">
        <v>822</v>
      </c>
      <c r="P7" s="153" t="s">
        <v>823</v>
      </c>
      <c r="Q7" s="153" t="s">
        <v>824</v>
      </c>
    </row>
    <row r="8" spans="1:17">
      <c r="A8" s="153" t="s">
        <v>731</v>
      </c>
      <c r="B8" t="s">
        <v>825</v>
      </c>
      <c r="F8" s="153" t="s">
        <v>826</v>
      </c>
      <c r="G8" s="153" t="s">
        <v>827</v>
      </c>
      <c r="H8" s="153" t="s">
        <v>828</v>
      </c>
      <c r="I8" s="153" t="s">
        <v>829</v>
      </c>
      <c r="J8" s="153" t="s">
        <v>830</v>
      </c>
      <c r="L8" s="153" t="s">
        <v>831</v>
      </c>
      <c r="M8" s="153" t="s">
        <v>832</v>
      </c>
      <c r="N8" s="153" t="s">
        <v>833</v>
      </c>
      <c r="O8" s="153" t="s">
        <v>834</v>
      </c>
      <c r="P8" s="153" t="s">
        <v>835</v>
      </c>
      <c r="Q8" s="153" t="s">
        <v>836</v>
      </c>
    </row>
    <row r="9" spans="1:17">
      <c r="A9" s="153" t="s">
        <v>732</v>
      </c>
      <c r="B9" t="s">
        <v>837</v>
      </c>
      <c r="F9" s="153" t="s">
        <v>838</v>
      </c>
      <c r="G9" s="153" t="s">
        <v>839</v>
      </c>
      <c r="H9" s="153" t="s">
        <v>840</v>
      </c>
      <c r="I9" s="153" t="s">
        <v>841</v>
      </c>
      <c r="J9" s="153" t="s">
        <v>842</v>
      </c>
      <c r="L9" s="153" t="s">
        <v>843</v>
      </c>
      <c r="M9" s="153" t="s">
        <v>844</v>
      </c>
      <c r="N9" s="153" t="s">
        <v>845</v>
      </c>
      <c r="O9" s="153" t="s">
        <v>846</v>
      </c>
      <c r="P9" s="153" t="s">
        <v>847</v>
      </c>
    </row>
    <row r="10" spans="1:17">
      <c r="A10" s="153" t="s">
        <v>733</v>
      </c>
      <c r="B10" t="s">
        <v>848</v>
      </c>
      <c r="F10" s="153" t="s">
        <v>849</v>
      </c>
      <c r="I10" s="153" t="s">
        <v>850</v>
      </c>
      <c r="J10" s="153" t="s">
        <v>851</v>
      </c>
      <c r="L10" s="153" t="s">
        <v>852</v>
      </c>
      <c r="M10" s="153" t="s">
        <v>853</v>
      </c>
      <c r="O10" s="153" t="s">
        <v>854</v>
      </c>
      <c r="P10" s="153" t="s">
        <v>855</v>
      </c>
    </row>
    <row r="11" spans="1:17">
      <c r="A11" s="153" t="s">
        <v>734</v>
      </c>
      <c r="B11" t="s">
        <v>856</v>
      </c>
      <c r="F11" s="153" t="s">
        <v>857</v>
      </c>
      <c r="I11" s="153" t="s">
        <v>858</v>
      </c>
      <c r="J11" s="153" t="s">
        <v>859</v>
      </c>
      <c r="M11" s="153" t="s">
        <v>860</v>
      </c>
      <c r="O11" s="153" t="s">
        <v>861</v>
      </c>
      <c r="P11" s="153" t="s">
        <v>862</v>
      </c>
    </row>
    <row r="12" spans="1:17">
      <c r="A12" s="153" t="s">
        <v>735</v>
      </c>
      <c r="B12" t="s">
        <v>863</v>
      </c>
      <c r="F12" s="153" t="s">
        <v>864</v>
      </c>
      <c r="I12" s="153" t="s">
        <v>865</v>
      </c>
      <c r="J12" s="153" t="s">
        <v>866</v>
      </c>
      <c r="M12" s="153" t="s">
        <v>867</v>
      </c>
      <c r="O12" s="153" t="s">
        <v>868</v>
      </c>
      <c r="P12" s="153" t="s">
        <v>869</v>
      </c>
    </row>
    <row r="13" spans="1:17">
      <c r="A13" s="153" t="s">
        <v>736</v>
      </c>
      <c r="B13" t="s">
        <v>870</v>
      </c>
      <c r="F13" s="153" t="s">
        <v>871</v>
      </c>
      <c r="I13" s="153" t="s">
        <v>872</v>
      </c>
      <c r="J13" s="153" t="s">
        <v>873</v>
      </c>
      <c r="M13" s="153" t="s">
        <v>874</v>
      </c>
      <c r="O13" s="153" t="s">
        <v>875</v>
      </c>
      <c r="P13" s="153" t="s">
        <v>876</v>
      </c>
    </row>
    <row r="14" spans="1:17">
      <c r="A14" s="153" t="s">
        <v>737</v>
      </c>
      <c r="B14" t="s">
        <v>877</v>
      </c>
      <c r="F14" s="153" t="s">
        <v>878</v>
      </c>
      <c r="I14" s="153" t="s">
        <v>879</v>
      </c>
      <c r="J14" s="153" t="s">
        <v>880</v>
      </c>
      <c r="M14" s="153" t="s">
        <v>881</v>
      </c>
      <c r="P14" s="153"/>
    </row>
    <row r="15" spans="1:17">
      <c r="A15" s="153" t="s">
        <v>738</v>
      </c>
      <c r="B15" t="s">
        <v>882</v>
      </c>
      <c r="F15" s="153" t="s">
        <v>883</v>
      </c>
      <c r="I15" s="153" t="s">
        <v>884</v>
      </c>
      <c r="J15" s="153" t="s">
        <v>885</v>
      </c>
      <c r="M15" s="153" t="s">
        <v>886</v>
      </c>
      <c r="P15" s="153"/>
    </row>
    <row r="16" spans="1:17">
      <c r="F16" s="153" t="s">
        <v>887</v>
      </c>
      <c r="J16" s="153" t="s">
        <v>888</v>
      </c>
      <c r="P16" s="153"/>
    </row>
    <row r="17" spans="6:6">
      <c r="F17" s="153" t="s">
        <v>889</v>
      </c>
    </row>
    <row r="18" spans="6:6">
      <c r="F18" s="153" t="s">
        <v>890</v>
      </c>
    </row>
    <row r="19" spans="6:6">
      <c r="F19" s="153" t="s">
        <v>891</v>
      </c>
    </row>
    <row r="20" spans="6:6">
      <c r="F20" s="153" t="s">
        <v>892</v>
      </c>
    </row>
    <row r="21" spans="6:6">
      <c r="F21" s="153" t="s">
        <v>893</v>
      </c>
    </row>
  </sheetData>
  <sheetProtection algorithmName="SHA-512" hashValue="QbZHwe9dBgL6d0Po5KBx1a0aPbS4kno0QYFrteH2H+38Mi233BSKFVfrr/WmY820KDCGQLU3dWwGjvq1EA7IZQ==" saltValue="vsM57Is3kktw9eybBU9l3Q==" spinCount="100000" sheet="1" objects="1" scenarios="1"/>
  <dataValidations xWindow="1446" yWindow="699" count="2">
    <dataValidation type="textLength" operator="lessThanOrEqual" allowBlank="1" showInputMessage="1" showErrorMessage="1" errorTitle="S'ha superat la longitud" error="Aquest valor ha de ser menor o igual que 200 caràcters de longitud." promptTitle="Text" prompt="Longitud màxima: 200 caràcters." sqref="Q2:Q8 E2:E7 F2:F21 G2:H9 I2:I15 J2:J16 K2:K6 L2:L10 M2:M15 N2:N9 O2:P13 D2:D4 P14:P15">
      <formula1>200</formula1>
    </dataValidation>
    <dataValidation showInputMessage="1" showErrorMessage="1" error=" " promptTitle="Cerca (obligatori)" prompt="Aquest registre de tipus Unitat responsable ja ha d'existir al Microsoft Dynamics 365 o en aquest fitxer d'origen." sqref="A2:A15 D1:Q1"/>
  </dataValidation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3BBD1B-D8EB-4F55-AA85-1B39798B5B8A}">
  <ds:schemaRefs>
    <ds:schemaRef ds:uri="http://schemas.microsoft.com/office/2006/metadata/properties"/>
    <ds:schemaRef ds:uri="http://purl.org/dc/terms/"/>
    <ds:schemaRef ds:uri="da98c164-a57d-40d4-8901-16c51c9545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9a081172-b0b2-43c5-ad2b-9c1cb8f67e01"/>
    <ds:schemaRef ds:uri="http://www.w3.org/XML/1998/namespace"/>
    <ds:schemaRef ds:uri="http://purl.org/dc/dcmitype/"/>
  </ds:schemaRefs>
</ds:datastoreItem>
</file>

<file path=customXml/itemProps2.xml><?xml version="1.0" encoding="utf-8"?>
<ds:datastoreItem xmlns:ds="http://schemas.openxmlformats.org/officeDocument/2006/customXml" ds:itemID="{E32883B0-9847-4354-A6F9-9F4585A3D57D}"/>
</file>

<file path=customXml/itemProps3.xml><?xml version="1.0" encoding="utf-8"?>
<ds:datastoreItem xmlns:ds="http://schemas.openxmlformats.org/officeDocument/2006/customXml" ds:itemID="{F0687FF4-492A-4708-A78D-9596ABEEFD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5</vt:i4>
      </vt:variant>
    </vt:vector>
  </HeadingPairs>
  <TitlesOfParts>
    <vt:vector size="5" baseType="lpstr">
      <vt:lpstr>Instruccions</vt:lpstr>
      <vt:lpstr>PROGRAMA ANUAL</vt:lpstr>
      <vt:lpstr>PLA ESTRATÈGIC</vt:lpstr>
      <vt:lpstr>Llistes</vt:lpstr>
      <vt:lpstr>Gestors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Alturo Monne, Ramon Alberto</cp:lastModifiedBy>
  <cp:revision/>
  <dcterms:created xsi:type="dcterms:W3CDTF">2015-06-05T18:17:20Z</dcterms:created>
  <dcterms:modified xsi:type="dcterms:W3CDTF">2026-03-09T06:58:00Z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