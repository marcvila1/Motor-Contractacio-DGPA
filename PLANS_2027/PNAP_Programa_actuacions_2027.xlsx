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s" sheetId="1" state="visible" r:id="rId1"/>
    <sheet xmlns:r="http://schemas.openxmlformats.org/officeDocument/2006/relationships" name="PROGRAMA ANUAL 2027" sheetId="2" state="visible" r:id="rId2"/>
    <sheet xmlns:r="http://schemas.openxmlformats.org/officeDocument/2006/relationships" name="PLA ESTRATÈGIC" sheetId="3" state="visible" r:id="rId3"/>
    <sheet xmlns:r="http://schemas.openxmlformats.org/officeDocument/2006/relationships" name="PA 2026 (consulta)" sheetId="4" state="visible" r:id="rId4"/>
    <sheet xmlns:r="http://schemas.openxmlformats.org/officeDocument/2006/relationships" name="Llistes" sheetId="5" state="visible" r:id="rId5"/>
    <sheet xmlns:r="http://schemas.openxmlformats.org/officeDocument/2006/relationships" name="Objectius" sheetId="6" state="visible" r:id="rId6"/>
    <sheet xmlns:r="http://schemas.openxmlformats.org/officeDocument/2006/relationships" name="Gestors" sheetId="7" state="visible" r:id="rId7"/>
  </sheets>
  <definedNames>
    <definedName name="_xlnm._FilterDatabase" localSheetId="2" hidden="1">'PLA ESTRATÈGIC'!$A$3:$Q$452</definedName>
    <definedName name="_xlnm._FilterDatabase" localSheetId="3" hidden="1">'PA 2026 (consulta)'!$A$4:$O$346</definedName>
  </definedNames>
  <calcPr calcId="124519" fullCalcOnLoad="1"/>
</workbook>
</file>

<file path=xl/styles.xml><?xml version="1.0" encoding="utf-8"?>
<styleSheet xmlns="http://schemas.openxmlformats.org/spreadsheetml/2006/main">
  <numFmts count="1">
    <numFmt numFmtId="164" formatCode="#,##0.00 &quot;€&quot;"/>
  </numFmts>
  <fonts count="6">
    <font>
      <name val="Calibri"/>
      <family val="2"/>
      <color theme="1"/>
      <sz val="11"/>
      <scheme val="minor"/>
    </font>
    <font>
      <b val="1"/>
      <color rgb="00088074"/>
      <sz val="16"/>
    </font>
    <font>
      <b val="1"/>
    </font>
    <font>
      <b val="1"/>
      <color rgb="00088074"/>
      <sz val="13"/>
    </font>
    <font>
      <b val="1"/>
      <color rgb="00FFFFFF"/>
    </font>
    <font>
      <b val="1"/>
      <color rgb="00088074"/>
      <sz val="14"/>
    </font>
  </fonts>
  <fills count="6">
    <fill>
      <patternFill/>
    </fill>
    <fill>
      <patternFill patternType="gray125"/>
    </fill>
    <fill>
      <patternFill patternType="solid">
        <fgColor rgb="00E0F2F1"/>
      </patternFill>
    </fill>
    <fill>
      <patternFill patternType="solid">
        <fgColor rgb="00088074"/>
      </patternFill>
    </fill>
    <fill>
      <patternFill patternType="solid">
        <fgColor rgb="00FFF8E1"/>
      </patternFill>
    </fill>
    <fill>
      <patternFill patternType="solid">
        <fgColor rgb="00EDEDED"/>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2" fillId="2" borderId="0" applyAlignment="1" pivotButton="0" quotePrefix="0" xfId="0">
      <alignment vertical="top" wrapText="1"/>
    </xf>
    <xf numFmtId="0" fontId="0" fillId="2"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0" fillId="4" borderId="0" pivotButton="0" quotePrefix="0" xfId="0"/>
    <xf numFmtId="0" fontId="4" fillId="3" borderId="1" applyAlignment="1" pivotButton="0" quotePrefix="0" xfId="0">
      <alignment horizontal="center" vertical="center" wrapText="1"/>
    </xf>
    <xf numFmtId="0" fontId="0" fillId="5"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9" fontId="0" fillId="0" borderId="1" applyAlignment="1" pivotButton="0" quotePrefix="0" xfId="0">
      <alignment vertical="top" wrapText="1"/>
    </xf>
    <xf numFmtId="0" fontId="3" fillId="0" borderId="0" pivotButton="0" quotePrefix="0" xfId="0"/>
    <xf numFmtId="0" fontId="0" fillId="0" borderId="1" pivotButton="0" quotePrefix="0" xfId="0"/>
  </cellXfs>
  <cellStyles count="1">
    <cellStyle name="Normal" xfId="0" builtinId="0" hidden="0"/>
  </cellStyles>
  <dxfs count="2">
    <dxf>
      <fill>
        <patternFill patternType="solid">
          <bgColor rgb="00FFCDD2"/>
        </patternFill>
      </fill>
    </dxf>
    <dxf>
      <fill>
        <patternFill patternType="solid">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10" customWidth="1" min="2" max="2"/>
  </cols>
  <sheetData>
    <row r="1">
      <c r="A1" s="1" t="inlineStr">
        <is>
          <t>Programa d'actuacions 2027 — Parc Natural de l'Alt Pirineu</t>
        </is>
      </c>
    </row>
    <row r="2">
      <c r="A2" s="2" t="inlineStr">
        <is>
          <t>Versió del model:</t>
        </is>
      </c>
      <c r="B2" t="inlineStr">
        <is>
          <t>1.0</t>
        </is>
      </c>
    </row>
    <row r="3">
      <c r="A3" s="2" t="inlineStr">
        <is>
          <t>Codi de la unitat al Motor:</t>
        </is>
      </c>
      <c r="B3" t="inlineStr">
        <is>
          <t>PNAP</t>
        </is>
      </c>
    </row>
    <row r="4">
      <c r="A4" s="2" t="inlineStr">
        <is>
          <t>Pla estratègic de referència:</t>
        </is>
      </c>
      <c r="B4" t="inlineStr">
        <is>
          <t>Alt Pirineu_Pla Estrategic_final.xlsx</t>
        </is>
      </c>
    </row>
    <row r="6">
      <c r="A6" s="3" t="inlineStr">
        <is>
          <t>COM OMPLIR-LO</t>
        </is>
      </c>
      <c r="B6" s="4" t="inlineStr"/>
    </row>
    <row r="7">
      <c r="A7" s="5" t="inlineStr">
        <is>
          <t>1. Mireu el Pla</t>
        </is>
      </c>
      <c r="B7" s="6" t="inlineStr">
        <is>
          <t>La pestanya PLA ESTRATÈGIC porta el pla aprovat del vostre espai (objectius, accions, indicadors i fites). No s'ha de modificar. La pestanya PA 2026 (consulta) porta les actuacions del 2026, per si en voleu repetir o adaptar alguna.</t>
        </is>
      </c>
    </row>
    <row r="8">
      <c r="A8" s="5" t="inlineStr">
        <is>
          <t>2. Ompliu PROGRAMA ANUAL 2027</t>
        </is>
      </c>
      <c r="B8" s="6" t="inlineStr">
        <is>
          <t>Una actuació per fila. Les columnes blanques són per omplir i les grises es calculen soles. Gairebé tot són desplegables: no cal escriure codis a mà.</t>
        </is>
      </c>
    </row>
    <row r="9">
      <c r="A9" s="5" t="inlineStr">
        <is>
          <t>3. Mireu la columna «Revisió»</t>
        </is>
      </c>
      <c r="B9" s="6" t="inlineStr">
        <is>
          <t>Cada fila mostra ✔ si està completa o diu què hi falta (import, partida RAE, gestor, codi RAE repetit…). Abans d'enviar el fitxer, no hauria de quedar cap avís.</t>
        </is>
      </c>
    </row>
    <row r="10">
      <c r="A10" s="5" t="inlineStr">
        <is>
          <t>4. Envieu el fitxer</t>
        </is>
      </c>
      <c r="B10" s="6" t="inlineStr">
        <is>
          <t>El fitxer s'ha de poder convertir al JSON del Motor. No canvieu els noms de les pestanyes ni les columnes.</t>
        </is>
      </c>
    </row>
    <row r="11">
      <c r="A11" s="5" t="inlineStr"/>
      <c r="B11" s="6" t="inlineStr"/>
    </row>
    <row r="12">
      <c r="A12" s="3" t="inlineStr">
        <is>
          <t>COLUMNES DE PROGRAMA ANUAL 2027</t>
        </is>
      </c>
      <c r="B12" s="4" t="inlineStr"/>
    </row>
    <row r="13">
      <c r="A13" s="5" t="inlineStr">
        <is>
          <t>Codi (automàtic)</t>
        </is>
      </c>
      <c r="B13" s="6" t="inlineStr">
        <is>
          <t>Es genera sol: any 27, eix i número correlatiu (27_NA_01). Depèn de l'ordre de les files; no les reordeneu ni n'esborreu cap un cop enviat el fitxer. Per anul·lar una actuació, buideu-ne les cel·les.</t>
        </is>
      </c>
    </row>
    <row r="14">
      <c r="A14" s="5" t="inlineStr">
        <is>
          <t>Codi RAE</t>
        </is>
      </c>
      <c r="B14" s="6" t="inlineStr">
        <is>
          <t>Només si l'actuació té codi RAE. Ha de ser únic.</t>
        </is>
      </c>
    </row>
    <row r="15">
      <c r="A15" s="5" t="inlineStr">
        <is>
          <t>Actuació</t>
        </is>
      </c>
      <c r="B15" s="6" t="inlineStr">
        <is>
          <t>Què farà el parc el 2027. Ha de derivar d'una acció del Pla estratègic.</t>
        </is>
      </c>
    </row>
    <row r="16">
      <c r="A16" s="5" t="inlineStr">
        <is>
          <t>Objectiu operatiu principal</t>
        </is>
      </c>
      <c r="B16" s="6" t="inlineStr">
        <is>
          <t>Desplegable amb els objectius del vostre Pla. El nom de l'objectiu i l'eix s'omplen sols.</t>
        </is>
      </c>
    </row>
    <row r="17">
      <c r="A17" s="5" t="inlineStr">
        <is>
          <t>Altres objectius relacionats</t>
        </is>
      </c>
      <c r="B17" s="6" t="inlineStr">
        <is>
          <t>Fins a tres, amb desplegable. Opcional.</t>
        </is>
      </c>
    </row>
    <row r="18">
      <c r="A18" s="5" t="inlineStr">
        <is>
          <t>Tipus de despesa</t>
        </is>
      </c>
      <c r="B18" s="6" t="inlineStr">
        <is>
          <t>Desplegable. «Mitjans propis» és per a les actuacions sense contractació externa.</t>
        </is>
      </c>
    </row>
    <row r="19">
      <c r="A19" s="5" t="inlineStr">
        <is>
          <t>Partida RAE</t>
        </is>
      </c>
      <c r="B19" s="6" t="inlineStr">
        <is>
          <t>Només per a «Contracte menor a càrrec del RAE». Obligatòria en aquest cas.</t>
        </is>
      </c>
    </row>
    <row r="20">
      <c r="A20" s="5" t="inlineStr">
        <is>
          <t>Tipus dactuació segons MAP</t>
        </is>
      </c>
      <c r="B20" s="6" t="inlineStr">
        <is>
          <t>Desplegable amb les tipologies del Marc d'Acció Prioritària. Si cap no hi encaixa, «Altres».</t>
        </is>
      </c>
    </row>
    <row r="21">
      <c r="A21" s="5" t="inlineStr">
        <is>
          <t>Import (€)</t>
        </is>
      </c>
      <c r="B21" s="6" t="inlineStr">
        <is>
          <t>Import previst. Si no té cost directe, poseu 0. No s'admeten valors negatius.</t>
        </is>
      </c>
    </row>
    <row r="22">
      <c r="A22" s="5" t="inlineStr">
        <is>
          <t>Acció i indicador del Pla</t>
        </is>
      </c>
      <c r="B22" s="6" t="inlineStr">
        <is>
          <t>Desplegable amb les accions del Pla per a l'objectiu triat. La fita mínima i la màxima s'omplen soles.</t>
        </is>
      </c>
    </row>
    <row r="23">
      <c r="A23" s="5" t="inlineStr">
        <is>
          <t>Grau de compliment</t>
        </is>
      </c>
      <c r="B23" s="6" t="inlineStr">
        <is>
          <t>Percentatge (0–100%) de la fita màxima que aconseguirà l'actuació. Si és qualitatiu, expliqueu-ho a Observacions.</t>
        </is>
      </c>
    </row>
    <row r="24">
      <c r="A24" s="5" t="inlineStr">
        <is>
          <t>Gestor responsable</t>
        </is>
      </c>
      <c r="B24" s="6" t="inlineStr">
        <is>
          <t>Desplegable amb l'equip del parc. Si hi falta algú, es pot escriure el nom.</t>
        </is>
      </c>
    </row>
    <row r="25">
      <c r="A25" s="5" t="inlineStr">
        <is>
          <t>Actuació recurrent</t>
        </is>
      </c>
      <c r="B25" s="6" t="inlineStr">
        <is>
          <t>Sí si es repeteix cada any.</t>
        </is>
      </c>
    </row>
    <row r="26">
      <c r="A26" s="5" t="inlineStr">
        <is>
          <t>Naturalesa del contracte</t>
        </is>
      </c>
      <c r="B26" s="6" t="inlineStr">
        <is>
          <t>Opcional: Obra, Servei o Subministrament. Ajuda el Motor a proposar el procediment.</t>
        </is>
      </c>
    </row>
    <row r="27">
      <c r="A27" s="5" t="inlineStr"/>
      <c r="B27" s="6" t="inlineStr"/>
    </row>
    <row r="28">
      <c r="A28" s="3" t="inlineStr">
        <is>
          <t>QUÈ HA CANVIAT RESPECTE AL MODEL ANTERIOR</t>
        </is>
      </c>
      <c r="B28" s="4" t="inlineStr"/>
    </row>
    <row r="29">
      <c r="A29" s="5" t="inlineStr"/>
      <c r="B29" s="6" t="inlineStr">
        <is>
          <t>Es porta el Pla estratègic de l'espai amb indicadors i fites; l'objectiu i l'eix es trien i es calculen sols; el codi és automàtic; hi ha validacions i una columna de revisió; s'hi han afegit el gestor, l'actuació recurrent i el tipus de despesa «Mitjans propis».</t>
        </is>
      </c>
    </row>
  </sheetData>
  <pageMargins left="0.75" right="0.75" top="1" bottom="1" header="0.5" footer="0.5"/>
</worksheet>
</file>

<file path=xl/worksheets/sheet2.xml><?xml version="1.0" encoding="utf-8"?>
<worksheet xmlns="http://schemas.openxmlformats.org/spreadsheetml/2006/main">
  <sheetPr>
    <tabColor rgb="00088074"/>
    <outlinePr summaryBelow="1" summaryRight="1"/>
    <pageSetUpPr/>
  </sheetPr>
  <dimension ref="A1:V705"/>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55" customWidth="1" min="3" max="3"/>
    <col width="13" customWidth="1" min="4" max="4"/>
    <col width="40" customWidth="1" min="5" max="5"/>
    <col width="11" customWidth="1" min="6" max="6"/>
    <col width="11" customWidth="1" min="7" max="7"/>
    <col width="11" customWidth="1" min="8" max="8"/>
    <col width="24" customWidth="1" min="9" max="9"/>
    <col width="30" customWidth="1" min="10" max="10"/>
    <col width="36" customWidth="1" min="11" max="11"/>
    <col width="40" customWidth="1" min="12" max="12"/>
    <col width="13" customWidth="1" min="13" max="13"/>
    <col width="60" customWidth="1" min="14" max="14"/>
    <col width="11" customWidth="1" min="15" max="15"/>
    <col width="11" customWidth="1" min="16" max="16"/>
    <col width="13" customWidth="1" min="17" max="17"/>
    <col width="24" customWidth="1" min="18" max="18"/>
    <col width="11" customWidth="1" min="19" max="19"/>
    <col width="16" customWidth="1" min="20" max="20"/>
    <col width="36" customWidth="1" min="21" max="21"/>
    <col width="40" customWidth="1" min="22" max="22"/>
  </cols>
  <sheetData>
    <row r="1">
      <c r="A1" s="7" t="inlineStr">
        <is>
          <t>PROGRAMA D'ACTUACIONS 2027 — Parc Natural de l'Alt Pirineu</t>
        </is>
      </c>
    </row>
    <row r="2">
      <c r="A2" s="2" t="inlineStr">
        <is>
          <t>Unitat:</t>
        </is>
      </c>
      <c r="B2" t="inlineStr">
        <is>
          <t>PNAP</t>
        </is>
      </c>
      <c r="D2" s="8" t="inlineStr">
        <is>
          <t>Blanc = per omplir · Gris = automàtic · Reviseu la columna «Revisió» abans d'enviar el fitxer.</t>
        </is>
      </c>
    </row>
    <row r="3">
      <c r="A3" s="2" t="inlineStr">
        <is>
          <t>Model:</t>
        </is>
      </c>
      <c r="B3" t="inlineStr">
        <is>
          <t>v1.0</t>
        </is>
      </c>
    </row>
    <row r="5" ht="48" customHeight="1">
      <c r="A5" s="9" t="inlineStr">
        <is>
          <t>Codi (automàtic)</t>
        </is>
      </c>
      <c r="B5" s="9" t="inlineStr">
        <is>
          <t>Codi RAE</t>
        </is>
      </c>
      <c r="C5" s="9" t="inlineStr">
        <is>
          <t>Actuació</t>
        </is>
      </c>
      <c r="D5" s="9" t="inlineStr">
        <is>
          <t>Objectiu operatiu principal</t>
        </is>
      </c>
      <c r="E5" s="9" t="inlineStr">
        <is>
          <t>Objectiu concret a l'espai (automàtic)</t>
        </is>
      </c>
      <c r="F5" s="9" t="inlineStr">
        <is>
          <t>Altre objectiu relacionat 1</t>
        </is>
      </c>
      <c r="G5" s="9" t="inlineStr">
        <is>
          <t>Altre objectiu relacionat 2</t>
        </is>
      </c>
      <c r="H5" s="9" t="inlineStr">
        <is>
          <t>Altre objectiu relacionat 3</t>
        </is>
      </c>
      <c r="I5" s="9" t="inlineStr">
        <is>
          <t>Eix (automàtic)</t>
        </is>
      </c>
      <c r="J5" s="9" t="inlineStr">
        <is>
          <t>Tipus de despesa</t>
        </is>
      </c>
      <c r="K5" s="9" t="inlineStr">
        <is>
          <t>Partida RAE</t>
        </is>
      </c>
      <c r="L5" s="9" t="inlineStr">
        <is>
          <t>Tipus d'actuació segons MAP</t>
        </is>
      </c>
      <c r="M5" s="9" t="inlineStr">
        <is>
          <t>Import (€)</t>
        </is>
      </c>
      <c r="N5" s="9" t="inlineStr">
        <is>
          <t>Acció i indicador del Pla</t>
        </is>
      </c>
      <c r="O5" s="9" t="inlineStr">
        <is>
          <t>Fita mínima (automàtic)</t>
        </is>
      </c>
      <c r="P5" s="9" t="inlineStr">
        <is>
          <t>Fita màxima (automàtic)</t>
        </is>
      </c>
      <c r="Q5" s="9" t="inlineStr">
        <is>
          <t>Grau de compliment (% de la fita)</t>
        </is>
      </c>
      <c r="R5" s="9" t="inlineStr">
        <is>
          <t>Gestor responsable</t>
        </is>
      </c>
      <c r="S5" s="9" t="inlineStr">
        <is>
          <t>Actuació recurrent</t>
        </is>
      </c>
      <c r="T5" s="9" t="inlineStr">
        <is>
          <t>Naturalesa del contracte</t>
        </is>
      </c>
      <c r="U5" s="9" t="inlineStr">
        <is>
          <t>Observacions</t>
        </is>
      </c>
      <c r="V5" s="9" t="inlineStr">
        <is>
          <t>Revisió</t>
        </is>
      </c>
    </row>
    <row r="6">
      <c r="A6" s="10">
        <f>IF($D6="","","27_"&amp;IFERROR(INDEX(Objectius!$E$2:$E$183,MATCH($D6,Objectius!$A$2:$A$183,0)),"??")&amp;"_"&amp;TEXT(COUNTIF($I$6:$I6,$I6),"00"))</f>
        <v/>
      </c>
      <c r="B6" s="11" t="n"/>
      <c r="C6" s="11" t="n"/>
      <c r="D6" s="11" t="n"/>
      <c r="E6" s="10">
        <f>IF($D6="","",IFERROR(INDEX(Objectius!$C$2:$C$183,MATCH($D6,Objectius!$A$2:$A$183,0)),"Objectiu no trobat al Pla"))</f>
        <v/>
      </c>
      <c r="F6" s="11" t="n"/>
      <c r="G6" s="11" t="n"/>
      <c r="H6" s="11" t="n"/>
      <c r="I6" s="10">
        <f>IF($D6="","",IFERROR(INDEX(Objectius!$D$2:$D$183,MATCH($D6,Objectius!$A$2:$A$183,0)),""))</f>
        <v/>
      </c>
      <c r="J6" s="11" t="n"/>
      <c r="K6" s="11" t="n"/>
      <c r="L6" s="11" t="n"/>
      <c r="M6" s="12" t="n"/>
      <c r="N6" s="11" t="n"/>
      <c r="O6" s="10">
        <f>IF($N6="","",IFERROR(INDEX('PLA ESTRATÈGIC'!$G$4:$G$452,MATCH($N6,'PLA ESTRATÈGIC'!$Q$4:$Q$452,0)),""))</f>
        <v/>
      </c>
      <c r="P6" s="10">
        <f>IF($N6="","",IFERROR(INDEX('PLA ESTRATÈGIC'!$H$4:$H$452,MATCH($N6,'PLA ESTRATÈGIC'!$Q$4:$Q$452,0)),""))</f>
        <v/>
      </c>
      <c r="Q6" s="13" t="n"/>
      <c r="R6" s="11" t="n"/>
      <c r="S6" s="11" t="n"/>
      <c r="T6" s="11" t="n"/>
      <c r="U6" s="11" t="n"/>
      <c r="V6" s="10">
        <f>IF(COUNTA($C6,$D6,$J6,$M6)=0,"",IF(TRIM(IF($C6="","Falta l'actuació. ","")&amp;IF($D6="","Falta l'objectiu. ","")&amp;IF($J6="","Falta el tipus de despesa. ","")&amp;IF(AND($J6&lt;&gt;"",$J6&lt;&gt;"Mitjans propis",$J6&lt;&gt;"Altres",$M6=""),"Falta l'import. ","")&amp;IF(AND($J6="Contracte menor a càrrec del RAE",$K6=""),"Falta la partida RAE. ","")&amp;IF(AND($B6&lt;&gt;"",COUNTIF($B$6:$B$705,$B6)&gt;1),"Codi RAE repetit. ","")&amp;IF(AND($B6&lt;&gt;"",$J6&lt;&gt;"",$J6&lt;&gt;"Contracte menor a càrrec del RAE"),"Té codi RAE però no és de tipus RAE. ","")&amp;IF($N6="","Falta l'indicador del Pla. ","")&amp;IF($R6="","Falta el gestor. ","")&amp;IF($S6="","Falta indicar si és recurrent. ",""))="","✔",TRIM(IF($C6="","Falta l'actuació. ","")&amp;IF($D6="","Falta l'objectiu. ","")&amp;IF($J6="","Falta el tipus de despesa. ","")&amp;IF(AND($J6&lt;&gt;"",$J6&lt;&gt;"Mitjans propis",$J6&lt;&gt;"Altres",$M6=""),"Falta l'import. ","")&amp;IF(AND($J6="Contracte menor a càrrec del RAE",$K6=""),"Falta la partida RAE. ","")&amp;IF(AND($B6&lt;&gt;"",COUNTIF($B$6:$B$705,$B6)&gt;1),"Codi RAE repetit. ","")&amp;IF(AND($B6&lt;&gt;"",$J6&lt;&gt;"",$J6&lt;&gt;"Contracte menor a càrrec del RAE"),"Té codi RAE però no és de tipus RAE. ","")&amp;IF($N6="","Falta l'indicador del Pla. ","")&amp;IF($R6="","Falta el gestor. ","")&amp;IF($S6="","Falta indicar si és recurrent. ",""))))</f>
        <v/>
      </c>
    </row>
    <row r="7">
      <c r="A7" s="10">
        <f>IF($D7="","","27_"&amp;IFERROR(INDEX(Objectius!$E$2:$E$183,MATCH($D7,Objectius!$A$2:$A$183,0)),"??")&amp;"_"&amp;TEXT(COUNTIF($I$6:$I7,$I7),"00"))</f>
        <v/>
      </c>
      <c r="B7" s="11" t="n"/>
      <c r="C7" s="11" t="n"/>
      <c r="D7" s="11" t="n"/>
      <c r="E7" s="10">
        <f>IF($D7="","",IFERROR(INDEX(Objectius!$C$2:$C$183,MATCH($D7,Objectius!$A$2:$A$183,0)),"Objectiu no trobat al Pla"))</f>
        <v/>
      </c>
      <c r="F7" s="11" t="n"/>
      <c r="G7" s="11" t="n"/>
      <c r="H7" s="11" t="n"/>
      <c r="I7" s="10">
        <f>IF($D7="","",IFERROR(INDEX(Objectius!$D$2:$D$183,MATCH($D7,Objectius!$A$2:$A$183,0)),""))</f>
        <v/>
      </c>
      <c r="J7" s="11" t="n"/>
      <c r="K7" s="11" t="n"/>
      <c r="L7" s="11" t="n"/>
      <c r="M7" s="12" t="n"/>
      <c r="N7" s="11" t="n"/>
      <c r="O7" s="10">
        <f>IF($N7="","",IFERROR(INDEX('PLA ESTRATÈGIC'!$G$4:$G$452,MATCH($N7,'PLA ESTRATÈGIC'!$Q$4:$Q$452,0)),""))</f>
        <v/>
      </c>
      <c r="P7" s="10">
        <f>IF($N7="","",IFERROR(INDEX('PLA ESTRATÈGIC'!$H$4:$H$452,MATCH($N7,'PLA ESTRATÈGIC'!$Q$4:$Q$452,0)),""))</f>
        <v/>
      </c>
      <c r="Q7" s="13" t="n"/>
      <c r="R7" s="11" t="n"/>
      <c r="S7" s="11" t="n"/>
      <c r="T7" s="11" t="n"/>
      <c r="U7" s="11" t="n"/>
      <c r="V7" s="10">
        <f>IF(COUNTA($C7,$D7,$J7,$M7)=0,"",IF(TRIM(IF($C7="","Falta l'actuació. ","")&amp;IF($D7="","Falta l'objectiu. ","")&amp;IF($J7="","Falta el tipus de despesa. ","")&amp;IF(AND($J7&lt;&gt;"",$J7&lt;&gt;"Mitjans propis",$J7&lt;&gt;"Altres",$M7=""),"Falta l'import. ","")&amp;IF(AND($J7="Contracte menor a càrrec del RAE",$K7=""),"Falta la partida RAE. ","")&amp;IF(AND($B7&lt;&gt;"",COUNTIF($B$6:$B$705,$B7)&gt;1),"Codi RAE repetit. ","")&amp;IF(AND($B7&lt;&gt;"",$J7&lt;&gt;"",$J7&lt;&gt;"Contracte menor a càrrec del RAE"),"Té codi RAE però no és de tipus RAE. ","")&amp;IF($N7="","Falta l'indicador del Pla. ","")&amp;IF($R7="","Falta el gestor. ","")&amp;IF($S7="","Falta indicar si és recurrent. ",""))="","✔",TRIM(IF($C7="","Falta l'actuació. ","")&amp;IF($D7="","Falta l'objectiu. ","")&amp;IF($J7="","Falta el tipus de despesa. ","")&amp;IF(AND($J7&lt;&gt;"",$J7&lt;&gt;"Mitjans propis",$J7&lt;&gt;"Altres",$M7=""),"Falta l'import. ","")&amp;IF(AND($J7="Contracte menor a càrrec del RAE",$K7=""),"Falta la partida RAE. ","")&amp;IF(AND($B7&lt;&gt;"",COUNTIF($B$6:$B$705,$B7)&gt;1),"Codi RAE repetit. ","")&amp;IF(AND($B7&lt;&gt;"",$J7&lt;&gt;"",$J7&lt;&gt;"Contracte menor a càrrec del RAE"),"Té codi RAE però no és de tipus RAE. ","")&amp;IF($N7="","Falta l'indicador del Pla. ","")&amp;IF($R7="","Falta el gestor. ","")&amp;IF($S7="","Falta indicar si és recurrent. ",""))))</f>
        <v/>
      </c>
    </row>
    <row r="8">
      <c r="A8" s="10">
        <f>IF($D8="","","27_"&amp;IFERROR(INDEX(Objectius!$E$2:$E$183,MATCH($D8,Objectius!$A$2:$A$183,0)),"??")&amp;"_"&amp;TEXT(COUNTIF($I$6:$I8,$I8),"00"))</f>
        <v/>
      </c>
      <c r="B8" s="11" t="n"/>
      <c r="C8" s="11" t="n"/>
      <c r="D8" s="11" t="n"/>
      <c r="E8" s="10">
        <f>IF($D8="","",IFERROR(INDEX(Objectius!$C$2:$C$183,MATCH($D8,Objectius!$A$2:$A$183,0)),"Objectiu no trobat al Pla"))</f>
        <v/>
      </c>
      <c r="F8" s="11" t="n"/>
      <c r="G8" s="11" t="n"/>
      <c r="H8" s="11" t="n"/>
      <c r="I8" s="10">
        <f>IF($D8="","",IFERROR(INDEX(Objectius!$D$2:$D$183,MATCH($D8,Objectius!$A$2:$A$183,0)),""))</f>
        <v/>
      </c>
      <c r="J8" s="11" t="n"/>
      <c r="K8" s="11" t="n"/>
      <c r="L8" s="11" t="n"/>
      <c r="M8" s="12" t="n"/>
      <c r="N8" s="11" t="n"/>
      <c r="O8" s="10">
        <f>IF($N8="","",IFERROR(INDEX('PLA ESTRATÈGIC'!$G$4:$G$452,MATCH($N8,'PLA ESTRATÈGIC'!$Q$4:$Q$452,0)),""))</f>
        <v/>
      </c>
      <c r="P8" s="10">
        <f>IF($N8="","",IFERROR(INDEX('PLA ESTRATÈGIC'!$H$4:$H$452,MATCH($N8,'PLA ESTRATÈGIC'!$Q$4:$Q$452,0)),""))</f>
        <v/>
      </c>
      <c r="Q8" s="13" t="n"/>
      <c r="R8" s="11" t="n"/>
      <c r="S8" s="11" t="n"/>
      <c r="T8" s="11" t="n"/>
      <c r="U8" s="11" t="n"/>
      <c r="V8" s="10">
        <f>IF(COUNTA($C8,$D8,$J8,$M8)=0,"",IF(TRIM(IF($C8="","Falta l'actuació. ","")&amp;IF($D8="","Falta l'objectiu. ","")&amp;IF($J8="","Falta el tipus de despesa. ","")&amp;IF(AND($J8&lt;&gt;"",$J8&lt;&gt;"Mitjans propis",$J8&lt;&gt;"Altres",$M8=""),"Falta l'import. ","")&amp;IF(AND($J8="Contracte menor a càrrec del RAE",$K8=""),"Falta la partida RAE. ","")&amp;IF(AND($B8&lt;&gt;"",COUNTIF($B$6:$B$705,$B8)&gt;1),"Codi RAE repetit. ","")&amp;IF(AND($B8&lt;&gt;"",$J8&lt;&gt;"",$J8&lt;&gt;"Contracte menor a càrrec del RAE"),"Té codi RAE però no és de tipus RAE. ","")&amp;IF($N8="","Falta l'indicador del Pla. ","")&amp;IF($R8="","Falta el gestor. ","")&amp;IF($S8="","Falta indicar si és recurrent. ",""))="","✔",TRIM(IF($C8="","Falta l'actuació. ","")&amp;IF($D8="","Falta l'objectiu. ","")&amp;IF($J8="","Falta el tipus de despesa. ","")&amp;IF(AND($J8&lt;&gt;"",$J8&lt;&gt;"Mitjans propis",$J8&lt;&gt;"Altres",$M8=""),"Falta l'import. ","")&amp;IF(AND($J8="Contracte menor a càrrec del RAE",$K8=""),"Falta la partida RAE. ","")&amp;IF(AND($B8&lt;&gt;"",COUNTIF($B$6:$B$705,$B8)&gt;1),"Codi RAE repetit. ","")&amp;IF(AND($B8&lt;&gt;"",$J8&lt;&gt;"",$J8&lt;&gt;"Contracte menor a càrrec del RAE"),"Té codi RAE però no és de tipus RAE. ","")&amp;IF($N8="","Falta l'indicador del Pla. ","")&amp;IF($R8="","Falta el gestor. ","")&amp;IF($S8="","Falta indicar si és recurrent. ",""))))</f>
        <v/>
      </c>
    </row>
    <row r="9">
      <c r="A9" s="10">
        <f>IF($D9="","","27_"&amp;IFERROR(INDEX(Objectius!$E$2:$E$183,MATCH($D9,Objectius!$A$2:$A$183,0)),"??")&amp;"_"&amp;TEXT(COUNTIF($I$6:$I9,$I9),"00"))</f>
        <v/>
      </c>
      <c r="B9" s="11" t="n"/>
      <c r="C9" s="11" t="n"/>
      <c r="D9" s="11" t="n"/>
      <c r="E9" s="10">
        <f>IF($D9="","",IFERROR(INDEX(Objectius!$C$2:$C$183,MATCH($D9,Objectius!$A$2:$A$183,0)),"Objectiu no trobat al Pla"))</f>
        <v/>
      </c>
      <c r="F9" s="11" t="n"/>
      <c r="G9" s="11" t="n"/>
      <c r="H9" s="11" t="n"/>
      <c r="I9" s="10">
        <f>IF($D9="","",IFERROR(INDEX(Objectius!$D$2:$D$183,MATCH($D9,Objectius!$A$2:$A$183,0)),""))</f>
        <v/>
      </c>
      <c r="J9" s="11" t="n"/>
      <c r="K9" s="11" t="n"/>
      <c r="L9" s="11" t="n"/>
      <c r="M9" s="12" t="n"/>
      <c r="N9" s="11" t="n"/>
      <c r="O9" s="10">
        <f>IF($N9="","",IFERROR(INDEX('PLA ESTRATÈGIC'!$G$4:$G$452,MATCH($N9,'PLA ESTRATÈGIC'!$Q$4:$Q$452,0)),""))</f>
        <v/>
      </c>
      <c r="P9" s="10">
        <f>IF($N9="","",IFERROR(INDEX('PLA ESTRATÈGIC'!$H$4:$H$452,MATCH($N9,'PLA ESTRATÈGIC'!$Q$4:$Q$452,0)),""))</f>
        <v/>
      </c>
      <c r="Q9" s="13" t="n"/>
      <c r="R9" s="11" t="n"/>
      <c r="S9" s="11" t="n"/>
      <c r="T9" s="11" t="n"/>
      <c r="U9" s="11" t="n"/>
      <c r="V9" s="10">
        <f>IF(COUNTA($C9,$D9,$J9,$M9)=0,"",IF(TRIM(IF($C9="","Falta l'actuació. ","")&amp;IF($D9="","Falta l'objectiu. ","")&amp;IF($J9="","Falta el tipus de despesa. ","")&amp;IF(AND($J9&lt;&gt;"",$J9&lt;&gt;"Mitjans propis",$J9&lt;&gt;"Altres",$M9=""),"Falta l'import. ","")&amp;IF(AND($J9="Contracte menor a càrrec del RAE",$K9=""),"Falta la partida RAE. ","")&amp;IF(AND($B9&lt;&gt;"",COUNTIF($B$6:$B$705,$B9)&gt;1),"Codi RAE repetit. ","")&amp;IF(AND($B9&lt;&gt;"",$J9&lt;&gt;"",$J9&lt;&gt;"Contracte menor a càrrec del RAE"),"Té codi RAE però no és de tipus RAE. ","")&amp;IF($N9="","Falta l'indicador del Pla. ","")&amp;IF($R9="","Falta el gestor. ","")&amp;IF($S9="","Falta indicar si és recurrent. ",""))="","✔",TRIM(IF($C9="","Falta l'actuació. ","")&amp;IF($D9="","Falta l'objectiu. ","")&amp;IF($J9="","Falta el tipus de despesa. ","")&amp;IF(AND($J9&lt;&gt;"",$J9&lt;&gt;"Mitjans propis",$J9&lt;&gt;"Altres",$M9=""),"Falta l'import. ","")&amp;IF(AND($J9="Contracte menor a càrrec del RAE",$K9=""),"Falta la partida RAE. ","")&amp;IF(AND($B9&lt;&gt;"",COUNTIF($B$6:$B$705,$B9)&gt;1),"Codi RAE repetit. ","")&amp;IF(AND($B9&lt;&gt;"",$J9&lt;&gt;"",$J9&lt;&gt;"Contracte menor a càrrec del RAE"),"Té codi RAE però no és de tipus RAE. ","")&amp;IF($N9="","Falta l'indicador del Pla. ","")&amp;IF($R9="","Falta el gestor. ","")&amp;IF($S9="","Falta indicar si és recurrent. ",""))))</f>
        <v/>
      </c>
    </row>
    <row r="10">
      <c r="A10" s="10">
        <f>IF($D10="","","27_"&amp;IFERROR(INDEX(Objectius!$E$2:$E$183,MATCH($D10,Objectius!$A$2:$A$183,0)),"??")&amp;"_"&amp;TEXT(COUNTIF($I$6:$I10,$I10),"00"))</f>
        <v/>
      </c>
      <c r="B10" s="11" t="n"/>
      <c r="C10" s="11" t="n"/>
      <c r="D10" s="11" t="n"/>
      <c r="E10" s="10">
        <f>IF($D10="","",IFERROR(INDEX(Objectius!$C$2:$C$183,MATCH($D10,Objectius!$A$2:$A$183,0)),"Objectiu no trobat al Pla"))</f>
        <v/>
      </c>
      <c r="F10" s="11" t="n"/>
      <c r="G10" s="11" t="n"/>
      <c r="H10" s="11" t="n"/>
      <c r="I10" s="10">
        <f>IF($D10="","",IFERROR(INDEX(Objectius!$D$2:$D$183,MATCH($D10,Objectius!$A$2:$A$183,0)),""))</f>
        <v/>
      </c>
      <c r="J10" s="11" t="n"/>
      <c r="K10" s="11" t="n"/>
      <c r="L10" s="11" t="n"/>
      <c r="M10" s="12" t="n"/>
      <c r="N10" s="11" t="n"/>
      <c r="O10" s="10">
        <f>IF($N10="","",IFERROR(INDEX('PLA ESTRATÈGIC'!$G$4:$G$452,MATCH($N10,'PLA ESTRATÈGIC'!$Q$4:$Q$452,0)),""))</f>
        <v/>
      </c>
      <c r="P10" s="10">
        <f>IF($N10="","",IFERROR(INDEX('PLA ESTRATÈGIC'!$H$4:$H$452,MATCH($N10,'PLA ESTRATÈGIC'!$Q$4:$Q$452,0)),""))</f>
        <v/>
      </c>
      <c r="Q10" s="13" t="n"/>
      <c r="R10" s="11" t="n"/>
      <c r="S10" s="11" t="n"/>
      <c r="T10" s="11" t="n"/>
      <c r="U10" s="11" t="n"/>
      <c r="V10" s="10">
        <f>IF(COUNTA($C10,$D10,$J10,$M10)=0,"",IF(TRIM(IF($C10="","Falta l'actuació. ","")&amp;IF($D10="","Falta l'objectiu. ","")&amp;IF($J10="","Falta el tipus de despesa. ","")&amp;IF(AND($J10&lt;&gt;"",$J10&lt;&gt;"Mitjans propis",$J10&lt;&gt;"Altres",$M10=""),"Falta l'import. ","")&amp;IF(AND($J10="Contracte menor a càrrec del RAE",$K10=""),"Falta la partida RAE. ","")&amp;IF(AND($B10&lt;&gt;"",COUNTIF($B$6:$B$705,$B10)&gt;1),"Codi RAE repetit. ","")&amp;IF(AND($B10&lt;&gt;"",$J10&lt;&gt;"",$J10&lt;&gt;"Contracte menor a càrrec del RAE"),"Té codi RAE però no és de tipus RAE. ","")&amp;IF($N10="","Falta l'indicador del Pla. ","")&amp;IF($R10="","Falta el gestor. ","")&amp;IF($S10="","Falta indicar si és recurrent. ",""))="","✔",TRIM(IF($C10="","Falta l'actuació. ","")&amp;IF($D10="","Falta l'objectiu. ","")&amp;IF($J10="","Falta el tipus de despesa. ","")&amp;IF(AND($J10&lt;&gt;"",$J10&lt;&gt;"Mitjans propis",$J10&lt;&gt;"Altres",$M10=""),"Falta l'import. ","")&amp;IF(AND($J10="Contracte menor a càrrec del RAE",$K10=""),"Falta la partida RAE. ","")&amp;IF(AND($B10&lt;&gt;"",COUNTIF($B$6:$B$705,$B10)&gt;1),"Codi RAE repetit. ","")&amp;IF(AND($B10&lt;&gt;"",$J10&lt;&gt;"",$J10&lt;&gt;"Contracte menor a càrrec del RAE"),"Té codi RAE però no és de tipus RAE. ","")&amp;IF($N10="","Falta l'indicador del Pla. ","")&amp;IF($R10="","Falta el gestor. ","")&amp;IF($S10="","Falta indicar si és recurrent. ",""))))</f>
        <v/>
      </c>
    </row>
    <row r="11">
      <c r="A11" s="10">
        <f>IF($D11="","","27_"&amp;IFERROR(INDEX(Objectius!$E$2:$E$183,MATCH($D11,Objectius!$A$2:$A$183,0)),"??")&amp;"_"&amp;TEXT(COUNTIF($I$6:$I11,$I11),"00"))</f>
        <v/>
      </c>
      <c r="B11" s="11" t="n"/>
      <c r="C11" s="11" t="n"/>
      <c r="D11" s="11" t="n"/>
      <c r="E11" s="10">
        <f>IF($D11="","",IFERROR(INDEX(Objectius!$C$2:$C$183,MATCH($D11,Objectius!$A$2:$A$183,0)),"Objectiu no trobat al Pla"))</f>
        <v/>
      </c>
      <c r="F11" s="11" t="n"/>
      <c r="G11" s="11" t="n"/>
      <c r="H11" s="11" t="n"/>
      <c r="I11" s="10">
        <f>IF($D11="","",IFERROR(INDEX(Objectius!$D$2:$D$183,MATCH($D11,Objectius!$A$2:$A$183,0)),""))</f>
        <v/>
      </c>
      <c r="J11" s="11" t="n"/>
      <c r="K11" s="11" t="n"/>
      <c r="L11" s="11" t="n"/>
      <c r="M11" s="12" t="n"/>
      <c r="N11" s="11" t="n"/>
      <c r="O11" s="10">
        <f>IF($N11="","",IFERROR(INDEX('PLA ESTRATÈGIC'!$G$4:$G$452,MATCH($N11,'PLA ESTRATÈGIC'!$Q$4:$Q$452,0)),""))</f>
        <v/>
      </c>
      <c r="P11" s="10">
        <f>IF($N11="","",IFERROR(INDEX('PLA ESTRATÈGIC'!$H$4:$H$452,MATCH($N11,'PLA ESTRATÈGIC'!$Q$4:$Q$452,0)),""))</f>
        <v/>
      </c>
      <c r="Q11" s="13" t="n"/>
      <c r="R11" s="11" t="n"/>
      <c r="S11" s="11" t="n"/>
      <c r="T11" s="11" t="n"/>
      <c r="U11" s="11" t="n"/>
      <c r="V11" s="10">
        <f>IF(COUNTA($C11,$D11,$J11,$M11)=0,"",IF(TRIM(IF($C11="","Falta l'actuació. ","")&amp;IF($D11="","Falta l'objectiu. ","")&amp;IF($J11="","Falta el tipus de despesa. ","")&amp;IF(AND($J11&lt;&gt;"",$J11&lt;&gt;"Mitjans propis",$J11&lt;&gt;"Altres",$M11=""),"Falta l'import. ","")&amp;IF(AND($J11="Contracte menor a càrrec del RAE",$K11=""),"Falta la partida RAE. ","")&amp;IF(AND($B11&lt;&gt;"",COUNTIF($B$6:$B$705,$B11)&gt;1),"Codi RAE repetit. ","")&amp;IF(AND($B11&lt;&gt;"",$J11&lt;&gt;"",$J11&lt;&gt;"Contracte menor a càrrec del RAE"),"Té codi RAE però no és de tipus RAE. ","")&amp;IF($N11="","Falta l'indicador del Pla. ","")&amp;IF($R11="","Falta el gestor. ","")&amp;IF($S11="","Falta indicar si és recurrent. ",""))="","✔",TRIM(IF($C11="","Falta l'actuació. ","")&amp;IF($D11="","Falta l'objectiu. ","")&amp;IF($J11="","Falta el tipus de despesa. ","")&amp;IF(AND($J11&lt;&gt;"",$J11&lt;&gt;"Mitjans propis",$J11&lt;&gt;"Altres",$M11=""),"Falta l'import. ","")&amp;IF(AND($J11="Contracte menor a càrrec del RAE",$K11=""),"Falta la partida RAE. ","")&amp;IF(AND($B11&lt;&gt;"",COUNTIF($B$6:$B$705,$B11)&gt;1),"Codi RAE repetit. ","")&amp;IF(AND($B11&lt;&gt;"",$J11&lt;&gt;"",$J11&lt;&gt;"Contracte menor a càrrec del RAE"),"Té codi RAE però no és de tipus RAE. ","")&amp;IF($N11="","Falta l'indicador del Pla. ","")&amp;IF($R11="","Falta el gestor. ","")&amp;IF($S11="","Falta indicar si és recurrent. ",""))))</f>
        <v/>
      </c>
    </row>
    <row r="12">
      <c r="A12" s="10">
        <f>IF($D12="","","27_"&amp;IFERROR(INDEX(Objectius!$E$2:$E$183,MATCH($D12,Objectius!$A$2:$A$183,0)),"??")&amp;"_"&amp;TEXT(COUNTIF($I$6:$I12,$I12),"00"))</f>
        <v/>
      </c>
      <c r="B12" s="11" t="n"/>
      <c r="C12" s="11" t="n"/>
      <c r="D12" s="11" t="n"/>
      <c r="E12" s="10">
        <f>IF($D12="","",IFERROR(INDEX(Objectius!$C$2:$C$183,MATCH($D12,Objectius!$A$2:$A$183,0)),"Objectiu no trobat al Pla"))</f>
        <v/>
      </c>
      <c r="F12" s="11" t="n"/>
      <c r="G12" s="11" t="n"/>
      <c r="H12" s="11" t="n"/>
      <c r="I12" s="10">
        <f>IF($D12="","",IFERROR(INDEX(Objectius!$D$2:$D$183,MATCH($D12,Objectius!$A$2:$A$183,0)),""))</f>
        <v/>
      </c>
      <c r="J12" s="11" t="n"/>
      <c r="K12" s="11" t="n"/>
      <c r="L12" s="11" t="n"/>
      <c r="M12" s="12" t="n"/>
      <c r="N12" s="11" t="n"/>
      <c r="O12" s="10">
        <f>IF($N12="","",IFERROR(INDEX('PLA ESTRATÈGIC'!$G$4:$G$452,MATCH($N12,'PLA ESTRATÈGIC'!$Q$4:$Q$452,0)),""))</f>
        <v/>
      </c>
      <c r="P12" s="10">
        <f>IF($N12="","",IFERROR(INDEX('PLA ESTRATÈGIC'!$H$4:$H$452,MATCH($N12,'PLA ESTRATÈGIC'!$Q$4:$Q$452,0)),""))</f>
        <v/>
      </c>
      <c r="Q12" s="13" t="n"/>
      <c r="R12" s="11" t="n"/>
      <c r="S12" s="11" t="n"/>
      <c r="T12" s="11" t="n"/>
      <c r="U12" s="11" t="n"/>
      <c r="V12" s="10">
        <f>IF(COUNTA($C12,$D12,$J12,$M12)=0,"",IF(TRIM(IF($C12="","Falta l'actuació. ","")&amp;IF($D12="","Falta l'objectiu. ","")&amp;IF($J12="","Falta el tipus de despesa. ","")&amp;IF(AND($J12&lt;&gt;"",$J12&lt;&gt;"Mitjans propis",$J12&lt;&gt;"Altres",$M12=""),"Falta l'import. ","")&amp;IF(AND($J12="Contracte menor a càrrec del RAE",$K12=""),"Falta la partida RAE. ","")&amp;IF(AND($B12&lt;&gt;"",COUNTIF($B$6:$B$705,$B12)&gt;1),"Codi RAE repetit. ","")&amp;IF(AND($B12&lt;&gt;"",$J12&lt;&gt;"",$J12&lt;&gt;"Contracte menor a càrrec del RAE"),"Té codi RAE però no és de tipus RAE. ","")&amp;IF($N12="","Falta l'indicador del Pla. ","")&amp;IF($R12="","Falta el gestor. ","")&amp;IF($S12="","Falta indicar si és recurrent. ",""))="","✔",TRIM(IF($C12="","Falta l'actuació. ","")&amp;IF($D12="","Falta l'objectiu. ","")&amp;IF($J12="","Falta el tipus de despesa. ","")&amp;IF(AND($J12&lt;&gt;"",$J12&lt;&gt;"Mitjans propis",$J12&lt;&gt;"Altres",$M12=""),"Falta l'import. ","")&amp;IF(AND($J12="Contracte menor a càrrec del RAE",$K12=""),"Falta la partida RAE. ","")&amp;IF(AND($B12&lt;&gt;"",COUNTIF($B$6:$B$705,$B12)&gt;1),"Codi RAE repetit. ","")&amp;IF(AND($B12&lt;&gt;"",$J12&lt;&gt;"",$J12&lt;&gt;"Contracte menor a càrrec del RAE"),"Té codi RAE però no és de tipus RAE. ","")&amp;IF($N12="","Falta l'indicador del Pla. ","")&amp;IF($R12="","Falta el gestor. ","")&amp;IF($S12="","Falta indicar si és recurrent. ",""))))</f>
        <v/>
      </c>
    </row>
    <row r="13">
      <c r="A13" s="10">
        <f>IF($D13="","","27_"&amp;IFERROR(INDEX(Objectius!$E$2:$E$183,MATCH($D13,Objectius!$A$2:$A$183,0)),"??")&amp;"_"&amp;TEXT(COUNTIF($I$6:$I13,$I13),"00"))</f>
        <v/>
      </c>
      <c r="B13" s="11" t="n"/>
      <c r="C13" s="11" t="n"/>
      <c r="D13" s="11" t="n"/>
      <c r="E13" s="10">
        <f>IF($D13="","",IFERROR(INDEX(Objectius!$C$2:$C$183,MATCH($D13,Objectius!$A$2:$A$183,0)),"Objectiu no trobat al Pla"))</f>
        <v/>
      </c>
      <c r="F13" s="11" t="n"/>
      <c r="G13" s="11" t="n"/>
      <c r="H13" s="11" t="n"/>
      <c r="I13" s="10">
        <f>IF($D13="","",IFERROR(INDEX(Objectius!$D$2:$D$183,MATCH($D13,Objectius!$A$2:$A$183,0)),""))</f>
        <v/>
      </c>
      <c r="J13" s="11" t="n"/>
      <c r="K13" s="11" t="n"/>
      <c r="L13" s="11" t="n"/>
      <c r="M13" s="12" t="n"/>
      <c r="N13" s="11" t="n"/>
      <c r="O13" s="10">
        <f>IF($N13="","",IFERROR(INDEX('PLA ESTRATÈGIC'!$G$4:$G$452,MATCH($N13,'PLA ESTRATÈGIC'!$Q$4:$Q$452,0)),""))</f>
        <v/>
      </c>
      <c r="P13" s="10">
        <f>IF($N13="","",IFERROR(INDEX('PLA ESTRATÈGIC'!$H$4:$H$452,MATCH($N13,'PLA ESTRATÈGIC'!$Q$4:$Q$452,0)),""))</f>
        <v/>
      </c>
      <c r="Q13" s="13" t="n"/>
      <c r="R13" s="11" t="n"/>
      <c r="S13" s="11" t="n"/>
      <c r="T13" s="11" t="n"/>
      <c r="U13" s="11" t="n"/>
      <c r="V13" s="10">
        <f>IF(COUNTA($C13,$D13,$J13,$M13)=0,"",IF(TRIM(IF($C13="","Falta l'actuació. ","")&amp;IF($D13="","Falta l'objectiu. ","")&amp;IF($J13="","Falta el tipus de despesa. ","")&amp;IF(AND($J13&lt;&gt;"",$J13&lt;&gt;"Mitjans propis",$J13&lt;&gt;"Altres",$M13=""),"Falta l'import. ","")&amp;IF(AND($J13="Contracte menor a càrrec del RAE",$K13=""),"Falta la partida RAE. ","")&amp;IF(AND($B13&lt;&gt;"",COUNTIF($B$6:$B$705,$B13)&gt;1),"Codi RAE repetit. ","")&amp;IF(AND($B13&lt;&gt;"",$J13&lt;&gt;"",$J13&lt;&gt;"Contracte menor a càrrec del RAE"),"Té codi RAE però no és de tipus RAE. ","")&amp;IF($N13="","Falta l'indicador del Pla. ","")&amp;IF($R13="","Falta el gestor. ","")&amp;IF($S13="","Falta indicar si és recurrent. ",""))="","✔",TRIM(IF($C13="","Falta l'actuació. ","")&amp;IF($D13="","Falta l'objectiu. ","")&amp;IF($J13="","Falta el tipus de despesa. ","")&amp;IF(AND($J13&lt;&gt;"",$J13&lt;&gt;"Mitjans propis",$J13&lt;&gt;"Altres",$M13=""),"Falta l'import. ","")&amp;IF(AND($J13="Contracte menor a càrrec del RAE",$K13=""),"Falta la partida RAE. ","")&amp;IF(AND($B13&lt;&gt;"",COUNTIF($B$6:$B$705,$B13)&gt;1),"Codi RAE repetit. ","")&amp;IF(AND($B13&lt;&gt;"",$J13&lt;&gt;"",$J13&lt;&gt;"Contracte menor a càrrec del RAE"),"Té codi RAE però no és de tipus RAE. ","")&amp;IF($N13="","Falta l'indicador del Pla. ","")&amp;IF($R13="","Falta el gestor. ","")&amp;IF($S13="","Falta indicar si és recurrent. ",""))))</f>
        <v/>
      </c>
    </row>
    <row r="14">
      <c r="A14" s="10">
        <f>IF($D14="","","27_"&amp;IFERROR(INDEX(Objectius!$E$2:$E$183,MATCH($D14,Objectius!$A$2:$A$183,0)),"??")&amp;"_"&amp;TEXT(COUNTIF($I$6:$I14,$I14),"00"))</f>
        <v/>
      </c>
      <c r="B14" s="11" t="n"/>
      <c r="C14" s="11" t="n"/>
      <c r="D14" s="11" t="n"/>
      <c r="E14" s="10">
        <f>IF($D14="","",IFERROR(INDEX(Objectius!$C$2:$C$183,MATCH($D14,Objectius!$A$2:$A$183,0)),"Objectiu no trobat al Pla"))</f>
        <v/>
      </c>
      <c r="F14" s="11" t="n"/>
      <c r="G14" s="11" t="n"/>
      <c r="H14" s="11" t="n"/>
      <c r="I14" s="10">
        <f>IF($D14="","",IFERROR(INDEX(Objectius!$D$2:$D$183,MATCH($D14,Objectius!$A$2:$A$183,0)),""))</f>
        <v/>
      </c>
      <c r="J14" s="11" t="n"/>
      <c r="K14" s="11" t="n"/>
      <c r="L14" s="11" t="n"/>
      <c r="M14" s="12" t="n"/>
      <c r="N14" s="11" t="n"/>
      <c r="O14" s="10">
        <f>IF($N14="","",IFERROR(INDEX('PLA ESTRATÈGIC'!$G$4:$G$452,MATCH($N14,'PLA ESTRATÈGIC'!$Q$4:$Q$452,0)),""))</f>
        <v/>
      </c>
      <c r="P14" s="10">
        <f>IF($N14="","",IFERROR(INDEX('PLA ESTRATÈGIC'!$H$4:$H$452,MATCH($N14,'PLA ESTRATÈGIC'!$Q$4:$Q$452,0)),""))</f>
        <v/>
      </c>
      <c r="Q14" s="13" t="n"/>
      <c r="R14" s="11" t="n"/>
      <c r="S14" s="11" t="n"/>
      <c r="T14" s="11" t="n"/>
      <c r="U14" s="11" t="n"/>
      <c r="V14" s="10">
        <f>IF(COUNTA($C14,$D14,$J14,$M14)=0,"",IF(TRIM(IF($C14="","Falta l'actuació. ","")&amp;IF($D14="","Falta l'objectiu. ","")&amp;IF($J14="","Falta el tipus de despesa. ","")&amp;IF(AND($J14&lt;&gt;"",$J14&lt;&gt;"Mitjans propis",$J14&lt;&gt;"Altres",$M14=""),"Falta l'import. ","")&amp;IF(AND($J14="Contracte menor a càrrec del RAE",$K14=""),"Falta la partida RAE. ","")&amp;IF(AND($B14&lt;&gt;"",COUNTIF($B$6:$B$705,$B14)&gt;1),"Codi RAE repetit. ","")&amp;IF(AND($B14&lt;&gt;"",$J14&lt;&gt;"",$J14&lt;&gt;"Contracte menor a càrrec del RAE"),"Té codi RAE però no és de tipus RAE. ","")&amp;IF($N14="","Falta l'indicador del Pla. ","")&amp;IF($R14="","Falta el gestor. ","")&amp;IF($S14="","Falta indicar si és recurrent. ",""))="","✔",TRIM(IF($C14="","Falta l'actuació. ","")&amp;IF($D14="","Falta l'objectiu. ","")&amp;IF($J14="","Falta el tipus de despesa. ","")&amp;IF(AND($J14&lt;&gt;"",$J14&lt;&gt;"Mitjans propis",$J14&lt;&gt;"Altres",$M14=""),"Falta l'import. ","")&amp;IF(AND($J14="Contracte menor a càrrec del RAE",$K14=""),"Falta la partida RAE. ","")&amp;IF(AND($B14&lt;&gt;"",COUNTIF($B$6:$B$705,$B14)&gt;1),"Codi RAE repetit. ","")&amp;IF(AND($B14&lt;&gt;"",$J14&lt;&gt;"",$J14&lt;&gt;"Contracte menor a càrrec del RAE"),"Té codi RAE però no és de tipus RAE. ","")&amp;IF($N14="","Falta l'indicador del Pla. ","")&amp;IF($R14="","Falta el gestor. ","")&amp;IF($S14="","Falta indicar si és recurrent. ",""))))</f>
        <v/>
      </c>
    </row>
    <row r="15">
      <c r="A15" s="10">
        <f>IF($D15="","","27_"&amp;IFERROR(INDEX(Objectius!$E$2:$E$183,MATCH($D15,Objectius!$A$2:$A$183,0)),"??")&amp;"_"&amp;TEXT(COUNTIF($I$6:$I15,$I15),"00"))</f>
        <v/>
      </c>
      <c r="B15" s="11" t="n"/>
      <c r="C15" s="11" t="n"/>
      <c r="D15" s="11" t="n"/>
      <c r="E15" s="10">
        <f>IF($D15="","",IFERROR(INDEX(Objectius!$C$2:$C$183,MATCH($D15,Objectius!$A$2:$A$183,0)),"Objectiu no trobat al Pla"))</f>
        <v/>
      </c>
      <c r="F15" s="11" t="n"/>
      <c r="G15" s="11" t="n"/>
      <c r="H15" s="11" t="n"/>
      <c r="I15" s="10">
        <f>IF($D15="","",IFERROR(INDEX(Objectius!$D$2:$D$183,MATCH($D15,Objectius!$A$2:$A$183,0)),""))</f>
        <v/>
      </c>
      <c r="J15" s="11" t="n"/>
      <c r="K15" s="11" t="n"/>
      <c r="L15" s="11" t="n"/>
      <c r="M15" s="12" t="n"/>
      <c r="N15" s="11" t="n"/>
      <c r="O15" s="10">
        <f>IF($N15="","",IFERROR(INDEX('PLA ESTRATÈGIC'!$G$4:$G$452,MATCH($N15,'PLA ESTRATÈGIC'!$Q$4:$Q$452,0)),""))</f>
        <v/>
      </c>
      <c r="P15" s="10">
        <f>IF($N15="","",IFERROR(INDEX('PLA ESTRATÈGIC'!$H$4:$H$452,MATCH($N15,'PLA ESTRATÈGIC'!$Q$4:$Q$452,0)),""))</f>
        <v/>
      </c>
      <c r="Q15" s="13" t="n"/>
      <c r="R15" s="11" t="n"/>
      <c r="S15" s="11" t="n"/>
      <c r="T15" s="11" t="n"/>
      <c r="U15" s="11" t="n"/>
      <c r="V15" s="10">
        <f>IF(COUNTA($C15,$D15,$J15,$M15)=0,"",IF(TRIM(IF($C15="","Falta l'actuació. ","")&amp;IF($D15="","Falta l'objectiu. ","")&amp;IF($J15="","Falta el tipus de despesa. ","")&amp;IF(AND($J15&lt;&gt;"",$J15&lt;&gt;"Mitjans propis",$J15&lt;&gt;"Altres",$M15=""),"Falta l'import. ","")&amp;IF(AND($J15="Contracte menor a càrrec del RAE",$K15=""),"Falta la partida RAE. ","")&amp;IF(AND($B15&lt;&gt;"",COUNTIF($B$6:$B$705,$B15)&gt;1),"Codi RAE repetit. ","")&amp;IF(AND($B15&lt;&gt;"",$J15&lt;&gt;"",$J15&lt;&gt;"Contracte menor a càrrec del RAE"),"Té codi RAE però no és de tipus RAE. ","")&amp;IF($N15="","Falta l'indicador del Pla. ","")&amp;IF($R15="","Falta el gestor. ","")&amp;IF($S15="","Falta indicar si és recurrent. ",""))="","✔",TRIM(IF($C15="","Falta l'actuació. ","")&amp;IF($D15="","Falta l'objectiu. ","")&amp;IF($J15="","Falta el tipus de despesa. ","")&amp;IF(AND($J15&lt;&gt;"",$J15&lt;&gt;"Mitjans propis",$J15&lt;&gt;"Altres",$M15=""),"Falta l'import. ","")&amp;IF(AND($J15="Contracte menor a càrrec del RAE",$K15=""),"Falta la partida RAE. ","")&amp;IF(AND($B15&lt;&gt;"",COUNTIF($B$6:$B$705,$B15)&gt;1),"Codi RAE repetit. ","")&amp;IF(AND($B15&lt;&gt;"",$J15&lt;&gt;"",$J15&lt;&gt;"Contracte menor a càrrec del RAE"),"Té codi RAE però no és de tipus RAE. ","")&amp;IF($N15="","Falta l'indicador del Pla. ","")&amp;IF($R15="","Falta el gestor. ","")&amp;IF($S15="","Falta indicar si és recurrent. ",""))))</f>
        <v/>
      </c>
    </row>
    <row r="16">
      <c r="A16" s="10">
        <f>IF($D16="","","27_"&amp;IFERROR(INDEX(Objectius!$E$2:$E$183,MATCH($D16,Objectius!$A$2:$A$183,0)),"??")&amp;"_"&amp;TEXT(COUNTIF($I$6:$I16,$I16),"00"))</f>
        <v/>
      </c>
      <c r="B16" s="11" t="n"/>
      <c r="C16" s="11" t="n"/>
      <c r="D16" s="11" t="n"/>
      <c r="E16" s="10">
        <f>IF($D16="","",IFERROR(INDEX(Objectius!$C$2:$C$183,MATCH($D16,Objectius!$A$2:$A$183,0)),"Objectiu no trobat al Pla"))</f>
        <v/>
      </c>
      <c r="F16" s="11" t="n"/>
      <c r="G16" s="11" t="n"/>
      <c r="H16" s="11" t="n"/>
      <c r="I16" s="10">
        <f>IF($D16="","",IFERROR(INDEX(Objectius!$D$2:$D$183,MATCH($D16,Objectius!$A$2:$A$183,0)),""))</f>
        <v/>
      </c>
      <c r="J16" s="11" t="n"/>
      <c r="K16" s="11" t="n"/>
      <c r="L16" s="11" t="n"/>
      <c r="M16" s="12" t="n"/>
      <c r="N16" s="11" t="n"/>
      <c r="O16" s="10">
        <f>IF($N16="","",IFERROR(INDEX('PLA ESTRATÈGIC'!$G$4:$G$452,MATCH($N16,'PLA ESTRATÈGIC'!$Q$4:$Q$452,0)),""))</f>
        <v/>
      </c>
      <c r="P16" s="10">
        <f>IF($N16="","",IFERROR(INDEX('PLA ESTRATÈGIC'!$H$4:$H$452,MATCH($N16,'PLA ESTRATÈGIC'!$Q$4:$Q$452,0)),""))</f>
        <v/>
      </c>
      <c r="Q16" s="13" t="n"/>
      <c r="R16" s="11" t="n"/>
      <c r="S16" s="11" t="n"/>
      <c r="T16" s="11" t="n"/>
      <c r="U16" s="11" t="n"/>
      <c r="V16" s="10">
        <f>IF(COUNTA($C16,$D16,$J16,$M16)=0,"",IF(TRIM(IF($C16="","Falta l'actuació. ","")&amp;IF($D16="","Falta l'objectiu. ","")&amp;IF($J16="","Falta el tipus de despesa. ","")&amp;IF(AND($J16&lt;&gt;"",$J16&lt;&gt;"Mitjans propis",$J16&lt;&gt;"Altres",$M16=""),"Falta l'import. ","")&amp;IF(AND($J16="Contracte menor a càrrec del RAE",$K16=""),"Falta la partida RAE. ","")&amp;IF(AND($B16&lt;&gt;"",COUNTIF($B$6:$B$705,$B16)&gt;1),"Codi RAE repetit. ","")&amp;IF(AND($B16&lt;&gt;"",$J16&lt;&gt;"",$J16&lt;&gt;"Contracte menor a càrrec del RAE"),"Té codi RAE però no és de tipus RAE. ","")&amp;IF($N16="","Falta l'indicador del Pla. ","")&amp;IF($R16="","Falta el gestor. ","")&amp;IF($S16="","Falta indicar si és recurrent. ",""))="","✔",TRIM(IF($C16="","Falta l'actuació. ","")&amp;IF($D16="","Falta l'objectiu. ","")&amp;IF($J16="","Falta el tipus de despesa. ","")&amp;IF(AND($J16&lt;&gt;"",$J16&lt;&gt;"Mitjans propis",$J16&lt;&gt;"Altres",$M16=""),"Falta l'import. ","")&amp;IF(AND($J16="Contracte menor a càrrec del RAE",$K16=""),"Falta la partida RAE. ","")&amp;IF(AND($B16&lt;&gt;"",COUNTIF($B$6:$B$705,$B16)&gt;1),"Codi RAE repetit. ","")&amp;IF(AND($B16&lt;&gt;"",$J16&lt;&gt;"",$J16&lt;&gt;"Contracte menor a càrrec del RAE"),"Té codi RAE però no és de tipus RAE. ","")&amp;IF($N16="","Falta l'indicador del Pla. ","")&amp;IF($R16="","Falta el gestor. ","")&amp;IF($S16="","Falta indicar si és recurrent. ",""))))</f>
        <v/>
      </c>
    </row>
    <row r="17">
      <c r="A17" s="10">
        <f>IF($D17="","","27_"&amp;IFERROR(INDEX(Objectius!$E$2:$E$183,MATCH($D17,Objectius!$A$2:$A$183,0)),"??")&amp;"_"&amp;TEXT(COUNTIF($I$6:$I17,$I17),"00"))</f>
        <v/>
      </c>
      <c r="B17" s="11" t="n"/>
      <c r="C17" s="11" t="n"/>
      <c r="D17" s="11" t="n"/>
      <c r="E17" s="10">
        <f>IF($D17="","",IFERROR(INDEX(Objectius!$C$2:$C$183,MATCH($D17,Objectius!$A$2:$A$183,0)),"Objectiu no trobat al Pla"))</f>
        <v/>
      </c>
      <c r="F17" s="11" t="n"/>
      <c r="G17" s="11" t="n"/>
      <c r="H17" s="11" t="n"/>
      <c r="I17" s="10">
        <f>IF($D17="","",IFERROR(INDEX(Objectius!$D$2:$D$183,MATCH($D17,Objectius!$A$2:$A$183,0)),""))</f>
        <v/>
      </c>
      <c r="J17" s="11" t="n"/>
      <c r="K17" s="11" t="n"/>
      <c r="L17" s="11" t="n"/>
      <c r="M17" s="12" t="n"/>
      <c r="N17" s="11" t="n"/>
      <c r="O17" s="10">
        <f>IF($N17="","",IFERROR(INDEX('PLA ESTRATÈGIC'!$G$4:$G$452,MATCH($N17,'PLA ESTRATÈGIC'!$Q$4:$Q$452,0)),""))</f>
        <v/>
      </c>
      <c r="P17" s="10">
        <f>IF($N17="","",IFERROR(INDEX('PLA ESTRATÈGIC'!$H$4:$H$452,MATCH($N17,'PLA ESTRATÈGIC'!$Q$4:$Q$452,0)),""))</f>
        <v/>
      </c>
      <c r="Q17" s="13" t="n"/>
      <c r="R17" s="11" t="n"/>
      <c r="S17" s="11" t="n"/>
      <c r="T17" s="11" t="n"/>
      <c r="U17" s="11" t="n"/>
      <c r="V17" s="10">
        <f>IF(COUNTA($C17,$D17,$J17,$M17)=0,"",IF(TRIM(IF($C17="","Falta l'actuació. ","")&amp;IF($D17="","Falta l'objectiu. ","")&amp;IF($J17="","Falta el tipus de despesa. ","")&amp;IF(AND($J17&lt;&gt;"",$J17&lt;&gt;"Mitjans propis",$J17&lt;&gt;"Altres",$M17=""),"Falta l'import. ","")&amp;IF(AND($J17="Contracte menor a càrrec del RAE",$K17=""),"Falta la partida RAE. ","")&amp;IF(AND($B17&lt;&gt;"",COUNTIF($B$6:$B$705,$B17)&gt;1),"Codi RAE repetit. ","")&amp;IF(AND($B17&lt;&gt;"",$J17&lt;&gt;"",$J17&lt;&gt;"Contracte menor a càrrec del RAE"),"Té codi RAE però no és de tipus RAE. ","")&amp;IF($N17="","Falta l'indicador del Pla. ","")&amp;IF($R17="","Falta el gestor. ","")&amp;IF($S17="","Falta indicar si és recurrent. ",""))="","✔",TRIM(IF($C17="","Falta l'actuació. ","")&amp;IF($D17="","Falta l'objectiu. ","")&amp;IF($J17="","Falta el tipus de despesa. ","")&amp;IF(AND($J17&lt;&gt;"",$J17&lt;&gt;"Mitjans propis",$J17&lt;&gt;"Altres",$M17=""),"Falta l'import. ","")&amp;IF(AND($J17="Contracte menor a càrrec del RAE",$K17=""),"Falta la partida RAE. ","")&amp;IF(AND($B17&lt;&gt;"",COUNTIF($B$6:$B$705,$B17)&gt;1),"Codi RAE repetit. ","")&amp;IF(AND($B17&lt;&gt;"",$J17&lt;&gt;"",$J17&lt;&gt;"Contracte menor a càrrec del RAE"),"Té codi RAE però no és de tipus RAE. ","")&amp;IF($N17="","Falta l'indicador del Pla. ","")&amp;IF($R17="","Falta el gestor. ","")&amp;IF($S17="","Falta indicar si és recurrent. ",""))))</f>
        <v/>
      </c>
    </row>
    <row r="18">
      <c r="A18" s="10">
        <f>IF($D18="","","27_"&amp;IFERROR(INDEX(Objectius!$E$2:$E$183,MATCH($D18,Objectius!$A$2:$A$183,0)),"??")&amp;"_"&amp;TEXT(COUNTIF($I$6:$I18,$I18),"00"))</f>
        <v/>
      </c>
      <c r="B18" s="11" t="n"/>
      <c r="C18" s="11" t="n"/>
      <c r="D18" s="11" t="n"/>
      <c r="E18" s="10">
        <f>IF($D18="","",IFERROR(INDEX(Objectius!$C$2:$C$183,MATCH($D18,Objectius!$A$2:$A$183,0)),"Objectiu no trobat al Pla"))</f>
        <v/>
      </c>
      <c r="F18" s="11" t="n"/>
      <c r="G18" s="11" t="n"/>
      <c r="H18" s="11" t="n"/>
      <c r="I18" s="10">
        <f>IF($D18="","",IFERROR(INDEX(Objectius!$D$2:$D$183,MATCH($D18,Objectius!$A$2:$A$183,0)),""))</f>
        <v/>
      </c>
      <c r="J18" s="11" t="n"/>
      <c r="K18" s="11" t="n"/>
      <c r="L18" s="11" t="n"/>
      <c r="M18" s="12" t="n"/>
      <c r="N18" s="11" t="n"/>
      <c r="O18" s="10">
        <f>IF($N18="","",IFERROR(INDEX('PLA ESTRATÈGIC'!$G$4:$G$452,MATCH($N18,'PLA ESTRATÈGIC'!$Q$4:$Q$452,0)),""))</f>
        <v/>
      </c>
      <c r="P18" s="10">
        <f>IF($N18="","",IFERROR(INDEX('PLA ESTRATÈGIC'!$H$4:$H$452,MATCH($N18,'PLA ESTRATÈGIC'!$Q$4:$Q$452,0)),""))</f>
        <v/>
      </c>
      <c r="Q18" s="13" t="n"/>
      <c r="R18" s="11" t="n"/>
      <c r="S18" s="11" t="n"/>
      <c r="T18" s="11" t="n"/>
      <c r="U18" s="11" t="n"/>
      <c r="V18" s="10">
        <f>IF(COUNTA($C18,$D18,$J18,$M18)=0,"",IF(TRIM(IF($C18="","Falta l'actuació. ","")&amp;IF($D18="","Falta l'objectiu. ","")&amp;IF($J18="","Falta el tipus de despesa. ","")&amp;IF(AND($J18&lt;&gt;"",$J18&lt;&gt;"Mitjans propis",$J18&lt;&gt;"Altres",$M18=""),"Falta l'import. ","")&amp;IF(AND($J18="Contracte menor a càrrec del RAE",$K18=""),"Falta la partida RAE. ","")&amp;IF(AND($B18&lt;&gt;"",COUNTIF($B$6:$B$705,$B18)&gt;1),"Codi RAE repetit. ","")&amp;IF(AND($B18&lt;&gt;"",$J18&lt;&gt;"",$J18&lt;&gt;"Contracte menor a càrrec del RAE"),"Té codi RAE però no és de tipus RAE. ","")&amp;IF($N18="","Falta l'indicador del Pla. ","")&amp;IF($R18="","Falta el gestor. ","")&amp;IF($S18="","Falta indicar si és recurrent. ",""))="","✔",TRIM(IF($C18="","Falta l'actuació. ","")&amp;IF($D18="","Falta l'objectiu. ","")&amp;IF($J18="","Falta el tipus de despesa. ","")&amp;IF(AND($J18&lt;&gt;"",$J18&lt;&gt;"Mitjans propis",$J18&lt;&gt;"Altres",$M18=""),"Falta l'import. ","")&amp;IF(AND($J18="Contracte menor a càrrec del RAE",$K18=""),"Falta la partida RAE. ","")&amp;IF(AND($B18&lt;&gt;"",COUNTIF($B$6:$B$705,$B18)&gt;1),"Codi RAE repetit. ","")&amp;IF(AND($B18&lt;&gt;"",$J18&lt;&gt;"",$J18&lt;&gt;"Contracte menor a càrrec del RAE"),"Té codi RAE però no és de tipus RAE. ","")&amp;IF($N18="","Falta l'indicador del Pla. ","")&amp;IF($R18="","Falta el gestor. ","")&amp;IF($S18="","Falta indicar si és recurrent. ",""))))</f>
        <v/>
      </c>
    </row>
    <row r="19">
      <c r="A19" s="10">
        <f>IF($D19="","","27_"&amp;IFERROR(INDEX(Objectius!$E$2:$E$183,MATCH($D19,Objectius!$A$2:$A$183,0)),"??")&amp;"_"&amp;TEXT(COUNTIF($I$6:$I19,$I19),"00"))</f>
        <v/>
      </c>
      <c r="B19" s="11" t="n"/>
      <c r="C19" s="11" t="n"/>
      <c r="D19" s="11" t="n"/>
      <c r="E19" s="10">
        <f>IF($D19="","",IFERROR(INDEX(Objectius!$C$2:$C$183,MATCH($D19,Objectius!$A$2:$A$183,0)),"Objectiu no trobat al Pla"))</f>
        <v/>
      </c>
      <c r="F19" s="11" t="n"/>
      <c r="G19" s="11" t="n"/>
      <c r="H19" s="11" t="n"/>
      <c r="I19" s="10">
        <f>IF($D19="","",IFERROR(INDEX(Objectius!$D$2:$D$183,MATCH($D19,Objectius!$A$2:$A$183,0)),""))</f>
        <v/>
      </c>
      <c r="J19" s="11" t="n"/>
      <c r="K19" s="11" t="n"/>
      <c r="L19" s="11" t="n"/>
      <c r="M19" s="12" t="n"/>
      <c r="N19" s="11" t="n"/>
      <c r="O19" s="10">
        <f>IF($N19="","",IFERROR(INDEX('PLA ESTRATÈGIC'!$G$4:$G$452,MATCH($N19,'PLA ESTRATÈGIC'!$Q$4:$Q$452,0)),""))</f>
        <v/>
      </c>
      <c r="P19" s="10">
        <f>IF($N19="","",IFERROR(INDEX('PLA ESTRATÈGIC'!$H$4:$H$452,MATCH($N19,'PLA ESTRATÈGIC'!$Q$4:$Q$452,0)),""))</f>
        <v/>
      </c>
      <c r="Q19" s="13" t="n"/>
      <c r="R19" s="11" t="n"/>
      <c r="S19" s="11" t="n"/>
      <c r="T19" s="11" t="n"/>
      <c r="U19" s="11" t="n"/>
      <c r="V19" s="10">
        <f>IF(COUNTA($C19,$D19,$J19,$M19)=0,"",IF(TRIM(IF($C19="","Falta l'actuació. ","")&amp;IF($D19="","Falta l'objectiu. ","")&amp;IF($J19="","Falta el tipus de despesa. ","")&amp;IF(AND($J19&lt;&gt;"",$J19&lt;&gt;"Mitjans propis",$J19&lt;&gt;"Altres",$M19=""),"Falta l'import. ","")&amp;IF(AND($J19="Contracte menor a càrrec del RAE",$K19=""),"Falta la partida RAE. ","")&amp;IF(AND($B19&lt;&gt;"",COUNTIF($B$6:$B$705,$B19)&gt;1),"Codi RAE repetit. ","")&amp;IF(AND($B19&lt;&gt;"",$J19&lt;&gt;"",$J19&lt;&gt;"Contracte menor a càrrec del RAE"),"Té codi RAE però no és de tipus RAE. ","")&amp;IF($N19="","Falta l'indicador del Pla. ","")&amp;IF($R19="","Falta el gestor. ","")&amp;IF($S19="","Falta indicar si és recurrent. ",""))="","✔",TRIM(IF($C19="","Falta l'actuació. ","")&amp;IF($D19="","Falta l'objectiu. ","")&amp;IF($J19="","Falta el tipus de despesa. ","")&amp;IF(AND($J19&lt;&gt;"",$J19&lt;&gt;"Mitjans propis",$J19&lt;&gt;"Altres",$M19=""),"Falta l'import. ","")&amp;IF(AND($J19="Contracte menor a càrrec del RAE",$K19=""),"Falta la partida RAE. ","")&amp;IF(AND($B19&lt;&gt;"",COUNTIF($B$6:$B$705,$B19)&gt;1),"Codi RAE repetit. ","")&amp;IF(AND($B19&lt;&gt;"",$J19&lt;&gt;"",$J19&lt;&gt;"Contracte menor a càrrec del RAE"),"Té codi RAE però no és de tipus RAE. ","")&amp;IF($N19="","Falta l'indicador del Pla. ","")&amp;IF($R19="","Falta el gestor. ","")&amp;IF($S19="","Falta indicar si és recurrent. ",""))))</f>
        <v/>
      </c>
    </row>
    <row r="20">
      <c r="A20" s="10">
        <f>IF($D20="","","27_"&amp;IFERROR(INDEX(Objectius!$E$2:$E$183,MATCH($D20,Objectius!$A$2:$A$183,0)),"??")&amp;"_"&amp;TEXT(COUNTIF($I$6:$I20,$I20),"00"))</f>
        <v/>
      </c>
      <c r="B20" s="11" t="n"/>
      <c r="C20" s="11" t="n"/>
      <c r="D20" s="11" t="n"/>
      <c r="E20" s="10">
        <f>IF($D20="","",IFERROR(INDEX(Objectius!$C$2:$C$183,MATCH($D20,Objectius!$A$2:$A$183,0)),"Objectiu no trobat al Pla"))</f>
        <v/>
      </c>
      <c r="F20" s="11" t="n"/>
      <c r="G20" s="11" t="n"/>
      <c r="H20" s="11" t="n"/>
      <c r="I20" s="10">
        <f>IF($D20="","",IFERROR(INDEX(Objectius!$D$2:$D$183,MATCH($D20,Objectius!$A$2:$A$183,0)),""))</f>
        <v/>
      </c>
      <c r="J20" s="11" t="n"/>
      <c r="K20" s="11" t="n"/>
      <c r="L20" s="11" t="n"/>
      <c r="M20" s="12" t="n"/>
      <c r="N20" s="11" t="n"/>
      <c r="O20" s="10">
        <f>IF($N20="","",IFERROR(INDEX('PLA ESTRATÈGIC'!$G$4:$G$452,MATCH($N20,'PLA ESTRATÈGIC'!$Q$4:$Q$452,0)),""))</f>
        <v/>
      </c>
      <c r="P20" s="10">
        <f>IF($N20="","",IFERROR(INDEX('PLA ESTRATÈGIC'!$H$4:$H$452,MATCH($N20,'PLA ESTRATÈGIC'!$Q$4:$Q$452,0)),""))</f>
        <v/>
      </c>
      <c r="Q20" s="13" t="n"/>
      <c r="R20" s="11" t="n"/>
      <c r="S20" s="11" t="n"/>
      <c r="T20" s="11" t="n"/>
      <c r="U20" s="11" t="n"/>
      <c r="V20" s="10">
        <f>IF(COUNTA($C20,$D20,$J20,$M20)=0,"",IF(TRIM(IF($C20="","Falta l'actuació. ","")&amp;IF($D20="","Falta l'objectiu. ","")&amp;IF($J20="","Falta el tipus de despesa. ","")&amp;IF(AND($J20&lt;&gt;"",$J20&lt;&gt;"Mitjans propis",$J20&lt;&gt;"Altres",$M20=""),"Falta l'import. ","")&amp;IF(AND($J20="Contracte menor a càrrec del RAE",$K20=""),"Falta la partida RAE. ","")&amp;IF(AND($B20&lt;&gt;"",COUNTIF($B$6:$B$705,$B20)&gt;1),"Codi RAE repetit. ","")&amp;IF(AND($B20&lt;&gt;"",$J20&lt;&gt;"",$J20&lt;&gt;"Contracte menor a càrrec del RAE"),"Té codi RAE però no és de tipus RAE. ","")&amp;IF($N20="","Falta l'indicador del Pla. ","")&amp;IF($R20="","Falta el gestor. ","")&amp;IF($S20="","Falta indicar si és recurrent. ",""))="","✔",TRIM(IF($C20="","Falta l'actuació. ","")&amp;IF($D20="","Falta l'objectiu. ","")&amp;IF($J20="","Falta el tipus de despesa. ","")&amp;IF(AND($J20&lt;&gt;"",$J20&lt;&gt;"Mitjans propis",$J20&lt;&gt;"Altres",$M20=""),"Falta l'import. ","")&amp;IF(AND($J20="Contracte menor a càrrec del RAE",$K20=""),"Falta la partida RAE. ","")&amp;IF(AND($B20&lt;&gt;"",COUNTIF($B$6:$B$705,$B20)&gt;1),"Codi RAE repetit. ","")&amp;IF(AND($B20&lt;&gt;"",$J20&lt;&gt;"",$J20&lt;&gt;"Contracte menor a càrrec del RAE"),"Té codi RAE però no és de tipus RAE. ","")&amp;IF($N20="","Falta l'indicador del Pla. ","")&amp;IF($R20="","Falta el gestor. ","")&amp;IF($S20="","Falta indicar si és recurrent. ",""))))</f>
        <v/>
      </c>
    </row>
    <row r="21">
      <c r="A21" s="10">
        <f>IF($D21="","","27_"&amp;IFERROR(INDEX(Objectius!$E$2:$E$183,MATCH($D21,Objectius!$A$2:$A$183,0)),"??")&amp;"_"&amp;TEXT(COUNTIF($I$6:$I21,$I21),"00"))</f>
        <v/>
      </c>
      <c r="B21" s="11" t="n"/>
      <c r="C21" s="11" t="n"/>
      <c r="D21" s="11" t="n"/>
      <c r="E21" s="10">
        <f>IF($D21="","",IFERROR(INDEX(Objectius!$C$2:$C$183,MATCH($D21,Objectius!$A$2:$A$183,0)),"Objectiu no trobat al Pla"))</f>
        <v/>
      </c>
      <c r="F21" s="11" t="n"/>
      <c r="G21" s="11" t="n"/>
      <c r="H21" s="11" t="n"/>
      <c r="I21" s="10">
        <f>IF($D21="","",IFERROR(INDEX(Objectius!$D$2:$D$183,MATCH($D21,Objectius!$A$2:$A$183,0)),""))</f>
        <v/>
      </c>
      <c r="J21" s="11" t="n"/>
      <c r="K21" s="11" t="n"/>
      <c r="L21" s="11" t="n"/>
      <c r="M21" s="12" t="n"/>
      <c r="N21" s="11" t="n"/>
      <c r="O21" s="10">
        <f>IF($N21="","",IFERROR(INDEX('PLA ESTRATÈGIC'!$G$4:$G$452,MATCH($N21,'PLA ESTRATÈGIC'!$Q$4:$Q$452,0)),""))</f>
        <v/>
      </c>
      <c r="P21" s="10">
        <f>IF($N21="","",IFERROR(INDEX('PLA ESTRATÈGIC'!$H$4:$H$452,MATCH($N21,'PLA ESTRATÈGIC'!$Q$4:$Q$452,0)),""))</f>
        <v/>
      </c>
      <c r="Q21" s="13" t="n"/>
      <c r="R21" s="11" t="n"/>
      <c r="S21" s="11" t="n"/>
      <c r="T21" s="11" t="n"/>
      <c r="U21" s="11" t="n"/>
      <c r="V21" s="10">
        <f>IF(COUNTA($C21,$D21,$J21,$M21)=0,"",IF(TRIM(IF($C21="","Falta l'actuació. ","")&amp;IF($D21="","Falta l'objectiu. ","")&amp;IF($J21="","Falta el tipus de despesa. ","")&amp;IF(AND($J21&lt;&gt;"",$J21&lt;&gt;"Mitjans propis",$J21&lt;&gt;"Altres",$M21=""),"Falta l'import. ","")&amp;IF(AND($J21="Contracte menor a càrrec del RAE",$K21=""),"Falta la partida RAE. ","")&amp;IF(AND($B21&lt;&gt;"",COUNTIF($B$6:$B$705,$B21)&gt;1),"Codi RAE repetit. ","")&amp;IF(AND($B21&lt;&gt;"",$J21&lt;&gt;"",$J21&lt;&gt;"Contracte menor a càrrec del RAE"),"Té codi RAE però no és de tipus RAE. ","")&amp;IF($N21="","Falta l'indicador del Pla. ","")&amp;IF($R21="","Falta el gestor. ","")&amp;IF($S21="","Falta indicar si és recurrent. ",""))="","✔",TRIM(IF($C21="","Falta l'actuació. ","")&amp;IF($D21="","Falta l'objectiu. ","")&amp;IF($J21="","Falta el tipus de despesa. ","")&amp;IF(AND($J21&lt;&gt;"",$J21&lt;&gt;"Mitjans propis",$J21&lt;&gt;"Altres",$M21=""),"Falta l'import. ","")&amp;IF(AND($J21="Contracte menor a càrrec del RAE",$K21=""),"Falta la partida RAE. ","")&amp;IF(AND($B21&lt;&gt;"",COUNTIF($B$6:$B$705,$B21)&gt;1),"Codi RAE repetit. ","")&amp;IF(AND($B21&lt;&gt;"",$J21&lt;&gt;"",$J21&lt;&gt;"Contracte menor a càrrec del RAE"),"Té codi RAE però no és de tipus RAE. ","")&amp;IF($N21="","Falta l'indicador del Pla. ","")&amp;IF($R21="","Falta el gestor. ","")&amp;IF($S21="","Falta indicar si és recurrent. ",""))))</f>
        <v/>
      </c>
    </row>
    <row r="22">
      <c r="A22" s="10">
        <f>IF($D22="","","27_"&amp;IFERROR(INDEX(Objectius!$E$2:$E$183,MATCH($D22,Objectius!$A$2:$A$183,0)),"??")&amp;"_"&amp;TEXT(COUNTIF($I$6:$I22,$I22),"00"))</f>
        <v/>
      </c>
      <c r="B22" s="11" t="n"/>
      <c r="C22" s="11" t="n"/>
      <c r="D22" s="11" t="n"/>
      <c r="E22" s="10">
        <f>IF($D22="","",IFERROR(INDEX(Objectius!$C$2:$C$183,MATCH($D22,Objectius!$A$2:$A$183,0)),"Objectiu no trobat al Pla"))</f>
        <v/>
      </c>
      <c r="F22" s="11" t="n"/>
      <c r="G22" s="11" t="n"/>
      <c r="H22" s="11" t="n"/>
      <c r="I22" s="10">
        <f>IF($D22="","",IFERROR(INDEX(Objectius!$D$2:$D$183,MATCH($D22,Objectius!$A$2:$A$183,0)),""))</f>
        <v/>
      </c>
      <c r="J22" s="11" t="n"/>
      <c r="K22" s="11" t="n"/>
      <c r="L22" s="11" t="n"/>
      <c r="M22" s="12" t="n"/>
      <c r="N22" s="11" t="n"/>
      <c r="O22" s="10">
        <f>IF($N22="","",IFERROR(INDEX('PLA ESTRATÈGIC'!$G$4:$G$452,MATCH($N22,'PLA ESTRATÈGIC'!$Q$4:$Q$452,0)),""))</f>
        <v/>
      </c>
      <c r="P22" s="10">
        <f>IF($N22="","",IFERROR(INDEX('PLA ESTRATÈGIC'!$H$4:$H$452,MATCH($N22,'PLA ESTRATÈGIC'!$Q$4:$Q$452,0)),""))</f>
        <v/>
      </c>
      <c r="Q22" s="13" t="n"/>
      <c r="R22" s="11" t="n"/>
      <c r="S22" s="11" t="n"/>
      <c r="T22" s="11" t="n"/>
      <c r="U22" s="11" t="n"/>
      <c r="V22" s="10">
        <f>IF(COUNTA($C22,$D22,$J22,$M22)=0,"",IF(TRIM(IF($C22="","Falta l'actuació. ","")&amp;IF($D22="","Falta l'objectiu. ","")&amp;IF($J22="","Falta el tipus de despesa. ","")&amp;IF(AND($J22&lt;&gt;"",$J22&lt;&gt;"Mitjans propis",$J22&lt;&gt;"Altres",$M22=""),"Falta l'import. ","")&amp;IF(AND($J22="Contracte menor a càrrec del RAE",$K22=""),"Falta la partida RAE. ","")&amp;IF(AND($B22&lt;&gt;"",COUNTIF($B$6:$B$705,$B22)&gt;1),"Codi RAE repetit. ","")&amp;IF(AND($B22&lt;&gt;"",$J22&lt;&gt;"",$J22&lt;&gt;"Contracte menor a càrrec del RAE"),"Té codi RAE però no és de tipus RAE. ","")&amp;IF($N22="","Falta l'indicador del Pla. ","")&amp;IF($R22="","Falta el gestor. ","")&amp;IF($S22="","Falta indicar si és recurrent. ",""))="","✔",TRIM(IF($C22="","Falta l'actuació. ","")&amp;IF($D22="","Falta l'objectiu. ","")&amp;IF($J22="","Falta el tipus de despesa. ","")&amp;IF(AND($J22&lt;&gt;"",$J22&lt;&gt;"Mitjans propis",$J22&lt;&gt;"Altres",$M22=""),"Falta l'import. ","")&amp;IF(AND($J22="Contracte menor a càrrec del RAE",$K22=""),"Falta la partida RAE. ","")&amp;IF(AND($B22&lt;&gt;"",COUNTIF($B$6:$B$705,$B22)&gt;1),"Codi RAE repetit. ","")&amp;IF(AND($B22&lt;&gt;"",$J22&lt;&gt;"",$J22&lt;&gt;"Contracte menor a càrrec del RAE"),"Té codi RAE però no és de tipus RAE. ","")&amp;IF($N22="","Falta l'indicador del Pla. ","")&amp;IF($R22="","Falta el gestor. ","")&amp;IF($S22="","Falta indicar si és recurrent. ",""))))</f>
        <v/>
      </c>
    </row>
    <row r="23">
      <c r="A23" s="10">
        <f>IF($D23="","","27_"&amp;IFERROR(INDEX(Objectius!$E$2:$E$183,MATCH($D23,Objectius!$A$2:$A$183,0)),"??")&amp;"_"&amp;TEXT(COUNTIF($I$6:$I23,$I23),"00"))</f>
        <v/>
      </c>
      <c r="B23" s="11" t="n"/>
      <c r="C23" s="11" t="n"/>
      <c r="D23" s="11" t="n"/>
      <c r="E23" s="10">
        <f>IF($D23="","",IFERROR(INDEX(Objectius!$C$2:$C$183,MATCH($D23,Objectius!$A$2:$A$183,0)),"Objectiu no trobat al Pla"))</f>
        <v/>
      </c>
      <c r="F23" s="11" t="n"/>
      <c r="G23" s="11" t="n"/>
      <c r="H23" s="11" t="n"/>
      <c r="I23" s="10">
        <f>IF($D23="","",IFERROR(INDEX(Objectius!$D$2:$D$183,MATCH($D23,Objectius!$A$2:$A$183,0)),""))</f>
        <v/>
      </c>
      <c r="J23" s="11" t="n"/>
      <c r="K23" s="11" t="n"/>
      <c r="L23" s="11" t="n"/>
      <c r="M23" s="12" t="n"/>
      <c r="N23" s="11" t="n"/>
      <c r="O23" s="10">
        <f>IF($N23="","",IFERROR(INDEX('PLA ESTRATÈGIC'!$G$4:$G$452,MATCH($N23,'PLA ESTRATÈGIC'!$Q$4:$Q$452,0)),""))</f>
        <v/>
      </c>
      <c r="P23" s="10">
        <f>IF($N23="","",IFERROR(INDEX('PLA ESTRATÈGIC'!$H$4:$H$452,MATCH($N23,'PLA ESTRATÈGIC'!$Q$4:$Q$452,0)),""))</f>
        <v/>
      </c>
      <c r="Q23" s="13" t="n"/>
      <c r="R23" s="11" t="n"/>
      <c r="S23" s="11" t="n"/>
      <c r="T23" s="11" t="n"/>
      <c r="U23" s="11" t="n"/>
      <c r="V23" s="10">
        <f>IF(COUNTA($C23,$D23,$J23,$M23)=0,"",IF(TRIM(IF($C23="","Falta l'actuació. ","")&amp;IF($D23="","Falta l'objectiu. ","")&amp;IF($J23="","Falta el tipus de despesa. ","")&amp;IF(AND($J23&lt;&gt;"",$J23&lt;&gt;"Mitjans propis",$J23&lt;&gt;"Altres",$M23=""),"Falta l'import. ","")&amp;IF(AND($J23="Contracte menor a càrrec del RAE",$K23=""),"Falta la partida RAE. ","")&amp;IF(AND($B23&lt;&gt;"",COUNTIF($B$6:$B$705,$B23)&gt;1),"Codi RAE repetit. ","")&amp;IF(AND($B23&lt;&gt;"",$J23&lt;&gt;"",$J23&lt;&gt;"Contracte menor a càrrec del RAE"),"Té codi RAE però no és de tipus RAE. ","")&amp;IF($N23="","Falta l'indicador del Pla. ","")&amp;IF($R23="","Falta el gestor. ","")&amp;IF($S23="","Falta indicar si és recurrent. ",""))="","✔",TRIM(IF($C23="","Falta l'actuació. ","")&amp;IF($D23="","Falta l'objectiu. ","")&amp;IF($J23="","Falta el tipus de despesa. ","")&amp;IF(AND($J23&lt;&gt;"",$J23&lt;&gt;"Mitjans propis",$J23&lt;&gt;"Altres",$M23=""),"Falta l'import. ","")&amp;IF(AND($J23="Contracte menor a càrrec del RAE",$K23=""),"Falta la partida RAE. ","")&amp;IF(AND($B23&lt;&gt;"",COUNTIF($B$6:$B$705,$B23)&gt;1),"Codi RAE repetit. ","")&amp;IF(AND($B23&lt;&gt;"",$J23&lt;&gt;"",$J23&lt;&gt;"Contracte menor a càrrec del RAE"),"Té codi RAE però no és de tipus RAE. ","")&amp;IF($N23="","Falta l'indicador del Pla. ","")&amp;IF($R23="","Falta el gestor. ","")&amp;IF($S23="","Falta indicar si és recurrent. ",""))))</f>
        <v/>
      </c>
    </row>
    <row r="24">
      <c r="A24" s="10">
        <f>IF($D24="","","27_"&amp;IFERROR(INDEX(Objectius!$E$2:$E$183,MATCH($D24,Objectius!$A$2:$A$183,0)),"??")&amp;"_"&amp;TEXT(COUNTIF($I$6:$I24,$I24),"00"))</f>
        <v/>
      </c>
      <c r="B24" s="11" t="n"/>
      <c r="C24" s="11" t="n"/>
      <c r="D24" s="11" t="n"/>
      <c r="E24" s="10">
        <f>IF($D24="","",IFERROR(INDEX(Objectius!$C$2:$C$183,MATCH($D24,Objectius!$A$2:$A$183,0)),"Objectiu no trobat al Pla"))</f>
        <v/>
      </c>
      <c r="F24" s="11" t="n"/>
      <c r="G24" s="11" t="n"/>
      <c r="H24" s="11" t="n"/>
      <c r="I24" s="10">
        <f>IF($D24="","",IFERROR(INDEX(Objectius!$D$2:$D$183,MATCH($D24,Objectius!$A$2:$A$183,0)),""))</f>
        <v/>
      </c>
      <c r="J24" s="11" t="n"/>
      <c r="K24" s="11" t="n"/>
      <c r="L24" s="11" t="n"/>
      <c r="M24" s="12" t="n"/>
      <c r="N24" s="11" t="n"/>
      <c r="O24" s="10">
        <f>IF($N24="","",IFERROR(INDEX('PLA ESTRATÈGIC'!$G$4:$G$452,MATCH($N24,'PLA ESTRATÈGIC'!$Q$4:$Q$452,0)),""))</f>
        <v/>
      </c>
      <c r="P24" s="10">
        <f>IF($N24="","",IFERROR(INDEX('PLA ESTRATÈGIC'!$H$4:$H$452,MATCH($N24,'PLA ESTRATÈGIC'!$Q$4:$Q$452,0)),""))</f>
        <v/>
      </c>
      <c r="Q24" s="13" t="n"/>
      <c r="R24" s="11" t="n"/>
      <c r="S24" s="11" t="n"/>
      <c r="T24" s="11" t="n"/>
      <c r="U24" s="11" t="n"/>
      <c r="V24" s="10">
        <f>IF(COUNTA($C24,$D24,$J24,$M24)=0,"",IF(TRIM(IF($C24="","Falta l'actuació. ","")&amp;IF($D24="","Falta l'objectiu. ","")&amp;IF($J24="","Falta el tipus de despesa. ","")&amp;IF(AND($J24&lt;&gt;"",$J24&lt;&gt;"Mitjans propis",$J24&lt;&gt;"Altres",$M24=""),"Falta l'import. ","")&amp;IF(AND($J24="Contracte menor a càrrec del RAE",$K24=""),"Falta la partida RAE. ","")&amp;IF(AND($B24&lt;&gt;"",COUNTIF($B$6:$B$705,$B24)&gt;1),"Codi RAE repetit. ","")&amp;IF(AND($B24&lt;&gt;"",$J24&lt;&gt;"",$J24&lt;&gt;"Contracte menor a càrrec del RAE"),"Té codi RAE però no és de tipus RAE. ","")&amp;IF($N24="","Falta l'indicador del Pla. ","")&amp;IF($R24="","Falta el gestor. ","")&amp;IF($S24="","Falta indicar si és recurrent. ",""))="","✔",TRIM(IF($C24="","Falta l'actuació. ","")&amp;IF($D24="","Falta l'objectiu. ","")&amp;IF($J24="","Falta el tipus de despesa. ","")&amp;IF(AND($J24&lt;&gt;"",$J24&lt;&gt;"Mitjans propis",$J24&lt;&gt;"Altres",$M24=""),"Falta l'import. ","")&amp;IF(AND($J24="Contracte menor a càrrec del RAE",$K24=""),"Falta la partida RAE. ","")&amp;IF(AND($B24&lt;&gt;"",COUNTIF($B$6:$B$705,$B24)&gt;1),"Codi RAE repetit. ","")&amp;IF(AND($B24&lt;&gt;"",$J24&lt;&gt;"",$J24&lt;&gt;"Contracte menor a càrrec del RAE"),"Té codi RAE però no és de tipus RAE. ","")&amp;IF($N24="","Falta l'indicador del Pla. ","")&amp;IF($R24="","Falta el gestor. ","")&amp;IF($S24="","Falta indicar si és recurrent. ",""))))</f>
        <v/>
      </c>
    </row>
    <row r="25">
      <c r="A25" s="10">
        <f>IF($D25="","","27_"&amp;IFERROR(INDEX(Objectius!$E$2:$E$183,MATCH($D25,Objectius!$A$2:$A$183,0)),"??")&amp;"_"&amp;TEXT(COUNTIF($I$6:$I25,$I25),"00"))</f>
        <v/>
      </c>
      <c r="B25" s="11" t="n"/>
      <c r="C25" s="11" t="n"/>
      <c r="D25" s="11" t="n"/>
      <c r="E25" s="10">
        <f>IF($D25="","",IFERROR(INDEX(Objectius!$C$2:$C$183,MATCH($D25,Objectius!$A$2:$A$183,0)),"Objectiu no trobat al Pla"))</f>
        <v/>
      </c>
      <c r="F25" s="11" t="n"/>
      <c r="G25" s="11" t="n"/>
      <c r="H25" s="11" t="n"/>
      <c r="I25" s="10">
        <f>IF($D25="","",IFERROR(INDEX(Objectius!$D$2:$D$183,MATCH($D25,Objectius!$A$2:$A$183,0)),""))</f>
        <v/>
      </c>
      <c r="J25" s="11" t="n"/>
      <c r="K25" s="11" t="n"/>
      <c r="L25" s="11" t="n"/>
      <c r="M25" s="12" t="n"/>
      <c r="N25" s="11" t="n"/>
      <c r="O25" s="10">
        <f>IF($N25="","",IFERROR(INDEX('PLA ESTRATÈGIC'!$G$4:$G$452,MATCH($N25,'PLA ESTRATÈGIC'!$Q$4:$Q$452,0)),""))</f>
        <v/>
      </c>
      <c r="P25" s="10">
        <f>IF($N25="","",IFERROR(INDEX('PLA ESTRATÈGIC'!$H$4:$H$452,MATCH($N25,'PLA ESTRATÈGIC'!$Q$4:$Q$452,0)),""))</f>
        <v/>
      </c>
      <c r="Q25" s="13" t="n"/>
      <c r="R25" s="11" t="n"/>
      <c r="S25" s="11" t="n"/>
      <c r="T25" s="11" t="n"/>
      <c r="U25" s="11" t="n"/>
      <c r="V25" s="10">
        <f>IF(COUNTA($C25,$D25,$J25,$M25)=0,"",IF(TRIM(IF($C25="","Falta l'actuació. ","")&amp;IF($D25="","Falta l'objectiu. ","")&amp;IF($J25="","Falta el tipus de despesa. ","")&amp;IF(AND($J25&lt;&gt;"",$J25&lt;&gt;"Mitjans propis",$J25&lt;&gt;"Altres",$M25=""),"Falta l'import. ","")&amp;IF(AND($J25="Contracte menor a càrrec del RAE",$K25=""),"Falta la partida RAE. ","")&amp;IF(AND($B25&lt;&gt;"",COUNTIF($B$6:$B$705,$B25)&gt;1),"Codi RAE repetit. ","")&amp;IF(AND($B25&lt;&gt;"",$J25&lt;&gt;"",$J25&lt;&gt;"Contracte menor a càrrec del RAE"),"Té codi RAE però no és de tipus RAE. ","")&amp;IF($N25="","Falta l'indicador del Pla. ","")&amp;IF($R25="","Falta el gestor. ","")&amp;IF($S25="","Falta indicar si és recurrent. ",""))="","✔",TRIM(IF($C25="","Falta l'actuació. ","")&amp;IF($D25="","Falta l'objectiu. ","")&amp;IF($J25="","Falta el tipus de despesa. ","")&amp;IF(AND($J25&lt;&gt;"",$J25&lt;&gt;"Mitjans propis",$J25&lt;&gt;"Altres",$M25=""),"Falta l'import. ","")&amp;IF(AND($J25="Contracte menor a càrrec del RAE",$K25=""),"Falta la partida RAE. ","")&amp;IF(AND($B25&lt;&gt;"",COUNTIF($B$6:$B$705,$B25)&gt;1),"Codi RAE repetit. ","")&amp;IF(AND($B25&lt;&gt;"",$J25&lt;&gt;"",$J25&lt;&gt;"Contracte menor a càrrec del RAE"),"Té codi RAE però no és de tipus RAE. ","")&amp;IF($N25="","Falta l'indicador del Pla. ","")&amp;IF($R25="","Falta el gestor. ","")&amp;IF($S25="","Falta indicar si és recurrent. ",""))))</f>
        <v/>
      </c>
    </row>
    <row r="26">
      <c r="A26" s="10">
        <f>IF($D26="","","27_"&amp;IFERROR(INDEX(Objectius!$E$2:$E$183,MATCH($D26,Objectius!$A$2:$A$183,0)),"??")&amp;"_"&amp;TEXT(COUNTIF($I$6:$I26,$I26),"00"))</f>
        <v/>
      </c>
      <c r="B26" s="11" t="n"/>
      <c r="C26" s="11" t="n"/>
      <c r="D26" s="11" t="n"/>
      <c r="E26" s="10">
        <f>IF($D26="","",IFERROR(INDEX(Objectius!$C$2:$C$183,MATCH($D26,Objectius!$A$2:$A$183,0)),"Objectiu no trobat al Pla"))</f>
        <v/>
      </c>
      <c r="F26" s="11" t="n"/>
      <c r="G26" s="11" t="n"/>
      <c r="H26" s="11" t="n"/>
      <c r="I26" s="10">
        <f>IF($D26="","",IFERROR(INDEX(Objectius!$D$2:$D$183,MATCH($D26,Objectius!$A$2:$A$183,0)),""))</f>
        <v/>
      </c>
      <c r="J26" s="11" t="n"/>
      <c r="K26" s="11" t="n"/>
      <c r="L26" s="11" t="n"/>
      <c r="M26" s="12" t="n"/>
      <c r="N26" s="11" t="n"/>
      <c r="O26" s="10">
        <f>IF($N26="","",IFERROR(INDEX('PLA ESTRATÈGIC'!$G$4:$G$452,MATCH($N26,'PLA ESTRATÈGIC'!$Q$4:$Q$452,0)),""))</f>
        <v/>
      </c>
      <c r="P26" s="10">
        <f>IF($N26="","",IFERROR(INDEX('PLA ESTRATÈGIC'!$H$4:$H$452,MATCH($N26,'PLA ESTRATÈGIC'!$Q$4:$Q$452,0)),""))</f>
        <v/>
      </c>
      <c r="Q26" s="13" t="n"/>
      <c r="R26" s="11" t="n"/>
      <c r="S26" s="11" t="n"/>
      <c r="T26" s="11" t="n"/>
      <c r="U26" s="11" t="n"/>
      <c r="V26" s="10">
        <f>IF(COUNTA($C26,$D26,$J26,$M26)=0,"",IF(TRIM(IF($C26="","Falta l'actuació. ","")&amp;IF($D26="","Falta l'objectiu. ","")&amp;IF($J26="","Falta el tipus de despesa. ","")&amp;IF(AND($J26&lt;&gt;"",$J26&lt;&gt;"Mitjans propis",$J26&lt;&gt;"Altres",$M26=""),"Falta l'import. ","")&amp;IF(AND($J26="Contracte menor a càrrec del RAE",$K26=""),"Falta la partida RAE. ","")&amp;IF(AND($B26&lt;&gt;"",COUNTIF($B$6:$B$705,$B26)&gt;1),"Codi RAE repetit. ","")&amp;IF(AND($B26&lt;&gt;"",$J26&lt;&gt;"",$J26&lt;&gt;"Contracte menor a càrrec del RAE"),"Té codi RAE però no és de tipus RAE. ","")&amp;IF($N26="","Falta l'indicador del Pla. ","")&amp;IF($R26="","Falta el gestor. ","")&amp;IF($S26="","Falta indicar si és recurrent. ",""))="","✔",TRIM(IF($C26="","Falta l'actuació. ","")&amp;IF($D26="","Falta l'objectiu. ","")&amp;IF($J26="","Falta el tipus de despesa. ","")&amp;IF(AND($J26&lt;&gt;"",$J26&lt;&gt;"Mitjans propis",$J26&lt;&gt;"Altres",$M26=""),"Falta l'import. ","")&amp;IF(AND($J26="Contracte menor a càrrec del RAE",$K26=""),"Falta la partida RAE. ","")&amp;IF(AND($B26&lt;&gt;"",COUNTIF($B$6:$B$705,$B26)&gt;1),"Codi RAE repetit. ","")&amp;IF(AND($B26&lt;&gt;"",$J26&lt;&gt;"",$J26&lt;&gt;"Contracte menor a càrrec del RAE"),"Té codi RAE però no és de tipus RAE. ","")&amp;IF($N26="","Falta l'indicador del Pla. ","")&amp;IF($R26="","Falta el gestor. ","")&amp;IF($S26="","Falta indicar si és recurrent. ",""))))</f>
        <v/>
      </c>
    </row>
    <row r="27">
      <c r="A27" s="10">
        <f>IF($D27="","","27_"&amp;IFERROR(INDEX(Objectius!$E$2:$E$183,MATCH($D27,Objectius!$A$2:$A$183,0)),"??")&amp;"_"&amp;TEXT(COUNTIF($I$6:$I27,$I27),"00"))</f>
        <v/>
      </c>
      <c r="B27" s="11" t="n"/>
      <c r="C27" s="11" t="n"/>
      <c r="D27" s="11" t="n"/>
      <c r="E27" s="10">
        <f>IF($D27="","",IFERROR(INDEX(Objectius!$C$2:$C$183,MATCH($D27,Objectius!$A$2:$A$183,0)),"Objectiu no trobat al Pla"))</f>
        <v/>
      </c>
      <c r="F27" s="11" t="n"/>
      <c r="G27" s="11" t="n"/>
      <c r="H27" s="11" t="n"/>
      <c r="I27" s="10">
        <f>IF($D27="","",IFERROR(INDEX(Objectius!$D$2:$D$183,MATCH($D27,Objectius!$A$2:$A$183,0)),""))</f>
        <v/>
      </c>
      <c r="J27" s="11" t="n"/>
      <c r="K27" s="11" t="n"/>
      <c r="L27" s="11" t="n"/>
      <c r="M27" s="12" t="n"/>
      <c r="N27" s="11" t="n"/>
      <c r="O27" s="10">
        <f>IF($N27="","",IFERROR(INDEX('PLA ESTRATÈGIC'!$G$4:$G$452,MATCH($N27,'PLA ESTRATÈGIC'!$Q$4:$Q$452,0)),""))</f>
        <v/>
      </c>
      <c r="P27" s="10">
        <f>IF($N27="","",IFERROR(INDEX('PLA ESTRATÈGIC'!$H$4:$H$452,MATCH($N27,'PLA ESTRATÈGIC'!$Q$4:$Q$452,0)),""))</f>
        <v/>
      </c>
      <c r="Q27" s="13" t="n"/>
      <c r="R27" s="11" t="n"/>
      <c r="S27" s="11" t="n"/>
      <c r="T27" s="11" t="n"/>
      <c r="U27" s="11" t="n"/>
      <c r="V27" s="10">
        <f>IF(COUNTA($C27,$D27,$J27,$M27)=0,"",IF(TRIM(IF($C27="","Falta l'actuació. ","")&amp;IF($D27="","Falta l'objectiu. ","")&amp;IF($J27="","Falta el tipus de despesa. ","")&amp;IF(AND($J27&lt;&gt;"",$J27&lt;&gt;"Mitjans propis",$J27&lt;&gt;"Altres",$M27=""),"Falta l'import. ","")&amp;IF(AND($J27="Contracte menor a càrrec del RAE",$K27=""),"Falta la partida RAE. ","")&amp;IF(AND($B27&lt;&gt;"",COUNTIF($B$6:$B$705,$B27)&gt;1),"Codi RAE repetit. ","")&amp;IF(AND($B27&lt;&gt;"",$J27&lt;&gt;"",$J27&lt;&gt;"Contracte menor a càrrec del RAE"),"Té codi RAE però no és de tipus RAE. ","")&amp;IF($N27="","Falta l'indicador del Pla. ","")&amp;IF($R27="","Falta el gestor. ","")&amp;IF($S27="","Falta indicar si és recurrent. ",""))="","✔",TRIM(IF($C27="","Falta l'actuació. ","")&amp;IF($D27="","Falta l'objectiu. ","")&amp;IF($J27="","Falta el tipus de despesa. ","")&amp;IF(AND($J27&lt;&gt;"",$J27&lt;&gt;"Mitjans propis",$J27&lt;&gt;"Altres",$M27=""),"Falta l'import. ","")&amp;IF(AND($J27="Contracte menor a càrrec del RAE",$K27=""),"Falta la partida RAE. ","")&amp;IF(AND($B27&lt;&gt;"",COUNTIF($B$6:$B$705,$B27)&gt;1),"Codi RAE repetit. ","")&amp;IF(AND($B27&lt;&gt;"",$J27&lt;&gt;"",$J27&lt;&gt;"Contracte menor a càrrec del RAE"),"Té codi RAE però no és de tipus RAE. ","")&amp;IF($N27="","Falta l'indicador del Pla. ","")&amp;IF($R27="","Falta el gestor. ","")&amp;IF($S27="","Falta indicar si és recurrent. ",""))))</f>
        <v/>
      </c>
    </row>
    <row r="28">
      <c r="A28" s="10">
        <f>IF($D28="","","27_"&amp;IFERROR(INDEX(Objectius!$E$2:$E$183,MATCH($D28,Objectius!$A$2:$A$183,0)),"??")&amp;"_"&amp;TEXT(COUNTIF($I$6:$I28,$I28),"00"))</f>
        <v/>
      </c>
      <c r="B28" s="11" t="n"/>
      <c r="C28" s="11" t="n"/>
      <c r="D28" s="11" t="n"/>
      <c r="E28" s="10">
        <f>IF($D28="","",IFERROR(INDEX(Objectius!$C$2:$C$183,MATCH($D28,Objectius!$A$2:$A$183,0)),"Objectiu no trobat al Pla"))</f>
        <v/>
      </c>
      <c r="F28" s="11" t="n"/>
      <c r="G28" s="11" t="n"/>
      <c r="H28" s="11" t="n"/>
      <c r="I28" s="10">
        <f>IF($D28="","",IFERROR(INDEX(Objectius!$D$2:$D$183,MATCH($D28,Objectius!$A$2:$A$183,0)),""))</f>
        <v/>
      </c>
      <c r="J28" s="11" t="n"/>
      <c r="K28" s="11" t="n"/>
      <c r="L28" s="11" t="n"/>
      <c r="M28" s="12" t="n"/>
      <c r="N28" s="11" t="n"/>
      <c r="O28" s="10">
        <f>IF($N28="","",IFERROR(INDEX('PLA ESTRATÈGIC'!$G$4:$G$452,MATCH($N28,'PLA ESTRATÈGIC'!$Q$4:$Q$452,0)),""))</f>
        <v/>
      </c>
      <c r="P28" s="10">
        <f>IF($N28="","",IFERROR(INDEX('PLA ESTRATÈGIC'!$H$4:$H$452,MATCH($N28,'PLA ESTRATÈGIC'!$Q$4:$Q$452,0)),""))</f>
        <v/>
      </c>
      <c r="Q28" s="13" t="n"/>
      <c r="R28" s="11" t="n"/>
      <c r="S28" s="11" t="n"/>
      <c r="T28" s="11" t="n"/>
      <c r="U28" s="11" t="n"/>
      <c r="V28" s="10">
        <f>IF(COUNTA($C28,$D28,$J28,$M28)=0,"",IF(TRIM(IF($C28="","Falta l'actuació. ","")&amp;IF($D28="","Falta l'objectiu. ","")&amp;IF($J28="","Falta el tipus de despesa. ","")&amp;IF(AND($J28&lt;&gt;"",$J28&lt;&gt;"Mitjans propis",$J28&lt;&gt;"Altres",$M28=""),"Falta l'import. ","")&amp;IF(AND($J28="Contracte menor a càrrec del RAE",$K28=""),"Falta la partida RAE. ","")&amp;IF(AND($B28&lt;&gt;"",COUNTIF($B$6:$B$705,$B28)&gt;1),"Codi RAE repetit. ","")&amp;IF(AND($B28&lt;&gt;"",$J28&lt;&gt;"",$J28&lt;&gt;"Contracte menor a càrrec del RAE"),"Té codi RAE però no és de tipus RAE. ","")&amp;IF($N28="","Falta l'indicador del Pla. ","")&amp;IF($R28="","Falta el gestor. ","")&amp;IF($S28="","Falta indicar si és recurrent. ",""))="","✔",TRIM(IF($C28="","Falta l'actuació. ","")&amp;IF($D28="","Falta l'objectiu. ","")&amp;IF($J28="","Falta el tipus de despesa. ","")&amp;IF(AND($J28&lt;&gt;"",$J28&lt;&gt;"Mitjans propis",$J28&lt;&gt;"Altres",$M28=""),"Falta l'import. ","")&amp;IF(AND($J28="Contracte menor a càrrec del RAE",$K28=""),"Falta la partida RAE. ","")&amp;IF(AND($B28&lt;&gt;"",COUNTIF($B$6:$B$705,$B28)&gt;1),"Codi RAE repetit. ","")&amp;IF(AND($B28&lt;&gt;"",$J28&lt;&gt;"",$J28&lt;&gt;"Contracte menor a càrrec del RAE"),"Té codi RAE però no és de tipus RAE. ","")&amp;IF($N28="","Falta l'indicador del Pla. ","")&amp;IF($R28="","Falta el gestor. ","")&amp;IF($S28="","Falta indicar si és recurrent. ",""))))</f>
        <v/>
      </c>
    </row>
    <row r="29">
      <c r="A29" s="10">
        <f>IF($D29="","","27_"&amp;IFERROR(INDEX(Objectius!$E$2:$E$183,MATCH($D29,Objectius!$A$2:$A$183,0)),"??")&amp;"_"&amp;TEXT(COUNTIF($I$6:$I29,$I29),"00"))</f>
        <v/>
      </c>
      <c r="B29" s="11" t="n"/>
      <c r="C29" s="11" t="n"/>
      <c r="D29" s="11" t="n"/>
      <c r="E29" s="10">
        <f>IF($D29="","",IFERROR(INDEX(Objectius!$C$2:$C$183,MATCH($D29,Objectius!$A$2:$A$183,0)),"Objectiu no trobat al Pla"))</f>
        <v/>
      </c>
      <c r="F29" s="11" t="n"/>
      <c r="G29" s="11" t="n"/>
      <c r="H29" s="11" t="n"/>
      <c r="I29" s="10">
        <f>IF($D29="","",IFERROR(INDEX(Objectius!$D$2:$D$183,MATCH($D29,Objectius!$A$2:$A$183,0)),""))</f>
        <v/>
      </c>
      <c r="J29" s="11" t="n"/>
      <c r="K29" s="11" t="n"/>
      <c r="L29" s="11" t="n"/>
      <c r="M29" s="12" t="n"/>
      <c r="N29" s="11" t="n"/>
      <c r="O29" s="10">
        <f>IF($N29="","",IFERROR(INDEX('PLA ESTRATÈGIC'!$G$4:$G$452,MATCH($N29,'PLA ESTRATÈGIC'!$Q$4:$Q$452,0)),""))</f>
        <v/>
      </c>
      <c r="P29" s="10">
        <f>IF($N29="","",IFERROR(INDEX('PLA ESTRATÈGIC'!$H$4:$H$452,MATCH($N29,'PLA ESTRATÈGIC'!$Q$4:$Q$452,0)),""))</f>
        <v/>
      </c>
      <c r="Q29" s="13" t="n"/>
      <c r="R29" s="11" t="n"/>
      <c r="S29" s="11" t="n"/>
      <c r="T29" s="11" t="n"/>
      <c r="U29" s="11" t="n"/>
      <c r="V29" s="10">
        <f>IF(COUNTA($C29,$D29,$J29,$M29)=0,"",IF(TRIM(IF($C29="","Falta l'actuació. ","")&amp;IF($D29="","Falta l'objectiu. ","")&amp;IF($J29="","Falta el tipus de despesa. ","")&amp;IF(AND($J29&lt;&gt;"",$J29&lt;&gt;"Mitjans propis",$J29&lt;&gt;"Altres",$M29=""),"Falta l'import. ","")&amp;IF(AND($J29="Contracte menor a càrrec del RAE",$K29=""),"Falta la partida RAE. ","")&amp;IF(AND($B29&lt;&gt;"",COUNTIF($B$6:$B$705,$B29)&gt;1),"Codi RAE repetit. ","")&amp;IF(AND($B29&lt;&gt;"",$J29&lt;&gt;"",$J29&lt;&gt;"Contracte menor a càrrec del RAE"),"Té codi RAE però no és de tipus RAE. ","")&amp;IF($N29="","Falta l'indicador del Pla. ","")&amp;IF($R29="","Falta el gestor. ","")&amp;IF($S29="","Falta indicar si és recurrent. ",""))="","✔",TRIM(IF($C29="","Falta l'actuació. ","")&amp;IF($D29="","Falta l'objectiu. ","")&amp;IF($J29="","Falta el tipus de despesa. ","")&amp;IF(AND($J29&lt;&gt;"",$J29&lt;&gt;"Mitjans propis",$J29&lt;&gt;"Altres",$M29=""),"Falta l'import. ","")&amp;IF(AND($J29="Contracte menor a càrrec del RAE",$K29=""),"Falta la partida RAE. ","")&amp;IF(AND($B29&lt;&gt;"",COUNTIF($B$6:$B$705,$B29)&gt;1),"Codi RAE repetit. ","")&amp;IF(AND($B29&lt;&gt;"",$J29&lt;&gt;"",$J29&lt;&gt;"Contracte menor a càrrec del RAE"),"Té codi RAE però no és de tipus RAE. ","")&amp;IF($N29="","Falta l'indicador del Pla. ","")&amp;IF($R29="","Falta el gestor. ","")&amp;IF($S29="","Falta indicar si és recurrent. ",""))))</f>
        <v/>
      </c>
    </row>
    <row r="30">
      <c r="A30" s="10">
        <f>IF($D30="","","27_"&amp;IFERROR(INDEX(Objectius!$E$2:$E$183,MATCH($D30,Objectius!$A$2:$A$183,0)),"??")&amp;"_"&amp;TEXT(COUNTIF($I$6:$I30,$I30),"00"))</f>
        <v/>
      </c>
      <c r="B30" s="11" t="n"/>
      <c r="C30" s="11" t="n"/>
      <c r="D30" s="11" t="n"/>
      <c r="E30" s="10">
        <f>IF($D30="","",IFERROR(INDEX(Objectius!$C$2:$C$183,MATCH($D30,Objectius!$A$2:$A$183,0)),"Objectiu no trobat al Pla"))</f>
        <v/>
      </c>
      <c r="F30" s="11" t="n"/>
      <c r="G30" s="11" t="n"/>
      <c r="H30" s="11" t="n"/>
      <c r="I30" s="10">
        <f>IF($D30="","",IFERROR(INDEX(Objectius!$D$2:$D$183,MATCH($D30,Objectius!$A$2:$A$183,0)),""))</f>
        <v/>
      </c>
      <c r="J30" s="11" t="n"/>
      <c r="K30" s="11" t="n"/>
      <c r="L30" s="11" t="n"/>
      <c r="M30" s="12" t="n"/>
      <c r="N30" s="11" t="n"/>
      <c r="O30" s="10">
        <f>IF($N30="","",IFERROR(INDEX('PLA ESTRATÈGIC'!$G$4:$G$452,MATCH($N30,'PLA ESTRATÈGIC'!$Q$4:$Q$452,0)),""))</f>
        <v/>
      </c>
      <c r="P30" s="10">
        <f>IF($N30="","",IFERROR(INDEX('PLA ESTRATÈGIC'!$H$4:$H$452,MATCH($N30,'PLA ESTRATÈGIC'!$Q$4:$Q$452,0)),""))</f>
        <v/>
      </c>
      <c r="Q30" s="13" t="n"/>
      <c r="R30" s="11" t="n"/>
      <c r="S30" s="11" t="n"/>
      <c r="T30" s="11" t="n"/>
      <c r="U30" s="11" t="n"/>
      <c r="V30" s="10">
        <f>IF(COUNTA($C30,$D30,$J30,$M30)=0,"",IF(TRIM(IF($C30="","Falta l'actuació. ","")&amp;IF($D30="","Falta l'objectiu. ","")&amp;IF($J30="","Falta el tipus de despesa. ","")&amp;IF(AND($J30&lt;&gt;"",$J30&lt;&gt;"Mitjans propis",$J30&lt;&gt;"Altres",$M30=""),"Falta l'import. ","")&amp;IF(AND($J30="Contracte menor a càrrec del RAE",$K30=""),"Falta la partida RAE. ","")&amp;IF(AND($B30&lt;&gt;"",COUNTIF($B$6:$B$705,$B30)&gt;1),"Codi RAE repetit. ","")&amp;IF(AND($B30&lt;&gt;"",$J30&lt;&gt;"",$J30&lt;&gt;"Contracte menor a càrrec del RAE"),"Té codi RAE però no és de tipus RAE. ","")&amp;IF($N30="","Falta l'indicador del Pla. ","")&amp;IF($R30="","Falta el gestor. ","")&amp;IF($S30="","Falta indicar si és recurrent. ",""))="","✔",TRIM(IF($C30="","Falta l'actuació. ","")&amp;IF($D30="","Falta l'objectiu. ","")&amp;IF($J30="","Falta el tipus de despesa. ","")&amp;IF(AND($J30&lt;&gt;"",$J30&lt;&gt;"Mitjans propis",$J30&lt;&gt;"Altres",$M30=""),"Falta l'import. ","")&amp;IF(AND($J30="Contracte menor a càrrec del RAE",$K30=""),"Falta la partida RAE. ","")&amp;IF(AND($B30&lt;&gt;"",COUNTIF($B$6:$B$705,$B30)&gt;1),"Codi RAE repetit. ","")&amp;IF(AND($B30&lt;&gt;"",$J30&lt;&gt;"",$J30&lt;&gt;"Contracte menor a càrrec del RAE"),"Té codi RAE però no és de tipus RAE. ","")&amp;IF($N30="","Falta l'indicador del Pla. ","")&amp;IF($R30="","Falta el gestor. ","")&amp;IF($S30="","Falta indicar si és recurrent. ",""))))</f>
        <v/>
      </c>
    </row>
    <row r="31">
      <c r="A31" s="10">
        <f>IF($D31="","","27_"&amp;IFERROR(INDEX(Objectius!$E$2:$E$183,MATCH($D31,Objectius!$A$2:$A$183,0)),"??")&amp;"_"&amp;TEXT(COUNTIF($I$6:$I31,$I31),"00"))</f>
        <v/>
      </c>
      <c r="B31" s="11" t="n"/>
      <c r="C31" s="11" t="n"/>
      <c r="D31" s="11" t="n"/>
      <c r="E31" s="10">
        <f>IF($D31="","",IFERROR(INDEX(Objectius!$C$2:$C$183,MATCH($D31,Objectius!$A$2:$A$183,0)),"Objectiu no trobat al Pla"))</f>
        <v/>
      </c>
      <c r="F31" s="11" t="n"/>
      <c r="G31" s="11" t="n"/>
      <c r="H31" s="11" t="n"/>
      <c r="I31" s="10">
        <f>IF($D31="","",IFERROR(INDEX(Objectius!$D$2:$D$183,MATCH($D31,Objectius!$A$2:$A$183,0)),""))</f>
        <v/>
      </c>
      <c r="J31" s="11" t="n"/>
      <c r="K31" s="11" t="n"/>
      <c r="L31" s="11" t="n"/>
      <c r="M31" s="12" t="n"/>
      <c r="N31" s="11" t="n"/>
      <c r="O31" s="10">
        <f>IF($N31="","",IFERROR(INDEX('PLA ESTRATÈGIC'!$G$4:$G$452,MATCH($N31,'PLA ESTRATÈGIC'!$Q$4:$Q$452,0)),""))</f>
        <v/>
      </c>
      <c r="P31" s="10">
        <f>IF($N31="","",IFERROR(INDEX('PLA ESTRATÈGIC'!$H$4:$H$452,MATCH($N31,'PLA ESTRATÈGIC'!$Q$4:$Q$452,0)),""))</f>
        <v/>
      </c>
      <c r="Q31" s="13" t="n"/>
      <c r="R31" s="11" t="n"/>
      <c r="S31" s="11" t="n"/>
      <c r="T31" s="11" t="n"/>
      <c r="U31" s="11" t="n"/>
      <c r="V31" s="10">
        <f>IF(COUNTA($C31,$D31,$J31,$M31)=0,"",IF(TRIM(IF($C31="","Falta l'actuació. ","")&amp;IF($D31="","Falta l'objectiu. ","")&amp;IF($J31="","Falta el tipus de despesa. ","")&amp;IF(AND($J31&lt;&gt;"",$J31&lt;&gt;"Mitjans propis",$J31&lt;&gt;"Altres",$M31=""),"Falta l'import. ","")&amp;IF(AND($J31="Contracte menor a càrrec del RAE",$K31=""),"Falta la partida RAE. ","")&amp;IF(AND($B31&lt;&gt;"",COUNTIF($B$6:$B$705,$B31)&gt;1),"Codi RAE repetit. ","")&amp;IF(AND($B31&lt;&gt;"",$J31&lt;&gt;"",$J31&lt;&gt;"Contracte menor a càrrec del RAE"),"Té codi RAE però no és de tipus RAE. ","")&amp;IF($N31="","Falta l'indicador del Pla. ","")&amp;IF($R31="","Falta el gestor. ","")&amp;IF($S31="","Falta indicar si és recurrent. ",""))="","✔",TRIM(IF($C31="","Falta l'actuació. ","")&amp;IF($D31="","Falta l'objectiu. ","")&amp;IF($J31="","Falta el tipus de despesa. ","")&amp;IF(AND($J31&lt;&gt;"",$J31&lt;&gt;"Mitjans propis",$J31&lt;&gt;"Altres",$M31=""),"Falta l'import. ","")&amp;IF(AND($J31="Contracte menor a càrrec del RAE",$K31=""),"Falta la partida RAE. ","")&amp;IF(AND($B31&lt;&gt;"",COUNTIF($B$6:$B$705,$B31)&gt;1),"Codi RAE repetit. ","")&amp;IF(AND($B31&lt;&gt;"",$J31&lt;&gt;"",$J31&lt;&gt;"Contracte menor a càrrec del RAE"),"Té codi RAE però no és de tipus RAE. ","")&amp;IF($N31="","Falta l'indicador del Pla. ","")&amp;IF($R31="","Falta el gestor. ","")&amp;IF($S31="","Falta indicar si és recurrent. ",""))))</f>
        <v/>
      </c>
    </row>
    <row r="32">
      <c r="A32" s="10">
        <f>IF($D32="","","27_"&amp;IFERROR(INDEX(Objectius!$E$2:$E$183,MATCH($D32,Objectius!$A$2:$A$183,0)),"??")&amp;"_"&amp;TEXT(COUNTIF($I$6:$I32,$I32),"00"))</f>
        <v/>
      </c>
      <c r="B32" s="11" t="n"/>
      <c r="C32" s="11" t="n"/>
      <c r="D32" s="11" t="n"/>
      <c r="E32" s="10">
        <f>IF($D32="","",IFERROR(INDEX(Objectius!$C$2:$C$183,MATCH($D32,Objectius!$A$2:$A$183,0)),"Objectiu no trobat al Pla"))</f>
        <v/>
      </c>
      <c r="F32" s="11" t="n"/>
      <c r="G32" s="11" t="n"/>
      <c r="H32" s="11" t="n"/>
      <c r="I32" s="10">
        <f>IF($D32="","",IFERROR(INDEX(Objectius!$D$2:$D$183,MATCH($D32,Objectius!$A$2:$A$183,0)),""))</f>
        <v/>
      </c>
      <c r="J32" s="11" t="n"/>
      <c r="K32" s="11" t="n"/>
      <c r="L32" s="11" t="n"/>
      <c r="M32" s="12" t="n"/>
      <c r="N32" s="11" t="n"/>
      <c r="O32" s="10">
        <f>IF($N32="","",IFERROR(INDEX('PLA ESTRATÈGIC'!$G$4:$G$452,MATCH($N32,'PLA ESTRATÈGIC'!$Q$4:$Q$452,0)),""))</f>
        <v/>
      </c>
      <c r="P32" s="10">
        <f>IF($N32="","",IFERROR(INDEX('PLA ESTRATÈGIC'!$H$4:$H$452,MATCH($N32,'PLA ESTRATÈGIC'!$Q$4:$Q$452,0)),""))</f>
        <v/>
      </c>
      <c r="Q32" s="13" t="n"/>
      <c r="R32" s="11" t="n"/>
      <c r="S32" s="11" t="n"/>
      <c r="T32" s="11" t="n"/>
      <c r="U32" s="11" t="n"/>
      <c r="V32" s="10">
        <f>IF(COUNTA($C32,$D32,$J32,$M32)=0,"",IF(TRIM(IF($C32="","Falta l'actuació. ","")&amp;IF($D32="","Falta l'objectiu. ","")&amp;IF($J32="","Falta el tipus de despesa. ","")&amp;IF(AND($J32&lt;&gt;"",$J32&lt;&gt;"Mitjans propis",$J32&lt;&gt;"Altres",$M32=""),"Falta l'import. ","")&amp;IF(AND($J32="Contracte menor a càrrec del RAE",$K32=""),"Falta la partida RAE. ","")&amp;IF(AND($B32&lt;&gt;"",COUNTIF($B$6:$B$705,$B32)&gt;1),"Codi RAE repetit. ","")&amp;IF(AND($B32&lt;&gt;"",$J32&lt;&gt;"",$J32&lt;&gt;"Contracte menor a càrrec del RAE"),"Té codi RAE però no és de tipus RAE. ","")&amp;IF($N32="","Falta l'indicador del Pla. ","")&amp;IF($R32="","Falta el gestor. ","")&amp;IF($S32="","Falta indicar si és recurrent. ",""))="","✔",TRIM(IF($C32="","Falta l'actuació. ","")&amp;IF($D32="","Falta l'objectiu. ","")&amp;IF($J32="","Falta el tipus de despesa. ","")&amp;IF(AND($J32&lt;&gt;"",$J32&lt;&gt;"Mitjans propis",$J32&lt;&gt;"Altres",$M32=""),"Falta l'import. ","")&amp;IF(AND($J32="Contracte menor a càrrec del RAE",$K32=""),"Falta la partida RAE. ","")&amp;IF(AND($B32&lt;&gt;"",COUNTIF($B$6:$B$705,$B32)&gt;1),"Codi RAE repetit. ","")&amp;IF(AND($B32&lt;&gt;"",$J32&lt;&gt;"",$J32&lt;&gt;"Contracte menor a càrrec del RAE"),"Té codi RAE però no és de tipus RAE. ","")&amp;IF($N32="","Falta l'indicador del Pla. ","")&amp;IF($R32="","Falta el gestor. ","")&amp;IF($S32="","Falta indicar si és recurrent. ",""))))</f>
        <v/>
      </c>
    </row>
    <row r="33">
      <c r="A33" s="10">
        <f>IF($D33="","","27_"&amp;IFERROR(INDEX(Objectius!$E$2:$E$183,MATCH($D33,Objectius!$A$2:$A$183,0)),"??")&amp;"_"&amp;TEXT(COUNTIF($I$6:$I33,$I33),"00"))</f>
        <v/>
      </c>
      <c r="B33" s="11" t="n"/>
      <c r="C33" s="11" t="n"/>
      <c r="D33" s="11" t="n"/>
      <c r="E33" s="10">
        <f>IF($D33="","",IFERROR(INDEX(Objectius!$C$2:$C$183,MATCH($D33,Objectius!$A$2:$A$183,0)),"Objectiu no trobat al Pla"))</f>
        <v/>
      </c>
      <c r="F33" s="11" t="n"/>
      <c r="G33" s="11" t="n"/>
      <c r="H33" s="11" t="n"/>
      <c r="I33" s="10">
        <f>IF($D33="","",IFERROR(INDEX(Objectius!$D$2:$D$183,MATCH($D33,Objectius!$A$2:$A$183,0)),""))</f>
        <v/>
      </c>
      <c r="J33" s="11" t="n"/>
      <c r="K33" s="11" t="n"/>
      <c r="L33" s="11" t="n"/>
      <c r="M33" s="12" t="n"/>
      <c r="N33" s="11" t="n"/>
      <c r="O33" s="10">
        <f>IF($N33="","",IFERROR(INDEX('PLA ESTRATÈGIC'!$G$4:$G$452,MATCH($N33,'PLA ESTRATÈGIC'!$Q$4:$Q$452,0)),""))</f>
        <v/>
      </c>
      <c r="P33" s="10">
        <f>IF($N33="","",IFERROR(INDEX('PLA ESTRATÈGIC'!$H$4:$H$452,MATCH($N33,'PLA ESTRATÈGIC'!$Q$4:$Q$452,0)),""))</f>
        <v/>
      </c>
      <c r="Q33" s="13" t="n"/>
      <c r="R33" s="11" t="n"/>
      <c r="S33" s="11" t="n"/>
      <c r="T33" s="11" t="n"/>
      <c r="U33" s="11" t="n"/>
      <c r="V33" s="10">
        <f>IF(COUNTA($C33,$D33,$J33,$M33)=0,"",IF(TRIM(IF($C33="","Falta l'actuació. ","")&amp;IF($D33="","Falta l'objectiu. ","")&amp;IF($J33="","Falta el tipus de despesa. ","")&amp;IF(AND($J33&lt;&gt;"",$J33&lt;&gt;"Mitjans propis",$J33&lt;&gt;"Altres",$M33=""),"Falta l'import. ","")&amp;IF(AND($J33="Contracte menor a càrrec del RAE",$K33=""),"Falta la partida RAE. ","")&amp;IF(AND($B33&lt;&gt;"",COUNTIF($B$6:$B$705,$B33)&gt;1),"Codi RAE repetit. ","")&amp;IF(AND($B33&lt;&gt;"",$J33&lt;&gt;"",$J33&lt;&gt;"Contracte menor a càrrec del RAE"),"Té codi RAE però no és de tipus RAE. ","")&amp;IF($N33="","Falta l'indicador del Pla. ","")&amp;IF($R33="","Falta el gestor. ","")&amp;IF($S33="","Falta indicar si és recurrent. ",""))="","✔",TRIM(IF($C33="","Falta l'actuació. ","")&amp;IF($D33="","Falta l'objectiu. ","")&amp;IF($J33="","Falta el tipus de despesa. ","")&amp;IF(AND($J33&lt;&gt;"",$J33&lt;&gt;"Mitjans propis",$J33&lt;&gt;"Altres",$M33=""),"Falta l'import. ","")&amp;IF(AND($J33="Contracte menor a càrrec del RAE",$K33=""),"Falta la partida RAE. ","")&amp;IF(AND($B33&lt;&gt;"",COUNTIF($B$6:$B$705,$B33)&gt;1),"Codi RAE repetit. ","")&amp;IF(AND($B33&lt;&gt;"",$J33&lt;&gt;"",$J33&lt;&gt;"Contracte menor a càrrec del RAE"),"Té codi RAE però no és de tipus RAE. ","")&amp;IF($N33="","Falta l'indicador del Pla. ","")&amp;IF($R33="","Falta el gestor. ","")&amp;IF($S33="","Falta indicar si és recurrent. ",""))))</f>
        <v/>
      </c>
    </row>
    <row r="34">
      <c r="A34" s="10">
        <f>IF($D34="","","27_"&amp;IFERROR(INDEX(Objectius!$E$2:$E$183,MATCH($D34,Objectius!$A$2:$A$183,0)),"??")&amp;"_"&amp;TEXT(COUNTIF($I$6:$I34,$I34),"00"))</f>
        <v/>
      </c>
      <c r="B34" s="11" t="n"/>
      <c r="C34" s="11" t="n"/>
      <c r="D34" s="11" t="n"/>
      <c r="E34" s="10">
        <f>IF($D34="","",IFERROR(INDEX(Objectius!$C$2:$C$183,MATCH($D34,Objectius!$A$2:$A$183,0)),"Objectiu no trobat al Pla"))</f>
        <v/>
      </c>
      <c r="F34" s="11" t="n"/>
      <c r="G34" s="11" t="n"/>
      <c r="H34" s="11" t="n"/>
      <c r="I34" s="10">
        <f>IF($D34="","",IFERROR(INDEX(Objectius!$D$2:$D$183,MATCH($D34,Objectius!$A$2:$A$183,0)),""))</f>
        <v/>
      </c>
      <c r="J34" s="11" t="n"/>
      <c r="K34" s="11" t="n"/>
      <c r="L34" s="11" t="n"/>
      <c r="M34" s="12" t="n"/>
      <c r="N34" s="11" t="n"/>
      <c r="O34" s="10">
        <f>IF($N34="","",IFERROR(INDEX('PLA ESTRATÈGIC'!$G$4:$G$452,MATCH($N34,'PLA ESTRATÈGIC'!$Q$4:$Q$452,0)),""))</f>
        <v/>
      </c>
      <c r="P34" s="10">
        <f>IF($N34="","",IFERROR(INDEX('PLA ESTRATÈGIC'!$H$4:$H$452,MATCH($N34,'PLA ESTRATÈGIC'!$Q$4:$Q$452,0)),""))</f>
        <v/>
      </c>
      <c r="Q34" s="13" t="n"/>
      <c r="R34" s="11" t="n"/>
      <c r="S34" s="11" t="n"/>
      <c r="T34" s="11" t="n"/>
      <c r="U34" s="11" t="n"/>
      <c r="V34" s="10">
        <f>IF(COUNTA($C34,$D34,$J34,$M34)=0,"",IF(TRIM(IF($C34="","Falta l'actuació. ","")&amp;IF($D34="","Falta l'objectiu. ","")&amp;IF($J34="","Falta el tipus de despesa. ","")&amp;IF(AND($J34&lt;&gt;"",$J34&lt;&gt;"Mitjans propis",$J34&lt;&gt;"Altres",$M34=""),"Falta l'import. ","")&amp;IF(AND($J34="Contracte menor a càrrec del RAE",$K34=""),"Falta la partida RAE. ","")&amp;IF(AND($B34&lt;&gt;"",COUNTIF($B$6:$B$705,$B34)&gt;1),"Codi RAE repetit. ","")&amp;IF(AND($B34&lt;&gt;"",$J34&lt;&gt;"",$J34&lt;&gt;"Contracte menor a càrrec del RAE"),"Té codi RAE però no és de tipus RAE. ","")&amp;IF($N34="","Falta l'indicador del Pla. ","")&amp;IF($R34="","Falta el gestor. ","")&amp;IF($S34="","Falta indicar si és recurrent. ",""))="","✔",TRIM(IF($C34="","Falta l'actuació. ","")&amp;IF($D34="","Falta l'objectiu. ","")&amp;IF($J34="","Falta el tipus de despesa. ","")&amp;IF(AND($J34&lt;&gt;"",$J34&lt;&gt;"Mitjans propis",$J34&lt;&gt;"Altres",$M34=""),"Falta l'import. ","")&amp;IF(AND($J34="Contracte menor a càrrec del RAE",$K34=""),"Falta la partida RAE. ","")&amp;IF(AND($B34&lt;&gt;"",COUNTIF($B$6:$B$705,$B34)&gt;1),"Codi RAE repetit. ","")&amp;IF(AND($B34&lt;&gt;"",$J34&lt;&gt;"",$J34&lt;&gt;"Contracte menor a càrrec del RAE"),"Té codi RAE però no és de tipus RAE. ","")&amp;IF($N34="","Falta l'indicador del Pla. ","")&amp;IF($R34="","Falta el gestor. ","")&amp;IF($S34="","Falta indicar si és recurrent. ",""))))</f>
        <v/>
      </c>
    </row>
    <row r="35">
      <c r="A35" s="10">
        <f>IF($D35="","","27_"&amp;IFERROR(INDEX(Objectius!$E$2:$E$183,MATCH($D35,Objectius!$A$2:$A$183,0)),"??")&amp;"_"&amp;TEXT(COUNTIF($I$6:$I35,$I35),"00"))</f>
        <v/>
      </c>
      <c r="B35" s="11" t="n"/>
      <c r="C35" s="11" t="n"/>
      <c r="D35" s="11" t="n"/>
      <c r="E35" s="10">
        <f>IF($D35="","",IFERROR(INDEX(Objectius!$C$2:$C$183,MATCH($D35,Objectius!$A$2:$A$183,0)),"Objectiu no trobat al Pla"))</f>
        <v/>
      </c>
      <c r="F35" s="11" t="n"/>
      <c r="G35" s="11" t="n"/>
      <c r="H35" s="11" t="n"/>
      <c r="I35" s="10">
        <f>IF($D35="","",IFERROR(INDEX(Objectius!$D$2:$D$183,MATCH($D35,Objectius!$A$2:$A$183,0)),""))</f>
        <v/>
      </c>
      <c r="J35" s="11" t="n"/>
      <c r="K35" s="11" t="n"/>
      <c r="L35" s="11" t="n"/>
      <c r="M35" s="12" t="n"/>
      <c r="N35" s="11" t="n"/>
      <c r="O35" s="10">
        <f>IF($N35="","",IFERROR(INDEX('PLA ESTRATÈGIC'!$G$4:$G$452,MATCH($N35,'PLA ESTRATÈGIC'!$Q$4:$Q$452,0)),""))</f>
        <v/>
      </c>
      <c r="P35" s="10">
        <f>IF($N35="","",IFERROR(INDEX('PLA ESTRATÈGIC'!$H$4:$H$452,MATCH($N35,'PLA ESTRATÈGIC'!$Q$4:$Q$452,0)),""))</f>
        <v/>
      </c>
      <c r="Q35" s="13" t="n"/>
      <c r="R35" s="11" t="n"/>
      <c r="S35" s="11" t="n"/>
      <c r="T35" s="11" t="n"/>
      <c r="U35" s="11" t="n"/>
      <c r="V35" s="10">
        <f>IF(COUNTA($C35,$D35,$J35,$M35)=0,"",IF(TRIM(IF($C35="","Falta l'actuació. ","")&amp;IF($D35="","Falta l'objectiu. ","")&amp;IF($J35="","Falta el tipus de despesa. ","")&amp;IF(AND($J35&lt;&gt;"",$J35&lt;&gt;"Mitjans propis",$J35&lt;&gt;"Altres",$M35=""),"Falta l'import. ","")&amp;IF(AND($J35="Contracte menor a càrrec del RAE",$K35=""),"Falta la partida RAE. ","")&amp;IF(AND($B35&lt;&gt;"",COUNTIF($B$6:$B$705,$B35)&gt;1),"Codi RAE repetit. ","")&amp;IF(AND($B35&lt;&gt;"",$J35&lt;&gt;"",$J35&lt;&gt;"Contracte menor a càrrec del RAE"),"Té codi RAE però no és de tipus RAE. ","")&amp;IF($N35="","Falta l'indicador del Pla. ","")&amp;IF($R35="","Falta el gestor. ","")&amp;IF($S35="","Falta indicar si és recurrent. ",""))="","✔",TRIM(IF($C35="","Falta l'actuació. ","")&amp;IF($D35="","Falta l'objectiu. ","")&amp;IF($J35="","Falta el tipus de despesa. ","")&amp;IF(AND($J35&lt;&gt;"",$J35&lt;&gt;"Mitjans propis",$J35&lt;&gt;"Altres",$M35=""),"Falta l'import. ","")&amp;IF(AND($J35="Contracte menor a càrrec del RAE",$K35=""),"Falta la partida RAE. ","")&amp;IF(AND($B35&lt;&gt;"",COUNTIF($B$6:$B$705,$B35)&gt;1),"Codi RAE repetit. ","")&amp;IF(AND($B35&lt;&gt;"",$J35&lt;&gt;"",$J35&lt;&gt;"Contracte menor a càrrec del RAE"),"Té codi RAE però no és de tipus RAE. ","")&amp;IF($N35="","Falta l'indicador del Pla. ","")&amp;IF($R35="","Falta el gestor. ","")&amp;IF($S35="","Falta indicar si és recurrent. ",""))))</f>
        <v/>
      </c>
    </row>
    <row r="36">
      <c r="A36" s="10">
        <f>IF($D36="","","27_"&amp;IFERROR(INDEX(Objectius!$E$2:$E$183,MATCH($D36,Objectius!$A$2:$A$183,0)),"??")&amp;"_"&amp;TEXT(COUNTIF($I$6:$I36,$I36),"00"))</f>
        <v/>
      </c>
      <c r="B36" s="11" t="n"/>
      <c r="C36" s="11" t="n"/>
      <c r="D36" s="11" t="n"/>
      <c r="E36" s="10">
        <f>IF($D36="","",IFERROR(INDEX(Objectius!$C$2:$C$183,MATCH($D36,Objectius!$A$2:$A$183,0)),"Objectiu no trobat al Pla"))</f>
        <v/>
      </c>
      <c r="F36" s="11" t="n"/>
      <c r="G36" s="11" t="n"/>
      <c r="H36" s="11" t="n"/>
      <c r="I36" s="10">
        <f>IF($D36="","",IFERROR(INDEX(Objectius!$D$2:$D$183,MATCH($D36,Objectius!$A$2:$A$183,0)),""))</f>
        <v/>
      </c>
      <c r="J36" s="11" t="n"/>
      <c r="K36" s="11" t="n"/>
      <c r="L36" s="11" t="n"/>
      <c r="M36" s="12" t="n"/>
      <c r="N36" s="11" t="n"/>
      <c r="O36" s="10">
        <f>IF($N36="","",IFERROR(INDEX('PLA ESTRATÈGIC'!$G$4:$G$452,MATCH($N36,'PLA ESTRATÈGIC'!$Q$4:$Q$452,0)),""))</f>
        <v/>
      </c>
      <c r="P36" s="10">
        <f>IF($N36="","",IFERROR(INDEX('PLA ESTRATÈGIC'!$H$4:$H$452,MATCH($N36,'PLA ESTRATÈGIC'!$Q$4:$Q$452,0)),""))</f>
        <v/>
      </c>
      <c r="Q36" s="13" t="n"/>
      <c r="R36" s="11" t="n"/>
      <c r="S36" s="11" t="n"/>
      <c r="T36" s="11" t="n"/>
      <c r="U36" s="11" t="n"/>
      <c r="V36" s="10">
        <f>IF(COUNTA($C36,$D36,$J36,$M36)=0,"",IF(TRIM(IF($C36="","Falta l'actuació. ","")&amp;IF($D36="","Falta l'objectiu. ","")&amp;IF($J36="","Falta el tipus de despesa. ","")&amp;IF(AND($J36&lt;&gt;"",$J36&lt;&gt;"Mitjans propis",$J36&lt;&gt;"Altres",$M36=""),"Falta l'import. ","")&amp;IF(AND($J36="Contracte menor a càrrec del RAE",$K36=""),"Falta la partida RAE. ","")&amp;IF(AND($B36&lt;&gt;"",COUNTIF($B$6:$B$705,$B36)&gt;1),"Codi RAE repetit. ","")&amp;IF(AND($B36&lt;&gt;"",$J36&lt;&gt;"",$J36&lt;&gt;"Contracte menor a càrrec del RAE"),"Té codi RAE però no és de tipus RAE. ","")&amp;IF($N36="","Falta l'indicador del Pla. ","")&amp;IF($R36="","Falta el gestor. ","")&amp;IF($S36="","Falta indicar si és recurrent. ",""))="","✔",TRIM(IF($C36="","Falta l'actuació. ","")&amp;IF($D36="","Falta l'objectiu. ","")&amp;IF($J36="","Falta el tipus de despesa. ","")&amp;IF(AND($J36&lt;&gt;"",$J36&lt;&gt;"Mitjans propis",$J36&lt;&gt;"Altres",$M36=""),"Falta l'import. ","")&amp;IF(AND($J36="Contracte menor a càrrec del RAE",$K36=""),"Falta la partida RAE. ","")&amp;IF(AND($B36&lt;&gt;"",COUNTIF($B$6:$B$705,$B36)&gt;1),"Codi RAE repetit. ","")&amp;IF(AND($B36&lt;&gt;"",$J36&lt;&gt;"",$J36&lt;&gt;"Contracte menor a càrrec del RAE"),"Té codi RAE però no és de tipus RAE. ","")&amp;IF($N36="","Falta l'indicador del Pla. ","")&amp;IF($R36="","Falta el gestor. ","")&amp;IF($S36="","Falta indicar si és recurrent. ",""))))</f>
        <v/>
      </c>
    </row>
    <row r="37">
      <c r="A37" s="10">
        <f>IF($D37="","","27_"&amp;IFERROR(INDEX(Objectius!$E$2:$E$183,MATCH($D37,Objectius!$A$2:$A$183,0)),"??")&amp;"_"&amp;TEXT(COUNTIF($I$6:$I37,$I37),"00"))</f>
        <v/>
      </c>
      <c r="B37" s="11" t="n"/>
      <c r="C37" s="11" t="n"/>
      <c r="D37" s="11" t="n"/>
      <c r="E37" s="10">
        <f>IF($D37="","",IFERROR(INDEX(Objectius!$C$2:$C$183,MATCH($D37,Objectius!$A$2:$A$183,0)),"Objectiu no trobat al Pla"))</f>
        <v/>
      </c>
      <c r="F37" s="11" t="n"/>
      <c r="G37" s="11" t="n"/>
      <c r="H37" s="11" t="n"/>
      <c r="I37" s="10">
        <f>IF($D37="","",IFERROR(INDEX(Objectius!$D$2:$D$183,MATCH($D37,Objectius!$A$2:$A$183,0)),""))</f>
        <v/>
      </c>
      <c r="J37" s="11" t="n"/>
      <c r="K37" s="11" t="n"/>
      <c r="L37" s="11" t="n"/>
      <c r="M37" s="12" t="n"/>
      <c r="N37" s="11" t="n"/>
      <c r="O37" s="10">
        <f>IF($N37="","",IFERROR(INDEX('PLA ESTRATÈGIC'!$G$4:$G$452,MATCH($N37,'PLA ESTRATÈGIC'!$Q$4:$Q$452,0)),""))</f>
        <v/>
      </c>
      <c r="P37" s="10">
        <f>IF($N37="","",IFERROR(INDEX('PLA ESTRATÈGIC'!$H$4:$H$452,MATCH($N37,'PLA ESTRATÈGIC'!$Q$4:$Q$452,0)),""))</f>
        <v/>
      </c>
      <c r="Q37" s="13" t="n"/>
      <c r="R37" s="11" t="n"/>
      <c r="S37" s="11" t="n"/>
      <c r="T37" s="11" t="n"/>
      <c r="U37" s="11" t="n"/>
      <c r="V37" s="10">
        <f>IF(COUNTA($C37,$D37,$J37,$M37)=0,"",IF(TRIM(IF($C37="","Falta l'actuació. ","")&amp;IF($D37="","Falta l'objectiu. ","")&amp;IF($J37="","Falta el tipus de despesa. ","")&amp;IF(AND($J37&lt;&gt;"",$J37&lt;&gt;"Mitjans propis",$J37&lt;&gt;"Altres",$M37=""),"Falta l'import. ","")&amp;IF(AND($J37="Contracte menor a càrrec del RAE",$K37=""),"Falta la partida RAE. ","")&amp;IF(AND($B37&lt;&gt;"",COUNTIF($B$6:$B$705,$B37)&gt;1),"Codi RAE repetit. ","")&amp;IF(AND($B37&lt;&gt;"",$J37&lt;&gt;"",$J37&lt;&gt;"Contracte menor a càrrec del RAE"),"Té codi RAE però no és de tipus RAE. ","")&amp;IF($N37="","Falta l'indicador del Pla. ","")&amp;IF($R37="","Falta el gestor. ","")&amp;IF($S37="","Falta indicar si és recurrent. ",""))="","✔",TRIM(IF($C37="","Falta l'actuació. ","")&amp;IF($D37="","Falta l'objectiu. ","")&amp;IF($J37="","Falta el tipus de despesa. ","")&amp;IF(AND($J37&lt;&gt;"",$J37&lt;&gt;"Mitjans propis",$J37&lt;&gt;"Altres",$M37=""),"Falta l'import. ","")&amp;IF(AND($J37="Contracte menor a càrrec del RAE",$K37=""),"Falta la partida RAE. ","")&amp;IF(AND($B37&lt;&gt;"",COUNTIF($B$6:$B$705,$B37)&gt;1),"Codi RAE repetit. ","")&amp;IF(AND($B37&lt;&gt;"",$J37&lt;&gt;"",$J37&lt;&gt;"Contracte menor a càrrec del RAE"),"Té codi RAE però no és de tipus RAE. ","")&amp;IF($N37="","Falta l'indicador del Pla. ","")&amp;IF($R37="","Falta el gestor. ","")&amp;IF($S37="","Falta indicar si és recurrent. ",""))))</f>
        <v/>
      </c>
    </row>
    <row r="38">
      <c r="A38" s="10">
        <f>IF($D38="","","27_"&amp;IFERROR(INDEX(Objectius!$E$2:$E$183,MATCH($D38,Objectius!$A$2:$A$183,0)),"??")&amp;"_"&amp;TEXT(COUNTIF($I$6:$I38,$I38),"00"))</f>
        <v/>
      </c>
      <c r="B38" s="11" t="n"/>
      <c r="C38" s="11" t="n"/>
      <c r="D38" s="11" t="n"/>
      <c r="E38" s="10">
        <f>IF($D38="","",IFERROR(INDEX(Objectius!$C$2:$C$183,MATCH($D38,Objectius!$A$2:$A$183,0)),"Objectiu no trobat al Pla"))</f>
        <v/>
      </c>
      <c r="F38" s="11" t="n"/>
      <c r="G38" s="11" t="n"/>
      <c r="H38" s="11" t="n"/>
      <c r="I38" s="10">
        <f>IF($D38="","",IFERROR(INDEX(Objectius!$D$2:$D$183,MATCH($D38,Objectius!$A$2:$A$183,0)),""))</f>
        <v/>
      </c>
      <c r="J38" s="11" t="n"/>
      <c r="K38" s="11" t="n"/>
      <c r="L38" s="11" t="n"/>
      <c r="M38" s="12" t="n"/>
      <c r="N38" s="11" t="n"/>
      <c r="O38" s="10">
        <f>IF($N38="","",IFERROR(INDEX('PLA ESTRATÈGIC'!$G$4:$G$452,MATCH($N38,'PLA ESTRATÈGIC'!$Q$4:$Q$452,0)),""))</f>
        <v/>
      </c>
      <c r="P38" s="10">
        <f>IF($N38="","",IFERROR(INDEX('PLA ESTRATÈGIC'!$H$4:$H$452,MATCH($N38,'PLA ESTRATÈGIC'!$Q$4:$Q$452,0)),""))</f>
        <v/>
      </c>
      <c r="Q38" s="13" t="n"/>
      <c r="R38" s="11" t="n"/>
      <c r="S38" s="11" t="n"/>
      <c r="T38" s="11" t="n"/>
      <c r="U38" s="11" t="n"/>
      <c r="V38" s="10">
        <f>IF(COUNTA($C38,$D38,$J38,$M38)=0,"",IF(TRIM(IF($C38="","Falta l'actuació. ","")&amp;IF($D38="","Falta l'objectiu. ","")&amp;IF($J38="","Falta el tipus de despesa. ","")&amp;IF(AND($J38&lt;&gt;"",$J38&lt;&gt;"Mitjans propis",$J38&lt;&gt;"Altres",$M38=""),"Falta l'import. ","")&amp;IF(AND($J38="Contracte menor a càrrec del RAE",$K38=""),"Falta la partida RAE. ","")&amp;IF(AND($B38&lt;&gt;"",COUNTIF($B$6:$B$705,$B38)&gt;1),"Codi RAE repetit. ","")&amp;IF(AND($B38&lt;&gt;"",$J38&lt;&gt;"",$J38&lt;&gt;"Contracte menor a càrrec del RAE"),"Té codi RAE però no és de tipus RAE. ","")&amp;IF($N38="","Falta l'indicador del Pla. ","")&amp;IF($R38="","Falta el gestor. ","")&amp;IF($S38="","Falta indicar si és recurrent. ",""))="","✔",TRIM(IF($C38="","Falta l'actuació. ","")&amp;IF($D38="","Falta l'objectiu. ","")&amp;IF($J38="","Falta el tipus de despesa. ","")&amp;IF(AND($J38&lt;&gt;"",$J38&lt;&gt;"Mitjans propis",$J38&lt;&gt;"Altres",$M38=""),"Falta l'import. ","")&amp;IF(AND($J38="Contracte menor a càrrec del RAE",$K38=""),"Falta la partida RAE. ","")&amp;IF(AND($B38&lt;&gt;"",COUNTIF($B$6:$B$705,$B38)&gt;1),"Codi RAE repetit. ","")&amp;IF(AND($B38&lt;&gt;"",$J38&lt;&gt;"",$J38&lt;&gt;"Contracte menor a càrrec del RAE"),"Té codi RAE però no és de tipus RAE. ","")&amp;IF($N38="","Falta l'indicador del Pla. ","")&amp;IF($R38="","Falta el gestor. ","")&amp;IF($S38="","Falta indicar si és recurrent. ",""))))</f>
        <v/>
      </c>
    </row>
    <row r="39">
      <c r="A39" s="10">
        <f>IF($D39="","","27_"&amp;IFERROR(INDEX(Objectius!$E$2:$E$183,MATCH($D39,Objectius!$A$2:$A$183,0)),"??")&amp;"_"&amp;TEXT(COUNTIF($I$6:$I39,$I39),"00"))</f>
        <v/>
      </c>
      <c r="B39" s="11" t="n"/>
      <c r="C39" s="11" t="n"/>
      <c r="D39" s="11" t="n"/>
      <c r="E39" s="10">
        <f>IF($D39="","",IFERROR(INDEX(Objectius!$C$2:$C$183,MATCH($D39,Objectius!$A$2:$A$183,0)),"Objectiu no trobat al Pla"))</f>
        <v/>
      </c>
      <c r="F39" s="11" t="n"/>
      <c r="G39" s="11" t="n"/>
      <c r="H39" s="11" t="n"/>
      <c r="I39" s="10">
        <f>IF($D39="","",IFERROR(INDEX(Objectius!$D$2:$D$183,MATCH($D39,Objectius!$A$2:$A$183,0)),""))</f>
        <v/>
      </c>
      <c r="J39" s="11" t="n"/>
      <c r="K39" s="11" t="n"/>
      <c r="L39" s="11" t="n"/>
      <c r="M39" s="12" t="n"/>
      <c r="N39" s="11" t="n"/>
      <c r="O39" s="10">
        <f>IF($N39="","",IFERROR(INDEX('PLA ESTRATÈGIC'!$G$4:$G$452,MATCH($N39,'PLA ESTRATÈGIC'!$Q$4:$Q$452,0)),""))</f>
        <v/>
      </c>
      <c r="P39" s="10">
        <f>IF($N39="","",IFERROR(INDEX('PLA ESTRATÈGIC'!$H$4:$H$452,MATCH($N39,'PLA ESTRATÈGIC'!$Q$4:$Q$452,0)),""))</f>
        <v/>
      </c>
      <c r="Q39" s="13" t="n"/>
      <c r="R39" s="11" t="n"/>
      <c r="S39" s="11" t="n"/>
      <c r="T39" s="11" t="n"/>
      <c r="U39" s="11" t="n"/>
      <c r="V39" s="10">
        <f>IF(COUNTA($C39,$D39,$J39,$M39)=0,"",IF(TRIM(IF($C39="","Falta l'actuació. ","")&amp;IF($D39="","Falta l'objectiu. ","")&amp;IF($J39="","Falta el tipus de despesa. ","")&amp;IF(AND($J39&lt;&gt;"",$J39&lt;&gt;"Mitjans propis",$J39&lt;&gt;"Altres",$M39=""),"Falta l'import. ","")&amp;IF(AND($J39="Contracte menor a càrrec del RAE",$K39=""),"Falta la partida RAE. ","")&amp;IF(AND($B39&lt;&gt;"",COUNTIF($B$6:$B$705,$B39)&gt;1),"Codi RAE repetit. ","")&amp;IF(AND($B39&lt;&gt;"",$J39&lt;&gt;"",$J39&lt;&gt;"Contracte menor a càrrec del RAE"),"Té codi RAE però no és de tipus RAE. ","")&amp;IF($N39="","Falta l'indicador del Pla. ","")&amp;IF($R39="","Falta el gestor. ","")&amp;IF($S39="","Falta indicar si és recurrent. ",""))="","✔",TRIM(IF($C39="","Falta l'actuació. ","")&amp;IF($D39="","Falta l'objectiu. ","")&amp;IF($J39="","Falta el tipus de despesa. ","")&amp;IF(AND($J39&lt;&gt;"",$J39&lt;&gt;"Mitjans propis",$J39&lt;&gt;"Altres",$M39=""),"Falta l'import. ","")&amp;IF(AND($J39="Contracte menor a càrrec del RAE",$K39=""),"Falta la partida RAE. ","")&amp;IF(AND($B39&lt;&gt;"",COUNTIF($B$6:$B$705,$B39)&gt;1),"Codi RAE repetit. ","")&amp;IF(AND($B39&lt;&gt;"",$J39&lt;&gt;"",$J39&lt;&gt;"Contracte menor a càrrec del RAE"),"Té codi RAE però no és de tipus RAE. ","")&amp;IF($N39="","Falta l'indicador del Pla. ","")&amp;IF($R39="","Falta el gestor. ","")&amp;IF($S39="","Falta indicar si és recurrent. ",""))))</f>
        <v/>
      </c>
    </row>
    <row r="40">
      <c r="A40" s="10">
        <f>IF($D40="","","27_"&amp;IFERROR(INDEX(Objectius!$E$2:$E$183,MATCH($D40,Objectius!$A$2:$A$183,0)),"??")&amp;"_"&amp;TEXT(COUNTIF($I$6:$I40,$I40),"00"))</f>
        <v/>
      </c>
      <c r="B40" s="11" t="n"/>
      <c r="C40" s="11" t="n"/>
      <c r="D40" s="11" t="n"/>
      <c r="E40" s="10">
        <f>IF($D40="","",IFERROR(INDEX(Objectius!$C$2:$C$183,MATCH($D40,Objectius!$A$2:$A$183,0)),"Objectiu no trobat al Pla"))</f>
        <v/>
      </c>
      <c r="F40" s="11" t="n"/>
      <c r="G40" s="11" t="n"/>
      <c r="H40" s="11" t="n"/>
      <c r="I40" s="10">
        <f>IF($D40="","",IFERROR(INDEX(Objectius!$D$2:$D$183,MATCH($D40,Objectius!$A$2:$A$183,0)),""))</f>
        <v/>
      </c>
      <c r="J40" s="11" t="n"/>
      <c r="K40" s="11" t="n"/>
      <c r="L40" s="11" t="n"/>
      <c r="M40" s="12" t="n"/>
      <c r="N40" s="11" t="n"/>
      <c r="O40" s="10">
        <f>IF($N40="","",IFERROR(INDEX('PLA ESTRATÈGIC'!$G$4:$G$452,MATCH($N40,'PLA ESTRATÈGIC'!$Q$4:$Q$452,0)),""))</f>
        <v/>
      </c>
      <c r="P40" s="10">
        <f>IF($N40="","",IFERROR(INDEX('PLA ESTRATÈGIC'!$H$4:$H$452,MATCH($N40,'PLA ESTRATÈGIC'!$Q$4:$Q$452,0)),""))</f>
        <v/>
      </c>
      <c r="Q40" s="13" t="n"/>
      <c r="R40" s="11" t="n"/>
      <c r="S40" s="11" t="n"/>
      <c r="T40" s="11" t="n"/>
      <c r="U40" s="11" t="n"/>
      <c r="V40" s="10">
        <f>IF(COUNTA($C40,$D40,$J40,$M40)=0,"",IF(TRIM(IF($C40="","Falta l'actuació. ","")&amp;IF($D40="","Falta l'objectiu. ","")&amp;IF($J40="","Falta el tipus de despesa. ","")&amp;IF(AND($J40&lt;&gt;"",$J40&lt;&gt;"Mitjans propis",$J40&lt;&gt;"Altres",$M40=""),"Falta l'import. ","")&amp;IF(AND($J40="Contracte menor a càrrec del RAE",$K40=""),"Falta la partida RAE. ","")&amp;IF(AND($B40&lt;&gt;"",COUNTIF($B$6:$B$705,$B40)&gt;1),"Codi RAE repetit. ","")&amp;IF(AND($B40&lt;&gt;"",$J40&lt;&gt;"",$J40&lt;&gt;"Contracte menor a càrrec del RAE"),"Té codi RAE però no és de tipus RAE. ","")&amp;IF($N40="","Falta l'indicador del Pla. ","")&amp;IF($R40="","Falta el gestor. ","")&amp;IF($S40="","Falta indicar si és recurrent. ",""))="","✔",TRIM(IF($C40="","Falta l'actuació. ","")&amp;IF($D40="","Falta l'objectiu. ","")&amp;IF($J40="","Falta el tipus de despesa. ","")&amp;IF(AND($J40&lt;&gt;"",$J40&lt;&gt;"Mitjans propis",$J40&lt;&gt;"Altres",$M40=""),"Falta l'import. ","")&amp;IF(AND($J40="Contracte menor a càrrec del RAE",$K40=""),"Falta la partida RAE. ","")&amp;IF(AND($B40&lt;&gt;"",COUNTIF($B$6:$B$705,$B40)&gt;1),"Codi RAE repetit. ","")&amp;IF(AND($B40&lt;&gt;"",$J40&lt;&gt;"",$J40&lt;&gt;"Contracte menor a càrrec del RAE"),"Té codi RAE però no és de tipus RAE. ","")&amp;IF($N40="","Falta l'indicador del Pla. ","")&amp;IF($R40="","Falta el gestor. ","")&amp;IF($S40="","Falta indicar si és recurrent. ",""))))</f>
        <v/>
      </c>
    </row>
    <row r="41">
      <c r="A41" s="10">
        <f>IF($D41="","","27_"&amp;IFERROR(INDEX(Objectius!$E$2:$E$183,MATCH($D41,Objectius!$A$2:$A$183,0)),"??")&amp;"_"&amp;TEXT(COUNTIF($I$6:$I41,$I41),"00"))</f>
        <v/>
      </c>
      <c r="B41" s="11" t="n"/>
      <c r="C41" s="11" t="n"/>
      <c r="D41" s="11" t="n"/>
      <c r="E41" s="10">
        <f>IF($D41="","",IFERROR(INDEX(Objectius!$C$2:$C$183,MATCH($D41,Objectius!$A$2:$A$183,0)),"Objectiu no trobat al Pla"))</f>
        <v/>
      </c>
      <c r="F41" s="11" t="n"/>
      <c r="G41" s="11" t="n"/>
      <c r="H41" s="11" t="n"/>
      <c r="I41" s="10">
        <f>IF($D41="","",IFERROR(INDEX(Objectius!$D$2:$D$183,MATCH($D41,Objectius!$A$2:$A$183,0)),""))</f>
        <v/>
      </c>
      <c r="J41" s="11" t="n"/>
      <c r="K41" s="11" t="n"/>
      <c r="L41" s="11" t="n"/>
      <c r="M41" s="12" t="n"/>
      <c r="N41" s="11" t="n"/>
      <c r="O41" s="10">
        <f>IF($N41="","",IFERROR(INDEX('PLA ESTRATÈGIC'!$G$4:$G$452,MATCH($N41,'PLA ESTRATÈGIC'!$Q$4:$Q$452,0)),""))</f>
        <v/>
      </c>
      <c r="P41" s="10">
        <f>IF($N41="","",IFERROR(INDEX('PLA ESTRATÈGIC'!$H$4:$H$452,MATCH($N41,'PLA ESTRATÈGIC'!$Q$4:$Q$452,0)),""))</f>
        <v/>
      </c>
      <c r="Q41" s="13" t="n"/>
      <c r="R41" s="11" t="n"/>
      <c r="S41" s="11" t="n"/>
      <c r="T41" s="11" t="n"/>
      <c r="U41" s="11" t="n"/>
      <c r="V41" s="10">
        <f>IF(COUNTA($C41,$D41,$J41,$M41)=0,"",IF(TRIM(IF($C41="","Falta l'actuació. ","")&amp;IF($D41="","Falta l'objectiu. ","")&amp;IF($J41="","Falta el tipus de despesa. ","")&amp;IF(AND($J41&lt;&gt;"",$J41&lt;&gt;"Mitjans propis",$J41&lt;&gt;"Altres",$M41=""),"Falta l'import. ","")&amp;IF(AND($J41="Contracte menor a càrrec del RAE",$K41=""),"Falta la partida RAE. ","")&amp;IF(AND($B41&lt;&gt;"",COUNTIF($B$6:$B$705,$B41)&gt;1),"Codi RAE repetit. ","")&amp;IF(AND($B41&lt;&gt;"",$J41&lt;&gt;"",$J41&lt;&gt;"Contracte menor a càrrec del RAE"),"Té codi RAE però no és de tipus RAE. ","")&amp;IF($N41="","Falta l'indicador del Pla. ","")&amp;IF($R41="","Falta el gestor. ","")&amp;IF($S41="","Falta indicar si és recurrent. ",""))="","✔",TRIM(IF($C41="","Falta l'actuació. ","")&amp;IF($D41="","Falta l'objectiu. ","")&amp;IF($J41="","Falta el tipus de despesa. ","")&amp;IF(AND($J41&lt;&gt;"",$J41&lt;&gt;"Mitjans propis",$J41&lt;&gt;"Altres",$M41=""),"Falta l'import. ","")&amp;IF(AND($J41="Contracte menor a càrrec del RAE",$K41=""),"Falta la partida RAE. ","")&amp;IF(AND($B41&lt;&gt;"",COUNTIF($B$6:$B$705,$B41)&gt;1),"Codi RAE repetit. ","")&amp;IF(AND($B41&lt;&gt;"",$J41&lt;&gt;"",$J41&lt;&gt;"Contracte menor a càrrec del RAE"),"Té codi RAE però no és de tipus RAE. ","")&amp;IF($N41="","Falta l'indicador del Pla. ","")&amp;IF($R41="","Falta el gestor. ","")&amp;IF($S41="","Falta indicar si és recurrent. ",""))))</f>
        <v/>
      </c>
    </row>
    <row r="42">
      <c r="A42" s="10">
        <f>IF($D42="","","27_"&amp;IFERROR(INDEX(Objectius!$E$2:$E$183,MATCH($D42,Objectius!$A$2:$A$183,0)),"??")&amp;"_"&amp;TEXT(COUNTIF($I$6:$I42,$I42),"00"))</f>
        <v/>
      </c>
      <c r="B42" s="11" t="n"/>
      <c r="C42" s="11" t="n"/>
      <c r="D42" s="11" t="n"/>
      <c r="E42" s="10">
        <f>IF($D42="","",IFERROR(INDEX(Objectius!$C$2:$C$183,MATCH($D42,Objectius!$A$2:$A$183,0)),"Objectiu no trobat al Pla"))</f>
        <v/>
      </c>
      <c r="F42" s="11" t="n"/>
      <c r="G42" s="11" t="n"/>
      <c r="H42" s="11" t="n"/>
      <c r="I42" s="10">
        <f>IF($D42="","",IFERROR(INDEX(Objectius!$D$2:$D$183,MATCH($D42,Objectius!$A$2:$A$183,0)),""))</f>
        <v/>
      </c>
      <c r="J42" s="11" t="n"/>
      <c r="K42" s="11" t="n"/>
      <c r="L42" s="11" t="n"/>
      <c r="M42" s="12" t="n"/>
      <c r="N42" s="11" t="n"/>
      <c r="O42" s="10">
        <f>IF($N42="","",IFERROR(INDEX('PLA ESTRATÈGIC'!$G$4:$G$452,MATCH($N42,'PLA ESTRATÈGIC'!$Q$4:$Q$452,0)),""))</f>
        <v/>
      </c>
      <c r="P42" s="10">
        <f>IF($N42="","",IFERROR(INDEX('PLA ESTRATÈGIC'!$H$4:$H$452,MATCH($N42,'PLA ESTRATÈGIC'!$Q$4:$Q$452,0)),""))</f>
        <v/>
      </c>
      <c r="Q42" s="13" t="n"/>
      <c r="R42" s="11" t="n"/>
      <c r="S42" s="11" t="n"/>
      <c r="T42" s="11" t="n"/>
      <c r="U42" s="11" t="n"/>
      <c r="V42" s="10">
        <f>IF(COUNTA($C42,$D42,$J42,$M42)=0,"",IF(TRIM(IF($C42="","Falta l'actuació. ","")&amp;IF($D42="","Falta l'objectiu. ","")&amp;IF($J42="","Falta el tipus de despesa. ","")&amp;IF(AND($J42&lt;&gt;"",$J42&lt;&gt;"Mitjans propis",$J42&lt;&gt;"Altres",$M42=""),"Falta l'import. ","")&amp;IF(AND($J42="Contracte menor a càrrec del RAE",$K42=""),"Falta la partida RAE. ","")&amp;IF(AND($B42&lt;&gt;"",COUNTIF($B$6:$B$705,$B42)&gt;1),"Codi RAE repetit. ","")&amp;IF(AND($B42&lt;&gt;"",$J42&lt;&gt;"",$J42&lt;&gt;"Contracte menor a càrrec del RAE"),"Té codi RAE però no és de tipus RAE. ","")&amp;IF($N42="","Falta l'indicador del Pla. ","")&amp;IF($R42="","Falta el gestor. ","")&amp;IF($S42="","Falta indicar si és recurrent. ",""))="","✔",TRIM(IF($C42="","Falta l'actuació. ","")&amp;IF($D42="","Falta l'objectiu. ","")&amp;IF($J42="","Falta el tipus de despesa. ","")&amp;IF(AND($J42&lt;&gt;"",$J42&lt;&gt;"Mitjans propis",$J42&lt;&gt;"Altres",$M42=""),"Falta l'import. ","")&amp;IF(AND($J42="Contracte menor a càrrec del RAE",$K42=""),"Falta la partida RAE. ","")&amp;IF(AND($B42&lt;&gt;"",COUNTIF($B$6:$B$705,$B42)&gt;1),"Codi RAE repetit. ","")&amp;IF(AND($B42&lt;&gt;"",$J42&lt;&gt;"",$J42&lt;&gt;"Contracte menor a càrrec del RAE"),"Té codi RAE però no és de tipus RAE. ","")&amp;IF($N42="","Falta l'indicador del Pla. ","")&amp;IF($R42="","Falta el gestor. ","")&amp;IF($S42="","Falta indicar si és recurrent. ",""))))</f>
        <v/>
      </c>
    </row>
    <row r="43">
      <c r="A43" s="10">
        <f>IF($D43="","","27_"&amp;IFERROR(INDEX(Objectius!$E$2:$E$183,MATCH($D43,Objectius!$A$2:$A$183,0)),"??")&amp;"_"&amp;TEXT(COUNTIF($I$6:$I43,$I43),"00"))</f>
        <v/>
      </c>
      <c r="B43" s="11" t="n"/>
      <c r="C43" s="11" t="n"/>
      <c r="D43" s="11" t="n"/>
      <c r="E43" s="10">
        <f>IF($D43="","",IFERROR(INDEX(Objectius!$C$2:$C$183,MATCH($D43,Objectius!$A$2:$A$183,0)),"Objectiu no trobat al Pla"))</f>
        <v/>
      </c>
      <c r="F43" s="11" t="n"/>
      <c r="G43" s="11" t="n"/>
      <c r="H43" s="11" t="n"/>
      <c r="I43" s="10">
        <f>IF($D43="","",IFERROR(INDEX(Objectius!$D$2:$D$183,MATCH($D43,Objectius!$A$2:$A$183,0)),""))</f>
        <v/>
      </c>
      <c r="J43" s="11" t="n"/>
      <c r="K43" s="11" t="n"/>
      <c r="L43" s="11" t="n"/>
      <c r="M43" s="12" t="n"/>
      <c r="N43" s="11" t="n"/>
      <c r="O43" s="10">
        <f>IF($N43="","",IFERROR(INDEX('PLA ESTRATÈGIC'!$G$4:$G$452,MATCH($N43,'PLA ESTRATÈGIC'!$Q$4:$Q$452,0)),""))</f>
        <v/>
      </c>
      <c r="P43" s="10">
        <f>IF($N43="","",IFERROR(INDEX('PLA ESTRATÈGIC'!$H$4:$H$452,MATCH($N43,'PLA ESTRATÈGIC'!$Q$4:$Q$452,0)),""))</f>
        <v/>
      </c>
      <c r="Q43" s="13" t="n"/>
      <c r="R43" s="11" t="n"/>
      <c r="S43" s="11" t="n"/>
      <c r="T43" s="11" t="n"/>
      <c r="U43" s="11" t="n"/>
      <c r="V43" s="10">
        <f>IF(COUNTA($C43,$D43,$J43,$M43)=0,"",IF(TRIM(IF($C43="","Falta l'actuació. ","")&amp;IF($D43="","Falta l'objectiu. ","")&amp;IF($J43="","Falta el tipus de despesa. ","")&amp;IF(AND($J43&lt;&gt;"",$J43&lt;&gt;"Mitjans propis",$J43&lt;&gt;"Altres",$M43=""),"Falta l'import. ","")&amp;IF(AND($J43="Contracte menor a càrrec del RAE",$K43=""),"Falta la partida RAE. ","")&amp;IF(AND($B43&lt;&gt;"",COUNTIF($B$6:$B$705,$B43)&gt;1),"Codi RAE repetit. ","")&amp;IF(AND($B43&lt;&gt;"",$J43&lt;&gt;"",$J43&lt;&gt;"Contracte menor a càrrec del RAE"),"Té codi RAE però no és de tipus RAE. ","")&amp;IF($N43="","Falta l'indicador del Pla. ","")&amp;IF($R43="","Falta el gestor. ","")&amp;IF($S43="","Falta indicar si és recurrent. ",""))="","✔",TRIM(IF($C43="","Falta l'actuació. ","")&amp;IF($D43="","Falta l'objectiu. ","")&amp;IF($J43="","Falta el tipus de despesa. ","")&amp;IF(AND($J43&lt;&gt;"",$J43&lt;&gt;"Mitjans propis",$J43&lt;&gt;"Altres",$M43=""),"Falta l'import. ","")&amp;IF(AND($J43="Contracte menor a càrrec del RAE",$K43=""),"Falta la partida RAE. ","")&amp;IF(AND($B43&lt;&gt;"",COUNTIF($B$6:$B$705,$B43)&gt;1),"Codi RAE repetit. ","")&amp;IF(AND($B43&lt;&gt;"",$J43&lt;&gt;"",$J43&lt;&gt;"Contracte menor a càrrec del RAE"),"Té codi RAE però no és de tipus RAE. ","")&amp;IF($N43="","Falta l'indicador del Pla. ","")&amp;IF($R43="","Falta el gestor. ","")&amp;IF($S43="","Falta indicar si és recurrent. ",""))))</f>
        <v/>
      </c>
    </row>
    <row r="44">
      <c r="A44" s="10">
        <f>IF($D44="","","27_"&amp;IFERROR(INDEX(Objectius!$E$2:$E$183,MATCH($D44,Objectius!$A$2:$A$183,0)),"??")&amp;"_"&amp;TEXT(COUNTIF($I$6:$I44,$I44),"00"))</f>
        <v/>
      </c>
      <c r="B44" s="11" t="n"/>
      <c r="C44" s="11" t="n"/>
      <c r="D44" s="11" t="n"/>
      <c r="E44" s="10">
        <f>IF($D44="","",IFERROR(INDEX(Objectius!$C$2:$C$183,MATCH($D44,Objectius!$A$2:$A$183,0)),"Objectiu no trobat al Pla"))</f>
        <v/>
      </c>
      <c r="F44" s="11" t="n"/>
      <c r="G44" s="11" t="n"/>
      <c r="H44" s="11" t="n"/>
      <c r="I44" s="10">
        <f>IF($D44="","",IFERROR(INDEX(Objectius!$D$2:$D$183,MATCH($D44,Objectius!$A$2:$A$183,0)),""))</f>
        <v/>
      </c>
      <c r="J44" s="11" t="n"/>
      <c r="K44" s="11" t="n"/>
      <c r="L44" s="11" t="n"/>
      <c r="M44" s="12" t="n"/>
      <c r="N44" s="11" t="n"/>
      <c r="O44" s="10">
        <f>IF($N44="","",IFERROR(INDEX('PLA ESTRATÈGIC'!$G$4:$G$452,MATCH($N44,'PLA ESTRATÈGIC'!$Q$4:$Q$452,0)),""))</f>
        <v/>
      </c>
      <c r="P44" s="10">
        <f>IF($N44="","",IFERROR(INDEX('PLA ESTRATÈGIC'!$H$4:$H$452,MATCH($N44,'PLA ESTRATÈGIC'!$Q$4:$Q$452,0)),""))</f>
        <v/>
      </c>
      <c r="Q44" s="13" t="n"/>
      <c r="R44" s="11" t="n"/>
      <c r="S44" s="11" t="n"/>
      <c r="T44" s="11" t="n"/>
      <c r="U44" s="11" t="n"/>
      <c r="V44" s="10">
        <f>IF(COUNTA($C44,$D44,$J44,$M44)=0,"",IF(TRIM(IF($C44="","Falta l'actuació. ","")&amp;IF($D44="","Falta l'objectiu. ","")&amp;IF($J44="","Falta el tipus de despesa. ","")&amp;IF(AND($J44&lt;&gt;"",$J44&lt;&gt;"Mitjans propis",$J44&lt;&gt;"Altres",$M44=""),"Falta l'import. ","")&amp;IF(AND($J44="Contracte menor a càrrec del RAE",$K44=""),"Falta la partida RAE. ","")&amp;IF(AND($B44&lt;&gt;"",COUNTIF($B$6:$B$705,$B44)&gt;1),"Codi RAE repetit. ","")&amp;IF(AND($B44&lt;&gt;"",$J44&lt;&gt;"",$J44&lt;&gt;"Contracte menor a càrrec del RAE"),"Té codi RAE però no és de tipus RAE. ","")&amp;IF($N44="","Falta l'indicador del Pla. ","")&amp;IF($R44="","Falta el gestor. ","")&amp;IF($S44="","Falta indicar si és recurrent. ",""))="","✔",TRIM(IF($C44="","Falta l'actuació. ","")&amp;IF($D44="","Falta l'objectiu. ","")&amp;IF($J44="","Falta el tipus de despesa. ","")&amp;IF(AND($J44&lt;&gt;"",$J44&lt;&gt;"Mitjans propis",$J44&lt;&gt;"Altres",$M44=""),"Falta l'import. ","")&amp;IF(AND($J44="Contracte menor a càrrec del RAE",$K44=""),"Falta la partida RAE. ","")&amp;IF(AND($B44&lt;&gt;"",COUNTIF($B$6:$B$705,$B44)&gt;1),"Codi RAE repetit. ","")&amp;IF(AND($B44&lt;&gt;"",$J44&lt;&gt;"",$J44&lt;&gt;"Contracte menor a càrrec del RAE"),"Té codi RAE però no és de tipus RAE. ","")&amp;IF($N44="","Falta l'indicador del Pla. ","")&amp;IF($R44="","Falta el gestor. ","")&amp;IF($S44="","Falta indicar si és recurrent. ",""))))</f>
        <v/>
      </c>
    </row>
    <row r="45">
      <c r="A45" s="10">
        <f>IF($D45="","","27_"&amp;IFERROR(INDEX(Objectius!$E$2:$E$183,MATCH($D45,Objectius!$A$2:$A$183,0)),"??")&amp;"_"&amp;TEXT(COUNTIF($I$6:$I45,$I45),"00"))</f>
        <v/>
      </c>
      <c r="B45" s="11" t="n"/>
      <c r="C45" s="11" t="n"/>
      <c r="D45" s="11" t="n"/>
      <c r="E45" s="10">
        <f>IF($D45="","",IFERROR(INDEX(Objectius!$C$2:$C$183,MATCH($D45,Objectius!$A$2:$A$183,0)),"Objectiu no trobat al Pla"))</f>
        <v/>
      </c>
      <c r="F45" s="11" t="n"/>
      <c r="G45" s="11" t="n"/>
      <c r="H45" s="11" t="n"/>
      <c r="I45" s="10">
        <f>IF($D45="","",IFERROR(INDEX(Objectius!$D$2:$D$183,MATCH($D45,Objectius!$A$2:$A$183,0)),""))</f>
        <v/>
      </c>
      <c r="J45" s="11" t="n"/>
      <c r="K45" s="11" t="n"/>
      <c r="L45" s="11" t="n"/>
      <c r="M45" s="12" t="n"/>
      <c r="N45" s="11" t="n"/>
      <c r="O45" s="10">
        <f>IF($N45="","",IFERROR(INDEX('PLA ESTRATÈGIC'!$G$4:$G$452,MATCH($N45,'PLA ESTRATÈGIC'!$Q$4:$Q$452,0)),""))</f>
        <v/>
      </c>
      <c r="P45" s="10">
        <f>IF($N45="","",IFERROR(INDEX('PLA ESTRATÈGIC'!$H$4:$H$452,MATCH($N45,'PLA ESTRATÈGIC'!$Q$4:$Q$452,0)),""))</f>
        <v/>
      </c>
      <c r="Q45" s="13" t="n"/>
      <c r="R45" s="11" t="n"/>
      <c r="S45" s="11" t="n"/>
      <c r="T45" s="11" t="n"/>
      <c r="U45" s="11" t="n"/>
      <c r="V45" s="10">
        <f>IF(COUNTA($C45,$D45,$J45,$M45)=0,"",IF(TRIM(IF($C45="","Falta l'actuació. ","")&amp;IF($D45="","Falta l'objectiu. ","")&amp;IF($J45="","Falta el tipus de despesa. ","")&amp;IF(AND($J45&lt;&gt;"",$J45&lt;&gt;"Mitjans propis",$J45&lt;&gt;"Altres",$M45=""),"Falta l'import. ","")&amp;IF(AND($J45="Contracte menor a càrrec del RAE",$K45=""),"Falta la partida RAE. ","")&amp;IF(AND($B45&lt;&gt;"",COUNTIF($B$6:$B$705,$B45)&gt;1),"Codi RAE repetit. ","")&amp;IF(AND($B45&lt;&gt;"",$J45&lt;&gt;"",$J45&lt;&gt;"Contracte menor a càrrec del RAE"),"Té codi RAE però no és de tipus RAE. ","")&amp;IF($N45="","Falta l'indicador del Pla. ","")&amp;IF($R45="","Falta el gestor. ","")&amp;IF($S45="","Falta indicar si és recurrent. ",""))="","✔",TRIM(IF($C45="","Falta l'actuació. ","")&amp;IF($D45="","Falta l'objectiu. ","")&amp;IF($J45="","Falta el tipus de despesa. ","")&amp;IF(AND($J45&lt;&gt;"",$J45&lt;&gt;"Mitjans propis",$J45&lt;&gt;"Altres",$M45=""),"Falta l'import. ","")&amp;IF(AND($J45="Contracte menor a càrrec del RAE",$K45=""),"Falta la partida RAE. ","")&amp;IF(AND($B45&lt;&gt;"",COUNTIF($B$6:$B$705,$B45)&gt;1),"Codi RAE repetit. ","")&amp;IF(AND($B45&lt;&gt;"",$J45&lt;&gt;"",$J45&lt;&gt;"Contracte menor a càrrec del RAE"),"Té codi RAE però no és de tipus RAE. ","")&amp;IF($N45="","Falta l'indicador del Pla. ","")&amp;IF($R45="","Falta el gestor. ","")&amp;IF($S45="","Falta indicar si és recurrent. ",""))))</f>
        <v/>
      </c>
    </row>
    <row r="46">
      <c r="A46" s="10">
        <f>IF($D46="","","27_"&amp;IFERROR(INDEX(Objectius!$E$2:$E$183,MATCH($D46,Objectius!$A$2:$A$183,0)),"??")&amp;"_"&amp;TEXT(COUNTIF($I$6:$I46,$I46),"00"))</f>
        <v/>
      </c>
      <c r="B46" s="11" t="n"/>
      <c r="C46" s="11" t="n"/>
      <c r="D46" s="11" t="n"/>
      <c r="E46" s="10">
        <f>IF($D46="","",IFERROR(INDEX(Objectius!$C$2:$C$183,MATCH($D46,Objectius!$A$2:$A$183,0)),"Objectiu no trobat al Pla"))</f>
        <v/>
      </c>
      <c r="F46" s="11" t="n"/>
      <c r="G46" s="11" t="n"/>
      <c r="H46" s="11" t="n"/>
      <c r="I46" s="10">
        <f>IF($D46="","",IFERROR(INDEX(Objectius!$D$2:$D$183,MATCH($D46,Objectius!$A$2:$A$183,0)),""))</f>
        <v/>
      </c>
      <c r="J46" s="11" t="n"/>
      <c r="K46" s="11" t="n"/>
      <c r="L46" s="11" t="n"/>
      <c r="M46" s="12" t="n"/>
      <c r="N46" s="11" t="n"/>
      <c r="O46" s="10">
        <f>IF($N46="","",IFERROR(INDEX('PLA ESTRATÈGIC'!$G$4:$G$452,MATCH($N46,'PLA ESTRATÈGIC'!$Q$4:$Q$452,0)),""))</f>
        <v/>
      </c>
      <c r="P46" s="10">
        <f>IF($N46="","",IFERROR(INDEX('PLA ESTRATÈGIC'!$H$4:$H$452,MATCH($N46,'PLA ESTRATÈGIC'!$Q$4:$Q$452,0)),""))</f>
        <v/>
      </c>
      <c r="Q46" s="13" t="n"/>
      <c r="R46" s="11" t="n"/>
      <c r="S46" s="11" t="n"/>
      <c r="T46" s="11" t="n"/>
      <c r="U46" s="11" t="n"/>
      <c r="V46" s="10">
        <f>IF(COUNTA($C46,$D46,$J46,$M46)=0,"",IF(TRIM(IF($C46="","Falta l'actuació. ","")&amp;IF($D46="","Falta l'objectiu. ","")&amp;IF($J46="","Falta el tipus de despesa. ","")&amp;IF(AND($J46&lt;&gt;"",$J46&lt;&gt;"Mitjans propis",$J46&lt;&gt;"Altres",$M46=""),"Falta l'import. ","")&amp;IF(AND($J46="Contracte menor a càrrec del RAE",$K46=""),"Falta la partida RAE. ","")&amp;IF(AND($B46&lt;&gt;"",COUNTIF($B$6:$B$705,$B46)&gt;1),"Codi RAE repetit. ","")&amp;IF(AND($B46&lt;&gt;"",$J46&lt;&gt;"",$J46&lt;&gt;"Contracte menor a càrrec del RAE"),"Té codi RAE però no és de tipus RAE. ","")&amp;IF($N46="","Falta l'indicador del Pla. ","")&amp;IF($R46="","Falta el gestor. ","")&amp;IF($S46="","Falta indicar si és recurrent. ",""))="","✔",TRIM(IF($C46="","Falta l'actuació. ","")&amp;IF($D46="","Falta l'objectiu. ","")&amp;IF($J46="","Falta el tipus de despesa. ","")&amp;IF(AND($J46&lt;&gt;"",$J46&lt;&gt;"Mitjans propis",$J46&lt;&gt;"Altres",$M46=""),"Falta l'import. ","")&amp;IF(AND($J46="Contracte menor a càrrec del RAE",$K46=""),"Falta la partida RAE. ","")&amp;IF(AND($B46&lt;&gt;"",COUNTIF($B$6:$B$705,$B46)&gt;1),"Codi RAE repetit. ","")&amp;IF(AND($B46&lt;&gt;"",$J46&lt;&gt;"",$J46&lt;&gt;"Contracte menor a càrrec del RAE"),"Té codi RAE però no és de tipus RAE. ","")&amp;IF($N46="","Falta l'indicador del Pla. ","")&amp;IF($R46="","Falta el gestor. ","")&amp;IF($S46="","Falta indicar si és recurrent. ",""))))</f>
        <v/>
      </c>
    </row>
    <row r="47">
      <c r="A47" s="10">
        <f>IF($D47="","","27_"&amp;IFERROR(INDEX(Objectius!$E$2:$E$183,MATCH($D47,Objectius!$A$2:$A$183,0)),"??")&amp;"_"&amp;TEXT(COUNTIF($I$6:$I47,$I47),"00"))</f>
        <v/>
      </c>
      <c r="B47" s="11" t="n"/>
      <c r="C47" s="11" t="n"/>
      <c r="D47" s="11" t="n"/>
      <c r="E47" s="10">
        <f>IF($D47="","",IFERROR(INDEX(Objectius!$C$2:$C$183,MATCH($D47,Objectius!$A$2:$A$183,0)),"Objectiu no trobat al Pla"))</f>
        <v/>
      </c>
      <c r="F47" s="11" t="n"/>
      <c r="G47" s="11" t="n"/>
      <c r="H47" s="11" t="n"/>
      <c r="I47" s="10">
        <f>IF($D47="","",IFERROR(INDEX(Objectius!$D$2:$D$183,MATCH($D47,Objectius!$A$2:$A$183,0)),""))</f>
        <v/>
      </c>
      <c r="J47" s="11" t="n"/>
      <c r="K47" s="11" t="n"/>
      <c r="L47" s="11" t="n"/>
      <c r="M47" s="12" t="n"/>
      <c r="N47" s="11" t="n"/>
      <c r="O47" s="10">
        <f>IF($N47="","",IFERROR(INDEX('PLA ESTRATÈGIC'!$G$4:$G$452,MATCH($N47,'PLA ESTRATÈGIC'!$Q$4:$Q$452,0)),""))</f>
        <v/>
      </c>
      <c r="P47" s="10">
        <f>IF($N47="","",IFERROR(INDEX('PLA ESTRATÈGIC'!$H$4:$H$452,MATCH($N47,'PLA ESTRATÈGIC'!$Q$4:$Q$452,0)),""))</f>
        <v/>
      </c>
      <c r="Q47" s="13" t="n"/>
      <c r="R47" s="11" t="n"/>
      <c r="S47" s="11" t="n"/>
      <c r="T47" s="11" t="n"/>
      <c r="U47" s="11" t="n"/>
      <c r="V47" s="10">
        <f>IF(COUNTA($C47,$D47,$J47,$M47)=0,"",IF(TRIM(IF($C47="","Falta l'actuació. ","")&amp;IF($D47="","Falta l'objectiu. ","")&amp;IF($J47="","Falta el tipus de despesa. ","")&amp;IF(AND($J47&lt;&gt;"",$J47&lt;&gt;"Mitjans propis",$J47&lt;&gt;"Altres",$M47=""),"Falta l'import. ","")&amp;IF(AND($J47="Contracte menor a càrrec del RAE",$K47=""),"Falta la partida RAE. ","")&amp;IF(AND($B47&lt;&gt;"",COUNTIF($B$6:$B$705,$B47)&gt;1),"Codi RAE repetit. ","")&amp;IF(AND($B47&lt;&gt;"",$J47&lt;&gt;"",$J47&lt;&gt;"Contracte menor a càrrec del RAE"),"Té codi RAE però no és de tipus RAE. ","")&amp;IF($N47="","Falta l'indicador del Pla. ","")&amp;IF($R47="","Falta el gestor. ","")&amp;IF($S47="","Falta indicar si és recurrent. ",""))="","✔",TRIM(IF($C47="","Falta l'actuació. ","")&amp;IF($D47="","Falta l'objectiu. ","")&amp;IF($J47="","Falta el tipus de despesa. ","")&amp;IF(AND($J47&lt;&gt;"",$J47&lt;&gt;"Mitjans propis",$J47&lt;&gt;"Altres",$M47=""),"Falta l'import. ","")&amp;IF(AND($J47="Contracte menor a càrrec del RAE",$K47=""),"Falta la partida RAE. ","")&amp;IF(AND($B47&lt;&gt;"",COUNTIF($B$6:$B$705,$B47)&gt;1),"Codi RAE repetit. ","")&amp;IF(AND($B47&lt;&gt;"",$J47&lt;&gt;"",$J47&lt;&gt;"Contracte menor a càrrec del RAE"),"Té codi RAE però no és de tipus RAE. ","")&amp;IF($N47="","Falta l'indicador del Pla. ","")&amp;IF($R47="","Falta el gestor. ","")&amp;IF($S47="","Falta indicar si és recurrent. ",""))))</f>
        <v/>
      </c>
    </row>
    <row r="48">
      <c r="A48" s="10">
        <f>IF($D48="","","27_"&amp;IFERROR(INDEX(Objectius!$E$2:$E$183,MATCH($D48,Objectius!$A$2:$A$183,0)),"??")&amp;"_"&amp;TEXT(COUNTIF($I$6:$I48,$I48),"00"))</f>
        <v/>
      </c>
      <c r="B48" s="11" t="n"/>
      <c r="C48" s="11" t="n"/>
      <c r="D48" s="11" t="n"/>
      <c r="E48" s="10">
        <f>IF($D48="","",IFERROR(INDEX(Objectius!$C$2:$C$183,MATCH($D48,Objectius!$A$2:$A$183,0)),"Objectiu no trobat al Pla"))</f>
        <v/>
      </c>
      <c r="F48" s="11" t="n"/>
      <c r="G48" s="11" t="n"/>
      <c r="H48" s="11" t="n"/>
      <c r="I48" s="10">
        <f>IF($D48="","",IFERROR(INDEX(Objectius!$D$2:$D$183,MATCH($D48,Objectius!$A$2:$A$183,0)),""))</f>
        <v/>
      </c>
      <c r="J48" s="11" t="n"/>
      <c r="K48" s="11" t="n"/>
      <c r="L48" s="11" t="n"/>
      <c r="M48" s="12" t="n"/>
      <c r="N48" s="11" t="n"/>
      <c r="O48" s="10">
        <f>IF($N48="","",IFERROR(INDEX('PLA ESTRATÈGIC'!$G$4:$G$452,MATCH($N48,'PLA ESTRATÈGIC'!$Q$4:$Q$452,0)),""))</f>
        <v/>
      </c>
      <c r="P48" s="10">
        <f>IF($N48="","",IFERROR(INDEX('PLA ESTRATÈGIC'!$H$4:$H$452,MATCH($N48,'PLA ESTRATÈGIC'!$Q$4:$Q$452,0)),""))</f>
        <v/>
      </c>
      <c r="Q48" s="13" t="n"/>
      <c r="R48" s="11" t="n"/>
      <c r="S48" s="11" t="n"/>
      <c r="T48" s="11" t="n"/>
      <c r="U48" s="11" t="n"/>
      <c r="V48" s="10">
        <f>IF(COUNTA($C48,$D48,$J48,$M48)=0,"",IF(TRIM(IF($C48="","Falta l'actuació. ","")&amp;IF($D48="","Falta l'objectiu. ","")&amp;IF($J48="","Falta el tipus de despesa. ","")&amp;IF(AND($J48&lt;&gt;"",$J48&lt;&gt;"Mitjans propis",$J48&lt;&gt;"Altres",$M48=""),"Falta l'import. ","")&amp;IF(AND($J48="Contracte menor a càrrec del RAE",$K48=""),"Falta la partida RAE. ","")&amp;IF(AND($B48&lt;&gt;"",COUNTIF($B$6:$B$705,$B48)&gt;1),"Codi RAE repetit. ","")&amp;IF(AND($B48&lt;&gt;"",$J48&lt;&gt;"",$J48&lt;&gt;"Contracte menor a càrrec del RAE"),"Té codi RAE però no és de tipus RAE. ","")&amp;IF($N48="","Falta l'indicador del Pla. ","")&amp;IF($R48="","Falta el gestor. ","")&amp;IF($S48="","Falta indicar si és recurrent. ",""))="","✔",TRIM(IF($C48="","Falta l'actuació. ","")&amp;IF($D48="","Falta l'objectiu. ","")&amp;IF($J48="","Falta el tipus de despesa. ","")&amp;IF(AND($J48&lt;&gt;"",$J48&lt;&gt;"Mitjans propis",$J48&lt;&gt;"Altres",$M48=""),"Falta l'import. ","")&amp;IF(AND($J48="Contracte menor a càrrec del RAE",$K48=""),"Falta la partida RAE. ","")&amp;IF(AND($B48&lt;&gt;"",COUNTIF($B$6:$B$705,$B48)&gt;1),"Codi RAE repetit. ","")&amp;IF(AND($B48&lt;&gt;"",$J48&lt;&gt;"",$J48&lt;&gt;"Contracte menor a càrrec del RAE"),"Té codi RAE però no és de tipus RAE. ","")&amp;IF($N48="","Falta l'indicador del Pla. ","")&amp;IF($R48="","Falta el gestor. ","")&amp;IF($S48="","Falta indicar si és recurrent. ",""))))</f>
        <v/>
      </c>
    </row>
    <row r="49">
      <c r="A49" s="10">
        <f>IF($D49="","","27_"&amp;IFERROR(INDEX(Objectius!$E$2:$E$183,MATCH($D49,Objectius!$A$2:$A$183,0)),"??")&amp;"_"&amp;TEXT(COUNTIF($I$6:$I49,$I49),"00"))</f>
        <v/>
      </c>
      <c r="B49" s="11" t="n"/>
      <c r="C49" s="11" t="n"/>
      <c r="D49" s="11" t="n"/>
      <c r="E49" s="10">
        <f>IF($D49="","",IFERROR(INDEX(Objectius!$C$2:$C$183,MATCH($D49,Objectius!$A$2:$A$183,0)),"Objectiu no trobat al Pla"))</f>
        <v/>
      </c>
      <c r="F49" s="11" t="n"/>
      <c r="G49" s="11" t="n"/>
      <c r="H49" s="11" t="n"/>
      <c r="I49" s="10">
        <f>IF($D49="","",IFERROR(INDEX(Objectius!$D$2:$D$183,MATCH($D49,Objectius!$A$2:$A$183,0)),""))</f>
        <v/>
      </c>
      <c r="J49" s="11" t="n"/>
      <c r="K49" s="11" t="n"/>
      <c r="L49" s="11" t="n"/>
      <c r="M49" s="12" t="n"/>
      <c r="N49" s="11" t="n"/>
      <c r="O49" s="10">
        <f>IF($N49="","",IFERROR(INDEX('PLA ESTRATÈGIC'!$G$4:$G$452,MATCH($N49,'PLA ESTRATÈGIC'!$Q$4:$Q$452,0)),""))</f>
        <v/>
      </c>
      <c r="P49" s="10">
        <f>IF($N49="","",IFERROR(INDEX('PLA ESTRATÈGIC'!$H$4:$H$452,MATCH($N49,'PLA ESTRATÈGIC'!$Q$4:$Q$452,0)),""))</f>
        <v/>
      </c>
      <c r="Q49" s="13" t="n"/>
      <c r="R49" s="11" t="n"/>
      <c r="S49" s="11" t="n"/>
      <c r="T49" s="11" t="n"/>
      <c r="U49" s="11" t="n"/>
      <c r="V49" s="10">
        <f>IF(COUNTA($C49,$D49,$J49,$M49)=0,"",IF(TRIM(IF($C49="","Falta l'actuació. ","")&amp;IF($D49="","Falta l'objectiu. ","")&amp;IF($J49="","Falta el tipus de despesa. ","")&amp;IF(AND($J49&lt;&gt;"",$J49&lt;&gt;"Mitjans propis",$J49&lt;&gt;"Altres",$M49=""),"Falta l'import. ","")&amp;IF(AND($J49="Contracte menor a càrrec del RAE",$K49=""),"Falta la partida RAE. ","")&amp;IF(AND($B49&lt;&gt;"",COUNTIF($B$6:$B$705,$B49)&gt;1),"Codi RAE repetit. ","")&amp;IF(AND($B49&lt;&gt;"",$J49&lt;&gt;"",$J49&lt;&gt;"Contracte menor a càrrec del RAE"),"Té codi RAE però no és de tipus RAE. ","")&amp;IF($N49="","Falta l'indicador del Pla. ","")&amp;IF($R49="","Falta el gestor. ","")&amp;IF($S49="","Falta indicar si és recurrent. ",""))="","✔",TRIM(IF($C49="","Falta l'actuació. ","")&amp;IF($D49="","Falta l'objectiu. ","")&amp;IF($J49="","Falta el tipus de despesa. ","")&amp;IF(AND($J49&lt;&gt;"",$J49&lt;&gt;"Mitjans propis",$J49&lt;&gt;"Altres",$M49=""),"Falta l'import. ","")&amp;IF(AND($J49="Contracte menor a càrrec del RAE",$K49=""),"Falta la partida RAE. ","")&amp;IF(AND($B49&lt;&gt;"",COUNTIF($B$6:$B$705,$B49)&gt;1),"Codi RAE repetit. ","")&amp;IF(AND($B49&lt;&gt;"",$J49&lt;&gt;"",$J49&lt;&gt;"Contracte menor a càrrec del RAE"),"Té codi RAE però no és de tipus RAE. ","")&amp;IF($N49="","Falta l'indicador del Pla. ","")&amp;IF($R49="","Falta el gestor. ","")&amp;IF($S49="","Falta indicar si és recurrent. ",""))))</f>
        <v/>
      </c>
    </row>
    <row r="50">
      <c r="A50" s="10">
        <f>IF($D50="","","27_"&amp;IFERROR(INDEX(Objectius!$E$2:$E$183,MATCH($D50,Objectius!$A$2:$A$183,0)),"??")&amp;"_"&amp;TEXT(COUNTIF($I$6:$I50,$I50),"00"))</f>
        <v/>
      </c>
      <c r="B50" s="11" t="n"/>
      <c r="C50" s="11" t="n"/>
      <c r="D50" s="11" t="n"/>
      <c r="E50" s="10">
        <f>IF($D50="","",IFERROR(INDEX(Objectius!$C$2:$C$183,MATCH($D50,Objectius!$A$2:$A$183,0)),"Objectiu no trobat al Pla"))</f>
        <v/>
      </c>
      <c r="F50" s="11" t="n"/>
      <c r="G50" s="11" t="n"/>
      <c r="H50" s="11" t="n"/>
      <c r="I50" s="10">
        <f>IF($D50="","",IFERROR(INDEX(Objectius!$D$2:$D$183,MATCH($D50,Objectius!$A$2:$A$183,0)),""))</f>
        <v/>
      </c>
      <c r="J50" s="11" t="n"/>
      <c r="K50" s="11" t="n"/>
      <c r="L50" s="11" t="n"/>
      <c r="M50" s="12" t="n"/>
      <c r="N50" s="11" t="n"/>
      <c r="O50" s="10">
        <f>IF($N50="","",IFERROR(INDEX('PLA ESTRATÈGIC'!$G$4:$G$452,MATCH($N50,'PLA ESTRATÈGIC'!$Q$4:$Q$452,0)),""))</f>
        <v/>
      </c>
      <c r="P50" s="10">
        <f>IF($N50="","",IFERROR(INDEX('PLA ESTRATÈGIC'!$H$4:$H$452,MATCH($N50,'PLA ESTRATÈGIC'!$Q$4:$Q$452,0)),""))</f>
        <v/>
      </c>
      <c r="Q50" s="13" t="n"/>
      <c r="R50" s="11" t="n"/>
      <c r="S50" s="11" t="n"/>
      <c r="T50" s="11" t="n"/>
      <c r="U50" s="11" t="n"/>
      <c r="V50" s="10">
        <f>IF(COUNTA($C50,$D50,$J50,$M50)=0,"",IF(TRIM(IF($C50="","Falta l'actuació. ","")&amp;IF($D50="","Falta l'objectiu. ","")&amp;IF($J50="","Falta el tipus de despesa. ","")&amp;IF(AND($J50&lt;&gt;"",$J50&lt;&gt;"Mitjans propis",$J50&lt;&gt;"Altres",$M50=""),"Falta l'import. ","")&amp;IF(AND($J50="Contracte menor a càrrec del RAE",$K50=""),"Falta la partida RAE. ","")&amp;IF(AND($B50&lt;&gt;"",COUNTIF($B$6:$B$705,$B50)&gt;1),"Codi RAE repetit. ","")&amp;IF(AND($B50&lt;&gt;"",$J50&lt;&gt;"",$J50&lt;&gt;"Contracte menor a càrrec del RAE"),"Té codi RAE però no és de tipus RAE. ","")&amp;IF($N50="","Falta l'indicador del Pla. ","")&amp;IF($R50="","Falta el gestor. ","")&amp;IF($S50="","Falta indicar si és recurrent. ",""))="","✔",TRIM(IF($C50="","Falta l'actuació. ","")&amp;IF($D50="","Falta l'objectiu. ","")&amp;IF($J50="","Falta el tipus de despesa. ","")&amp;IF(AND($J50&lt;&gt;"",$J50&lt;&gt;"Mitjans propis",$J50&lt;&gt;"Altres",$M50=""),"Falta l'import. ","")&amp;IF(AND($J50="Contracte menor a càrrec del RAE",$K50=""),"Falta la partida RAE. ","")&amp;IF(AND($B50&lt;&gt;"",COUNTIF($B$6:$B$705,$B50)&gt;1),"Codi RAE repetit. ","")&amp;IF(AND($B50&lt;&gt;"",$J50&lt;&gt;"",$J50&lt;&gt;"Contracte menor a càrrec del RAE"),"Té codi RAE però no és de tipus RAE. ","")&amp;IF($N50="","Falta l'indicador del Pla. ","")&amp;IF($R50="","Falta el gestor. ","")&amp;IF($S50="","Falta indicar si és recurrent. ",""))))</f>
        <v/>
      </c>
    </row>
    <row r="51">
      <c r="A51" s="10">
        <f>IF($D51="","","27_"&amp;IFERROR(INDEX(Objectius!$E$2:$E$183,MATCH($D51,Objectius!$A$2:$A$183,0)),"??")&amp;"_"&amp;TEXT(COUNTIF($I$6:$I51,$I51),"00"))</f>
        <v/>
      </c>
      <c r="B51" s="11" t="n"/>
      <c r="C51" s="11" t="n"/>
      <c r="D51" s="11" t="n"/>
      <c r="E51" s="10">
        <f>IF($D51="","",IFERROR(INDEX(Objectius!$C$2:$C$183,MATCH($D51,Objectius!$A$2:$A$183,0)),"Objectiu no trobat al Pla"))</f>
        <v/>
      </c>
      <c r="F51" s="11" t="n"/>
      <c r="G51" s="11" t="n"/>
      <c r="H51" s="11" t="n"/>
      <c r="I51" s="10">
        <f>IF($D51="","",IFERROR(INDEX(Objectius!$D$2:$D$183,MATCH($D51,Objectius!$A$2:$A$183,0)),""))</f>
        <v/>
      </c>
      <c r="J51" s="11" t="n"/>
      <c r="K51" s="11" t="n"/>
      <c r="L51" s="11" t="n"/>
      <c r="M51" s="12" t="n"/>
      <c r="N51" s="11" t="n"/>
      <c r="O51" s="10">
        <f>IF($N51="","",IFERROR(INDEX('PLA ESTRATÈGIC'!$G$4:$G$452,MATCH($N51,'PLA ESTRATÈGIC'!$Q$4:$Q$452,0)),""))</f>
        <v/>
      </c>
      <c r="P51" s="10">
        <f>IF($N51="","",IFERROR(INDEX('PLA ESTRATÈGIC'!$H$4:$H$452,MATCH($N51,'PLA ESTRATÈGIC'!$Q$4:$Q$452,0)),""))</f>
        <v/>
      </c>
      <c r="Q51" s="13" t="n"/>
      <c r="R51" s="11" t="n"/>
      <c r="S51" s="11" t="n"/>
      <c r="T51" s="11" t="n"/>
      <c r="U51" s="11" t="n"/>
      <c r="V51" s="10">
        <f>IF(COUNTA($C51,$D51,$J51,$M51)=0,"",IF(TRIM(IF($C51="","Falta l'actuació. ","")&amp;IF($D51="","Falta l'objectiu. ","")&amp;IF($J51="","Falta el tipus de despesa. ","")&amp;IF(AND($J51&lt;&gt;"",$J51&lt;&gt;"Mitjans propis",$J51&lt;&gt;"Altres",$M51=""),"Falta l'import. ","")&amp;IF(AND($J51="Contracte menor a càrrec del RAE",$K51=""),"Falta la partida RAE. ","")&amp;IF(AND($B51&lt;&gt;"",COUNTIF($B$6:$B$705,$B51)&gt;1),"Codi RAE repetit. ","")&amp;IF(AND($B51&lt;&gt;"",$J51&lt;&gt;"",$J51&lt;&gt;"Contracte menor a càrrec del RAE"),"Té codi RAE però no és de tipus RAE. ","")&amp;IF($N51="","Falta l'indicador del Pla. ","")&amp;IF($R51="","Falta el gestor. ","")&amp;IF($S51="","Falta indicar si és recurrent. ",""))="","✔",TRIM(IF($C51="","Falta l'actuació. ","")&amp;IF($D51="","Falta l'objectiu. ","")&amp;IF($J51="","Falta el tipus de despesa. ","")&amp;IF(AND($J51&lt;&gt;"",$J51&lt;&gt;"Mitjans propis",$J51&lt;&gt;"Altres",$M51=""),"Falta l'import. ","")&amp;IF(AND($J51="Contracte menor a càrrec del RAE",$K51=""),"Falta la partida RAE. ","")&amp;IF(AND($B51&lt;&gt;"",COUNTIF($B$6:$B$705,$B51)&gt;1),"Codi RAE repetit. ","")&amp;IF(AND($B51&lt;&gt;"",$J51&lt;&gt;"",$J51&lt;&gt;"Contracte menor a càrrec del RAE"),"Té codi RAE però no és de tipus RAE. ","")&amp;IF($N51="","Falta l'indicador del Pla. ","")&amp;IF($R51="","Falta el gestor. ","")&amp;IF($S51="","Falta indicar si és recurrent. ",""))))</f>
        <v/>
      </c>
    </row>
    <row r="52">
      <c r="A52" s="10">
        <f>IF($D52="","","27_"&amp;IFERROR(INDEX(Objectius!$E$2:$E$183,MATCH($D52,Objectius!$A$2:$A$183,0)),"??")&amp;"_"&amp;TEXT(COUNTIF($I$6:$I52,$I52),"00"))</f>
        <v/>
      </c>
      <c r="B52" s="11" t="n"/>
      <c r="C52" s="11" t="n"/>
      <c r="D52" s="11" t="n"/>
      <c r="E52" s="10">
        <f>IF($D52="","",IFERROR(INDEX(Objectius!$C$2:$C$183,MATCH($D52,Objectius!$A$2:$A$183,0)),"Objectiu no trobat al Pla"))</f>
        <v/>
      </c>
      <c r="F52" s="11" t="n"/>
      <c r="G52" s="11" t="n"/>
      <c r="H52" s="11" t="n"/>
      <c r="I52" s="10">
        <f>IF($D52="","",IFERROR(INDEX(Objectius!$D$2:$D$183,MATCH($D52,Objectius!$A$2:$A$183,0)),""))</f>
        <v/>
      </c>
      <c r="J52" s="11" t="n"/>
      <c r="K52" s="11" t="n"/>
      <c r="L52" s="11" t="n"/>
      <c r="M52" s="12" t="n"/>
      <c r="N52" s="11" t="n"/>
      <c r="O52" s="10">
        <f>IF($N52="","",IFERROR(INDEX('PLA ESTRATÈGIC'!$G$4:$G$452,MATCH($N52,'PLA ESTRATÈGIC'!$Q$4:$Q$452,0)),""))</f>
        <v/>
      </c>
      <c r="P52" s="10">
        <f>IF($N52="","",IFERROR(INDEX('PLA ESTRATÈGIC'!$H$4:$H$452,MATCH($N52,'PLA ESTRATÈGIC'!$Q$4:$Q$452,0)),""))</f>
        <v/>
      </c>
      <c r="Q52" s="13" t="n"/>
      <c r="R52" s="11" t="n"/>
      <c r="S52" s="11" t="n"/>
      <c r="T52" s="11" t="n"/>
      <c r="U52" s="11" t="n"/>
      <c r="V52" s="10">
        <f>IF(COUNTA($C52,$D52,$J52,$M52)=0,"",IF(TRIM(IF($C52="","Falta l'actuació. ","")&amp;IF($D52="","Falta l'objectiu. ","")&amp;IF($J52="","Falta el tipus de despesa. ","")&amp;IF(AND($J52&lt;&gt;"",$J52&lt;&gt;"Mitjans propis",$J52&lt;&gt;"Altres",$M52=""),"Falta l'import. ","")&amp;IF(AND($J52="Contracte menor a càrrec del RAE",$K52=""),"Falta la partida RAE. ","")&amp;IF(AND($B52&lt;&gt;"",COUNTIF($B$6:$B$705,$B52)&gt;1),"Codi RAE repetit. ","")&amp;IF(AND($B52&lt;&gt;"",$J52&lt;&gt;"",$J52&lt;&gt;"Contracte menor a càrrec del RAE"),"Té codi RAE però no és de tipus RAE. ","")&amp;IF($N52="","Falta l'indicador del Pla. ","")&amp;IF($R52="","Falta el gestor. ","")&amp;IF($S52="","Falta indicar si és recurrent. ",""))="","✔",TRIM(IF($C52="","Falta l'actuació. ","")&amp;IF($D52="","Falta l'objectiu. ","")&amp;IF($J52="","Falta el tipus de despesa. ","")&amp;IF(AND($J52&lt;&gt;"",$J52&lt;&gt;"Mitjans propis",$J52&lt;&gt;"Altres",$M52=""),"Falta l'import. ","")&amp;IF(AND($J52="Contracte menor a càrrec del RAE",$K52=""),"Falta la partida RAE. ","")&amp;IF(AND($B52&lt;&gt;"",COUNTIF($B$6:$B$705,$B52)&gt;1),"Codi RAE repetit. ","")&amp;IF(AND($B52&lt;&gt;"",$J52&lt;&gt;"",$J52&lt;&gt;"Contracte menor a càrrec del RAE"),"Té codi RAE però no és de tipus RAE. ","")&amp;IF($N52="","Falta l'indicador del Pla. ","")&amp;IF($R52="","Falta el gestor. ","")&amp;IF($S52="","Falta indicar si és recurrent. ",""))))</f>
        <v/>
      </c>
    </row>
    <row r="53">
      <c r="A53" s="10">
        <f>IF($D53="","","27_"&amp;IFERROR(INDEX(Objectius!$E$2:$E$183,MATCH($D53,Objectius!$A$2:$A$183,0)),"??")&amp;"_"&amp;TEXT(COUNTIF($I$6:$I53,$I53),"00"))</f>
        <v/>
      </c>
      <c r="B53" s="11" t="n"/>
      <c r="C53" s="11" t="n"/>
      <c r="D53" s="11" t="n"/>
      <c r="E53" s="10">
        <f>IF($D53="","",IFERROR(INDEX(Objectius!$C$2:$C$183,MATCH($D53,Objectius!$A$2:$A$183,0)),"Objectiu no trobat al Pla"))</f>
        <v/>
      </c>
      <c r="F53" s="11" t="n"/>
      <c r="G53" s="11" t="n"/>
      <c r="H53" s="11" t="n"/>
      <c r="I53" s="10">
        <f>IF($D53="","",IFERROR(INDEX(Objectius!$D$2:$D$183,MATCH($D53,Objectius!$A$2:$A$183,0)),""))</f>
        <v/>
      </c>
      <c r="J53" s="11" t="n"/>
      <c r="K53" s="11" t="n"/>
      <c r="L53" s="11" t="n"/>
      <c r="M53" s="12" t="n"/>
      <c r="N53" s="11" t="n"/>
      <c r="O53" s="10">
        <f>IF($N53="","",IFERROR(INDEX('PLA ESTRATÈGIC'!$G$4:$G$452,MATCH($N53,'PLA ESTRATÈGIC'!$Q$4:$Q$452,0)),""))</f>
        <v/>
      </c>
      <c r="P53" s="10">
        <f>IF($N53="","",IFERROR(INDEX('PLA ESTRATÈGIC'!$H$4:$H$452,MATCH($N53,'PLA ESTRATÈGIC'!$Q$4:$Q$452,0)),""))</f>
        <v/>
      </c>
      <c r="Q53" s="13" t="n"/>
      <c r="R53" s="11" t="n"/>
      <c r="S53" s="11" t="n"/>
      <c r="T53" s="11" t="n"/>
      <c r="U53" s="11" t="n"/>
      <c r="V53" s="10">
        <f>IF(COUNTA($C53,$D53,$J53,$M53)=0,"",IF(TRIM(IF($C53="","Falta l'actuació. ","")&amp;IF($D53="","Falta l'objectiu. ","")&amp;IF($J53="","Falta el tipus de despesa. ","")&amp;IF(AND($J53&lt;&gt;"",$J53&lt;&gt;"Mitjans propis",$J53&lt;&gt;"Altres",$M53=""),"Falta l'import. ","")&amp;IF(AND($J53="Contracte menor a càrrec del RAE",$K53=""),"Falta la partida RAE. ","")&amp;IF(AND($B53&lt;&gt;"",COUNTIF($B$6:$B$705,$B53)&gt;1),"Codi RAE repetit. ","")&amp;IF(AND($B53&lt;&gt;"",$J53&lt;&gt;"",$J53&lt;&gt;"Contracte menor a càrrec del RAE"),"Té codi RAE però no és de tipus RAE. ","")&amp;IF($N53="","Falta l'indicador del Pla. ","")&amp;IF($R53="","Falta el gestor. ","")&amp;IF($S53="","Falta indicar si és recurrent. ",""))="","✔",TRIM(IF($C53="","Falta l'actuació. ","")&amp;IF($D53="","Falta l'objectiu. ","")&amp;IF($J53="","Falta el tipus de despesa. ","")&amp;IF(AND($J53&lt;&gt;"",$J53&lt;&gt;"Mitjans propis",$J53&lt;&gt;"Altres",$M53=""),"Falta l'import. ","")&amp;IF(AND($J53="Contracte menor a càrrec del RAE",$K53=""),"Falta la partida RAE. ","")&amp;IF(AND($B53&lt;&gt;"",COUNTIF($B$6:$B$705,$B53)&gt;1),"Codi RAE repetit. ","")&amp;IF(AND($B53&lt;&gt;"",$J53&lt;&gt;"",$J53&lt;&gt;"Contracte menor a càrrec del RAE"),"Té codi RAE però no és de tipus RAE. ","")&amp;IF($N53="","Falta l'indicador del Pla. ","")&amp;IF($R53="","Falta el gestor. ","")&amp;IF($S53="","Falta indicar si és recurrent. ",""))))</f>
        <v/>
      </c>
    </row>
    <row r="54">
      <c r="A54" s="10">
        <f>IF($D54="","","27_"&amp;IFERROR(INDEX(Objectius!$E$2:$E$183,MATCH($D54,Objectius!$A$2:$A$183,0)),"??")&amp;"_"&amp;TEXT(COUNTIF($I$6:$I54,$I54),"00"))</f>
        <v/>
      </c>
      <c r="B54" s="11" t="n"/>
      <c r="C54" s="11" t="n"/>
      <c r="D54" s="11" t="n"/>
      <c r="E54" s="10">
        <f>IF($D54="","",IFERROR(INDEX(Objectius!$C$2:$C$183,MATCH($D54,Objectius!$A$2:$A$183,0)),"Objectiu no trobat al Pla"))</f>
        <v/>
      </c>
      <c r="F54" s="11" t="n"/>
      <c r="G54" s="11" t="n"/>
      <c r="H54" s="11" t="n"/>
      <c r="I54" s="10">
        <f>IF($D54="","",IFERROR(INDEX(Objectius!$D$2:$D$183,MATCH($D54,Objectius!$A$2:$A$183,0)),""))</f>
        <v/>
      </c>
      <c r="J54" s="11" t="n"/>
      <c r="K54" s="11" t="n"/>
      <c r="L54" s="11" t="n"/>
      <c r="M54" s="12" t="n"/>
      <c r="N54" s="11" t="n"/>
      <c r="O54" s="10">
        <f>IF($N54="","",IFERROR(INDEX('PLA ESTRATÈGIC'!$G$4:$G$452,MATCH($N54,'PLA ESTRATÈGIC'!$Q$4:$Q$452,0)),""))</f>
        <v/>
      </c>
      <c r="P54" s="10">
        <f>IF($N54="","",IFERROR(INDEX('PLA ESTRATÈGIC'!$H$4:$H$452,MATCH($N54,'PLA ESTRATÈGIC'!$Q$4:$Q$452,0)),""))</f>
        <v/>
      </c>
      <c r="Q54" s="13" t="n"/>
      <c r="R54" s="11" t="n"/>
      <c r="S54" s="11" t="n"/>
      <c r="T54" s="11" t="n"/>
      <c r="U54" s="11" t="n"/>
      <c r="V54" s="10">
        <f>IF(COUNTA($C54,$D54,$J54,$M54)=0,"",IF(TRIM(IF($C54="","Falta l'actuació. ","")&amp;IF($D54="","Falta l'objectiu. ","")&amp;IF($J54="","Falta el tipus de despesa. ","")&amp;IF(AND($J54&lt;&gt;"",$J54&lt;&gt;"Mitjans propis",$J54&lt;&gt;"Altres",$M54=""),"Falta l'import. ","")&amp;IF(AND($J54="Contracte menor a càrrec del RAE",$K54=""),"Falta la partida RAE. ","")&amp;IF(AND($B54&lt;&gt;"",COUNTIF($B$6:$B$705,$B54)&gt;1),"Codi RAE repetit. ","")&amp;IF(AND($B54&lt;&gt;"",$J54&lt;&gt;"",$J54&lt;&gt;"Contracte menor a càrrec del RAE"),"Té codi RAE però no és de tipus RAE. ","")&amp;IF($N54="","Falta l'indicador del Pla. ","")&amp;IF($R54="","Falta el gestor. ","")&amp;IF($S54="","Falta indicar si és recurrent. ",""))="","✔",TRIM(IF($C54="","Falta l'actuació. ","")&amp;IF($D54="","Falta l'objectiu. ","")&amp;IF($J54="","Falta el tipus de despesa. ","")&amp;IF(AND($J54&lt;&gt;"",$J54&lt;&gt;"Mitjans propis",$J54&lt;&gt;"Altres",$M54=""),"Falta l'import. ","")&amp;IF(AND($J54="Contracte menor a càrrec del RAE",$K54=""),"Falta la partida RAE. ","")&amp;IF(AND($B54&lt;&gt;"",COUNTIF($B$6:$B$705,$B54)&gt;1),"Codi RAE repetit. ","")&amp;IF(AND($B54&lt;&gt;"",$J54&lt;&gt;"",$J54&lt;&gt;"Contracte menor a càrrec del RAE"),"Té codi RAE però no és de tipus RAE. ","")&amp;IF($N54="","Falta l'indicador del Pla. ","")&amp;IF($R54="","Falta el gestor. ","")&amp;IF($S54="","Falta indicar si és recurrent. ",""))))</f>
        <v/>
      </c>
    </row>
    <row r="55">
      <c r="A55" s="10">
        <f>IF($D55="","","27_"&amp;IFERROR(INDEX(Objectius!$E$2:$E$183,MATCH($D55,Objectius!$A$2:$A$183,0)),"??")&amp;"_"&amp;TEXT(COUNTIF($I$6:$I55,$I55),"00"))</f>
        <v/>
      </c>
      <c r="B55" s="11" t="n"/>
      <c r="C55" s="11" t="n"/>
      <c r="D55" s="11" t="n"/>
      <c r="E55" s="10">
        <f>IF($D55="","",IFERROR(INDEX(Objectius!$C$2:$C$183,MATCH($D55,Objectius!$A$2:$A$183,0)),"Objectiu no trobat al Pla"))</f>
        <v/>
      </c>
      <c r="F55" s="11" t="n"/>
      <c r="G55" s="11" t="n"/>
      <c r="H55" s="11" t="n"/>
      <c r="I55" s="10">
        <f>IF($D55="","",IFERROR(INDEX(Objectius!$D$2:$D$183,MATCH($D55,Objectius!$A$2:$A$183,0)),""))</f>
        <v/>
      </c>
      <c r="J55" s="11" t="n"/>
      <c r="K55" s="11" t="n"/>
      <c r="L55" s="11" t="n"/>
      <c r="M55" s="12" t="n"/>
      <c r="N55" s="11" t="n"/>
      <c r="O55" s="10">
        <f>IF($N55="","",IFERROR(INDEX('PLA ESTRATÈGIC'!$G$4:$G$452,MATCH($N55,'PLA ESTRATÈGIC'!$Q$4:$Q$452,0)),""))</f>
        <v/>
      </c>
      <c r="P55" s="10">
        <f>IF($N55="","",IFERROR(INDEX('PLA ESTRATÈGIC'!$H$4:$H$452,MATCH($N55,'PLA ESTRATÈGIC'!$Q$4:$Q$452,0)),""))</f>
        <v/>
      </c>
      <c r="Q55" s="13" t="n"/>
      <c r="R55" s="11" t="n"/>
      <c r="S55" s="11" t="n"/>
      <c r="T55" s="11" t="n"/>
      <c r="U55" s="11" t="n"/>
      <c r="V55" s="10">
        <f>IF(COUNTA($C55,$D55,$J55,$M55)=0,"",IF(TRIM(IF($C55="","Falta l'actuació. ","")&amp;IF($D55="","Falta l'objectiu. ","")&amp;IF($J55="","Falta el tipus de despesa. ","")&amp;IF(AND($J55&lt;&gt;"",$J55&lt;&gt;"Mitjans propis",$J55&lt;&gt;"Altres",$M55=""),"Falta l'import. ","")&amp;IF(AND($J55="Contracte menor a càrrec del RAE",$K55=""),"Falta la partida RAE. ","")&amp;IF(AND($B55&lt;&gt;"",COUNTIF($B$6:$B$705,$B55)&gt;1),"Codi RAE repetit. ","")&amp;IF(AND($B55&lt;&gt;"",$J55&lt;&gt;"",$J55&lt;&gt;"Contracte menor a càrrec del RAE"),"Té codi RAE però no és de tipus RAE. ","")&amp;IF($N55="","Falta l'indicador del Pla. ","")&amp;IF($R55="","Falta el gestor. ","")&amp;IF($S55="","Falta indicar si és recurrent. ",""))="","✔",TRIM(IF($C55="","Falta l'actuació. ","")&amp;IF($D55="","Falta l'objectiu. ","")&amp;IF($J55="","Falta el tipus de despesa. ","")&amp;IF(AND($J55&lt;&gt;"",$J55&lt;&gt;"Mitjans propis",$J55&lt;&gt;"Altres",$M55=""),"Falta l'import. ","")&amp;IF(AND($J55="Contracte menor a càrrec del RAE",$K55=""),"Falta la partida RAE. ","")&amp;IF(AND($B55&lt;&gt;"",COUNTIF($B$6:$B$705,$B55)&gt;1),"Codi RAE repetit. ","")&amp;IF(AND($B55&lt;&gt;"",$J55&lt;&gt;"",$J55&lt;&gt;"Contracte menor a càrrec del RAE"),"Té codi RAE però no és de tipus RAE. ","")&amp;IF($N55="","Falta l'indicador del Pla. ","")&amp;IF($R55="","Falta el gestor. ","")&amp;IF($S55="","Falta indicar si és recurrent. ",""))))</f>
        <v/>
      </c>
    </row>
    <row r="56">
      <c r="A56" s="10">
        <f>IF($D56="","","27_"&amp;IFERROR(INDEX(Objectius!$E$2:$E$183,MATCH($D56,Objectius!$A$2:$A$183,0)),"??")&amp;"_"&amp;TEXT(COUNTIF($I$6:$I56,$I56),"00"))</f>
        <v/>
      </c>
      <c r="B56" s="11" t="n"/>
      <c r="C56" s="11" t="n"/>
      <c r="D56" s="11" t="n"/>
      <c r="E56" s="10">
        <f>IF($D56="","",IFERROR(INDEX(Objectius!$C$2:$C$183,MATCH($D56,Objectius!$A$2:$A$183,0)),"Objectiu no trobat al Pla"))</f>
        <v/>
      </c>
      <c r="F56" s="11" t="n"/>
      <c r="G56" s="11" t="n"/>
      <c r="H56" s="11" t="n"/>
      <c r="I56" s="10">
        <f>IF($D56="","",IFERROR(INDEX(Objectius!$D$2:$D$183,MATCH($D56,Objectius!$A$2:$A$183,0)),""))</f>
        <v/>
      </c>
      <c r="J56" s="11" t="n"/>
      <c r="K56" s="11" t="n"/>
      <c r="L56" s="11" t="n"/>
      <c r="M56" s="12" t="n"/>
      <c r="N56" s="11" t="n"/>
      <c r="O56" s="10">
        <f>IF($N56="","",IFERROR(INDEX('PLA ESTRATÈGIC'!$G$4:$G$452,MATCH($N56,'PLA ESTRATÈGIC'!$Q$4:$Q$452,0)),""))</f>
        <v/>
      </c>
      <c r="P56" s="10">
        <f>IF($N56="","",IFERROR(INDEX('PLA ESTRATÈGIC'!$H$4:$H$452,MATCH($N56,'PLA ESTRATÈGIC'!$Q$4:$Q$452,0)),""))</f>
        <v/>
      </c>
      <c r="Q56" s="13" t="n"/>
      <c r="R56" s="11" t="n"/>
      <c r="S56" s="11" t="n"/>
      <c r="T56" s="11" t="n"/>
      <c r="U56" s="11" t="n"/>
      <c r="V56" s="10">
        <f>IF(COUNTA($C56,$D56,$J56,$M56)=0,"",IF(TRIM(IF($C56="","Falta l'actuació. ","")&amp;IF($D56="","Falta l'objectiu. ","")&amp;IF($J56="","Falta el tipus de despesa. ","")&amp;IF(AND($J56&lt;&gt;"",$J56&lt;&gt;"Mitjans propis",$J56&lt;&gt;"Altres",$M56=""),"Falta l'import. ","")&amp;IF(AND($J56="Contracte menor a càrrec del RAE",$K56=""),"Falta la partida RAE. ","")&amp;IF(AND($B56&lt;&gt;"",COUNTIF($B$6:$B$705,$B56)&gt;1),"Codi RAE repetit. ","")&amp;IF(AND($B56&lt;&gt;"",$J56&lt;&gt;"",$J56&lt;&gt;"Contracte menor a càrrec del RAE"),"Té codi RAE però no és de tipus RAE. ","")&amp;IF($N56="","Falta l'indicador del Pla. ","")&amp;IF($R56="","Falta el gestor. ","")&amp;IF($S56="","Falta indicar si és recurrent. ",""))="","✔",TRIM(IF($C56="","Falta l'actuació. ","")&amp;IF($D56="","Falta l'objectiu. ","")&amp;IF($J56="","Falta el tipus de despesa. ","")&amp;IF(AND($J56&lt;&gt;"",$J56&lt;&gt;"Mitjans propis",$J56&lt;&gt;"Altres",$M56=""),"Falta l'import. ","")&amp;IF(AND($J56="Contracte menor a càrrec del RAE",$K56=""),"Falta la partida RAE. ","")&amp;IF(AND($B56&lt;&gt;"",COUNTIF($B$6:$B$705,$B56)&gt;1),"Codi RAE repetit. ","")&amp;IF(AND($B56&lt;&gt;"",$J56&lt;&gt;"",$J56&lt;&gt;"Contracte menor a càrrec del RAE"),"Té codi RAE però no és de tipus RAE. ","")&amp;IF($N56="","Falta l'indicador del Pla. ","")&amp;IF($R56="","Falta el gestor. ","")&amp;IF($S56="","Falta indicar si és recurrent. ",""))))</f>
        <v/>
      </c>
    </row>
    <row r="57">
      <c r="A57" s="10">
        <f>IF($D57="","","27_"&amp;IFERROR(INDEX(Objectius!$E$2:$E$183,MATCH($D57,Objectius!$A$2:$A$183,0)),"??")&amp;"_"&amp;TEXT(COUNTIF($I$6:$I57,$I57),"00"))</f>
        <v/>
      </c>
      <c r="B57" s="11" t="n"/>
      <c r="C57" s="11" t="n"/>
      <c r="D57" s="11" t="n"/>
      <c r="E57" s="10">
        <f>IF($D57="","",IFERROR(INDEX(Objectius!$C$2:$C$183,MATCH($D57,Objectius!$A$2:$A$183,0)),"Objectiu no trobat al Pla"))</f>
        <v/>
      </c>
      <c r="F57" s="11" t="n"/>
      <c r="G57" s="11" t="n"/>
      <c r="H57" s="11" t="n"/>
      <c r="I57" s="10">
        <f>IF($D57="","",IFERROR(INDEX(Objectius!$D$2:$D$183,MATCH($D57,Objectius!$A$2:$A$183,0)),""))</f>
        <v/>
      </c>
      <c r="J57" s="11" t="n"/>
      <c r="K57" s="11" t="n"/>
      <c r="L57" s="11" t="n"/>
      <c r="M57" s="12" t="n"/>
      <c r="N57" s="11" t="n"/>
      <c r="O57" s="10">
        <f>IF($N57="","",IFERROR(INDEX('PLA ESTRATÈGIC'!$G$4:$G$452,MATCH($N57,'PLA ESTRATÈGIC'!$Q$4:$Q$452,0)),""))</f>
        <v/>
      </c>
      <c r="P57" s="10">
        <f>IF($N57="","",IFERROR(INDEX('PLA ESTRATÈGIC'!$H$4:$H$452,MATCH($N57,'PLA ESTRATÈGIC'!$Q$4:$Q$452,0)),""))</f>
        <v/>
      </c>
      <c r="Q57" s="13" t="n"/>
      <c r="R57" s="11" t="n"/>
      <c r="S57" s="11" t="n"/>
      <c r="T57" s="11" t="n"/>
      <c r="U57" s="11" t="n"/>
      <c r="V57" s="10">
        <f>IF(COUNTA($C57,$D57,$J57,$M57)=0,"",IF(TRIM(IF($C57="","Falta l'actuació. ","")&amp;IF($D57="","Falta l'objectiu. ","")&amp;IF($J57="","Falta el tipus de despesa. ","")&amp;IF(AND($J57&lt;&gt;"",$J57&lt;&gt;"Mitjans propis",$J57&lt;&gt;"Altres",$M57=""),"Falta l'import. ","")&amp;IF(AND($J57="Contracte menor a càrrec del RAE",$K57=""),"Falta la partida RAE. ","")&amp;IF(AND($B57&lt;&gt;"",COUNTIF($B$6:$B$705,$B57)&gt;1),"Codi RAE repetit. ","")&amp;IF(AND($B57&lt;&gt;"",$J57&lt;&gt;"",$J57&lt;&gt;"Contracte menor a càrrec del RAE"),"Té codi RAE però no és de tipus RAE. ","")&amp;IF($N57="","Falta l'indicador del Pla. ","")&amp;IF($R57="","Falta el gestor. ","")&amp;IF($S57="","Falta indicar si és recurrent. ",""))="","✔",TRIM(IF($C57="","Falta l'actuació. ","")&amp;IF($D57="","Falta l'objectiu. ","")&amp;IF($J57="","Falta el tipus de despesa. ","")&amp;IF(AND($J57&lt;&gt;"",$J57&lt;&gt;"Mitjans propis",$J57&lt;&gt;"Altres",$M57=""),"Falta l'import. ","")&amp;IF(AND($J57="Contracte menor a càrrec del RAE",$K57=""),"Falta la partida RAE. ","")&amp;IF(AND($B57&lt;&gt;"",COUNTIF($B$6:$B$705,$B57)&gt;1),"Codi RAE repetit. ","")&amp;IF(AND($B57&lt;&gt;"",$J57&lt;&gt;"",$J57&lt;&gt;"Contracte menor a càrrec del RAE"),"Té codi RAE però no és de tipus RAE. ","")&amp;IF($N57="","Falta l'indicador del Pla. ","")&amp;IF($R57="","Falta el gestor. ","")&amp;IF($S57="","Falta indicar si és recurrent. ",""))))</f>
        <v/>
      </c>
    </row>
    <row r="58">
      <c r="A58" s="10">
        <f>IF($D58="","","27_"&amp;IFERROR(INDEX(Objectius!$E$2:$E$183,MATCH($D58,Objectius!$A$2:$A$183,0)),"??")&amp;"_"&amp;TEXT(COUNTIF($I$6:$I58,$I58),"00"))</f>
        <v/>
      </c>
      <c r="B58" s="11" t="n"/>
      <c r="C58" s="11" t="n"/>
      <c r="D58" s="11" t="n"/>
      <c r="E58" s="10">
        <f>IF($D58="","",IFERROR(INDEX(Objectius!$C$2:$C$183,MATCH($D58,Objectius!$A$2:$A$183,0)),"Objectiu no trobat al Pla"))</f>
        <v/>
      </c>
      <c r="F58" s="11" t="n"/>
      <c r="G58" s="11" t="n"/>
      <c r="H58" s="11" t="n"/>
      <c r="I58" s="10">
        <f>IF($D58="","",IFERROR(INDEX(Objectius!$D$2:$D$183,MATCH($D58,Objectius!$A$2:$A$183,0)),""))</f>
        <v/>
      </c>
      <c r="J58" s="11" t="n"/>
      <c r="K58" s="11" t="n"/>
      <c r="L58" s="11" t="n"/>
      <c r="M58" s="12" t="n"/>
      <c r="N58" s="11" t="n"/>
      <c r="O58" s="10">
        <f>IF($N58="","",IFERROR(INDEX('PLA ESTRATÈGIC'!$G$4:$G$452,MATCH($N58,'PLA ESTRATÈGIC'!$Q$4:$Q$452,0)),""))</f>
        <v/>
      </c>
      <c r="P58" s="10">
        <f>IF($N58="","",IFERROR(INDEX('PLA ESTRATÈGIC'!$H$4:$H$452,MATCH($N58,'PLA ESTRATÈGIC'!$Q$4:$Q$452,0)),""))</f>
        <v/>
      </c>
      <c r="Q58" s="13" t="n"/>
      <c r="R58" s="11" t="n"/>
      <c r="S58" s="11" t="n"/>
      <c r="T58" s="11" t="n"/>
      <c r="U58" s="11" t="n"/>
      <c r="V58" s="10">
        <f>IF(COUNTA($C58,$D58,$J58,$M58)=0,"",IF(TRIM(IF($C58="","Falta l'actuació. ","")&amp;IF($D58="","Falta l'objectiu. ","")&amp;IF($J58="","Falta el tipus de despesa. ","")&amp;IF(AND($J58&lt;&gt;"",$J58&lt;&gt;"Mitjans propis",$J58&lt;&gt;"Altres",$M58=""),"Falta l'import. ","")&amp;IF(AND($J58="Contracte menor a càrrec del RAE",$K58=""),"Falta la partida RAE. ","")&amp;IF(AND($B58&lt;&gt;"",COUNTIF($B$6:$B$705,$B58)&gt;1),"Codi RAE repetit. ","")&amp;IF(AND($B58&lt;&gt;"",$J58&lt;&gt;"",$J58&lt;&gt;"Contracte menor a càrrec del RAE"),"Té codi RAE però no és de tipus RAE. ","")&amp;IF($N58="","Falta l'indicador del Pla. ","")&amp;IF($R58="","Falta el gestor. ","")&amp;IF($S58="","Falta indicar si és recurrent. ",""))="","✔",TRIM(IF($C58="","Falta l'actuació. ","")&amp;IF($D58="","Falta l'objectiu. ","")&amp;IF($J58="","Falta el tipus de despesa. ","")&amp;IF(AND($J58&lt;&gt;"",$J58&lt;&gt;"Mitjans propis",$J58&lt;&gt;"Altres",$M58=""),"Falta l'import. ","")&amp;IF(AND($J58="Contracte menor a càrrec del RAE",$K58=""),"Falta la partida RAE. ","")&amp;IF(AND($B58&lt;&gt;"",COUNTIF($B$6:$B$705,$B58)&gt;1),"Codi RAE repetit. ","")&amp;IF(AND($B58&lt;&gt;"",$J58&lt;&gt;"",$J58&lt;&gt;"Contracte menor a càrrec del RAE"),"Té codi RAE però no és de tipus RAE. ","")&amp;IF($N58="","Falta l'indicador del Pla. ","")&amp;IF($R58="","Falta el gestor. ","")&amp;IF($S58="","Falta indicar si és recurrent. ",""))))</f>
        <v/>
      </c>
    </row>
    <row r="59">
      <c r="A59" s="10">
        <f>IF($D59="","","27_"&amp;IFERROR(INDEX(Objectius!$E$2:$E$183,MATCH($D59,Objectius!$A$2:$A$183,0)),"??")&amp;"_"&amp;TEXT(COUNTIF($I$6:$I59,$I59),"00"))</f>
        <v/>
      </c>
      <c r="B59" s="11" t="n"/>
      <c r="C59" s="11" t="n"/>
      <c r="D59" s="11" t="n"/>
      <c r="E59" s="10">
        <f>IF($D59="","",IFERROR(INDEX(Objectius!$C$2:$C$183,MATCH($D59,Objectius!$A$2:$A$183,0)),"Objectiu no trobat al Pla"))</f>
        <v/>
      </c>
      <c r="F59" s="11" t="n"/>
      <c r="G59" s="11" t="n"/>
      <c r="H59" s="11" t="n"/>
      <c r="I59" s="10">
        <f>IF($D59="","",IFERROR(INDEX(Objectius!$D$2:$D$183,MATCH($D59,Objectius!$A$2:$A$183,0)),""))</f>
        <v/>
      </c>
      <c r="J59" s="11" t="n"/>
      <c r="K59" s="11" t="n"/>
      <c r="L59" s="11" t="n"/>
      <c r="M59" s="12" t="n"/>
      <c r="N59" s="11" t="n"/>
      <c r="O59" s="10">
        <f>IF($N59="","",IFERROR(INDEX('PLA ESTRATÈGIC'!$G$4:$G$452,MATCH($N59,'PLA ESTRATÈGIC'!$Q$4:$Q$452,0)),""))</f>
        <v/>
      </c>
      <c r="P59" s="10">
        <f>IF($N59="","",IFERROR(INDEX('PLA ESTRATÈGIC'!$H$4:$H$452,MATCH($N59,'PLA ESTRATÈGIC'!$Q$4:$Q$452,0)),""))</f>
        <v/>
      </c>
      <c r="Q59" s="13" t="n"/>
      <c r="R59" s="11" t="n"/>
      <c r="S59" s="11" t="n"/>
      <c r="T59" s="11" t="n"/>
      <c r="U59" s="11" t="n"/>
      <c r="V59" s="10">
        <f>IF(COUNTA($C59,$D59,$J59,$M59)=0,"",IF(TRIM(IF($C59="","Falta l'actuació. ","")&amp;IF($D59="","Falta l'objectiu. ","")&amp;IF($J59="","Falta el tipus de despesa. ","")&amp;IF(AND($J59&lt;&gt;"",$J59&lt;&gt;"Mitjans propis",$J59&lt;&gt;"Altres",$M59=""),"Falta l'import. ","")&amp;IF(AND($J59="Contracte menor a càrrec del RAE",$K59=""),"Falta la partida RAE. ","")&amp;IF(AND($B59&lt;&gt;"",COUNTIF($B$6:$B$705,$B59)&gt;1),"Codi RAE repetit. ","")&amp;IF(AND($B59&lt;&gt;"",$J59&lt;&gt;"",$J59&lt;&gt;"Contracte menor a càrrec del RAE"),"Té codi RAE però no és de tipus RAE. ","")&amp;IF($N59="","Falta l'indicador del Pla. ","")&amp;IF($R59="","Falta el gestor. ","")&amp;IF($S59="","Falta indicar si és recurrent. ",""))="","✔",TRIM(IF($C59="","Falta l'actuació. ","")&amp;IF($D59="","Falta l'objectiu. ","")&amp;IF($J59="","Falta el tipus de despesa. ","")&amp;IF(AND($J59&lt;&gt;"",$J59&lt;&gt;"Mitjans propis",$J59&lt;&gt;"Altres",$M59=""),"Falta l'import. ","")&amp;IF(AND($J59="Contracte menor a càrrec del RAE",$K59=""),"Falta la partida RAE. ","")&amp;IF(AND($B59&lt;&gt;"",COUNTIF($B$6:$B$705,$B59)&gt;1),"Codi RAE repetit. ","")&amp;IF(AND($B59&lt;&gt;"",$J59&lt;&gt;"",$J59&lt;&gt;"Contracte menor a càrrec del RAE"),"Té codi RAE però no és de tipus RAE. ","")&amp;IF($N59="","Falta l'indicador del Pla. ","")&amp;IF($R59="","Falta el gestor. ","")&amp;IF($S59="","Falta indicar si és recurrent. ",""))))</f>
        <v/>
      </c>
    </row>
    <row r="60">
      <c r="A60" s="10">
        <f>IF($D60="","","27_"&amp;IFERROR(INDEX(Objectius!$E$2:$E$183,MATCH($D60,Objectius!$A$2:$A$183,0)),"??")&amp;"_"&amp;TEXT(COUNTIF($I$6:$I60,$I60),"00"))</f>
        <v/>
      </c>
      <c r="B60" s="11" t="n"/>
      <c r="C60" s="11" t="n"/>
      <c r="D60" s="11" t="n"/>
      <c r="E60" s="10">
        <f>IF($D60="","",IFERROR(INDEX(Objectius!$C$2:$C$183,MATCH($D60,Objectius!$A$2:$A$183,0)),"Objectiu no trobat al Pla"))</f>
        <v/>
      </c>
      <c r="F60" s="11" t="n"/>
      <c r="G60" s="11" t="n"/>
      <c r="H60" s="11" t="n"/>
      <c r="I60" s="10">
        <f>IF($D60="","",IFERROR(INDEX(Objectius!$D$2:$D$183,MATCH($D60,Objectius!$A$2:$A$183,0)),""))</f>
        <v/>
      </c>
      <c r="J60" s="11" t="n"/>
      <c r="K60" s="11" t="n"/>
      <c r="L60" s="11" t="n"/>
      <c r="M60" s="12" t="n"/>
      <c r="N60" s="11" t="n"/>
      <c r="O60" s="10">
        <f>IF($N60="","",IFERROR(INDEX('PLA ESTRATÈGIC'!$G$4:$G$452,MATCH($N60,'PLA ESTRATÈGIC'!$Q$4:$Q$452,0)),""))</f>
        <v/>
      </c>
      <c r="P60" s="10">
        <f>IF($N60="","",IFERROR(INDEX('PLA ESTRATÈGIC'!$H$4:$H$452,MATCH($N60,'PLA ESTRATÈGIC'!$Q$4:$Q$452,0)),""))</f>
        <v/>
      </c>
      <c r="Q60" s="13" t="n"/>
      <c r="R60" s="11" t="n"/>
      <c r="S60" s="11" t="n"/>
      <c r="T60" s="11" t="n"/>
      <c r="U60" s="11" t="n"/>
      <c r="V60" s="10">
        <f>IF(COUNTA($C60,$D60,$J60,$M60)=0,"",IF(TRIM(IF($C60="","Falta l'actuació. ","")&amp;IF($D60="","Falta l'objectiu. ","")&amp;IF($J60="","Falta el tipus de despesa. ","")&amp;IF(AND($J60&lt;&gt;"",$J60&lt;&gt;"Mitjans propis",$J60&lt;&gt;"Altres",$M60=""),"Falta l'import. ","")&amp;IF(AND($J60="Contracte menor a càrrec del RAE",$K60=""),"Falta la partida RAE. ","")&amp;IF(AND($B60&lt;&gt;"",COUNTIF($B$6:$B$705,$B60)&gt;1),"Codi RAE repetit. ","")&amp;IF(AND($B60&lt;&gt;"",$J60&lt;&gt;"",$J60&lt;&gt;"Contracte menor a càrrec del RAE"),"Té codi RAE però no és de tipus RAE. ","")&amp;IF($N60="","Falta l'indicador del Pla. ","")&amp;IF($R60="","Falta el gestor. ","")&amp;IF($S60="","Falta indicar si és recurrent. ",""))="","✔",TRIM(IF($C60="","Falta l'actuació. ","")&amp;IF($D60="","Falta l'objectiu. ","")&amp;IF($J60="","Falta el tipus de despesa. ","")&amp;IF(AND($J60&lt;&gt;"",$J60&lt;&gt;"Mitjans propis",$J60&lt;&gt;"Altres",$M60=""),"Falta l'import. ","")&amp;IF(AND($J60="Contracte menor a càrrec del RAE",$K60=""),"Falta la partida RAE. ","")&amp;IF(AND($B60&lt;&gt;"",COUNTIF($B$6:$B$705,$B60)&gt;1),"Codi RAE repetit. ","")&amp;IF(AND($B60&lt;&gt;"",$J60&lt;&gt;"",$J60&lt;&gt;"Contracte menor a càrrec del RAE"),"Té codi RAE però no és de tipus RAE. ","")&amp;IF($N60="","Falta l'indicador del Pla. ","")&amp;IF($R60="","Falta el gestor. ","")&amp;IF($S60="","Falta indicar si és recurrent. ",""))))</f>
        <v/>
      </c>
    </row>
    <row r="61">
      <c r="A61" s="10">
        <f>IF($D61="","","27_"&amp;IFERROR(INDEX(Objectius!$E$2:$E$183,MATCH($D61,Objectius!$A$2:$A$183,0)),"??")&amp;"_"&amp;TEXT(COUNTIF($I$6:$I61,$I61),"00"))</f>
        <v/>
      </c>
      <c r="B61" s="11" t="n"/>
      <c r="C61" s="11" t="n"/>
      <c r="D61" s="11" t="n"/>
      <c r="E61" s="10">
        <f>IF($D61="","",IFERROR(INDEX(Objectius!$C$2:$C$183,MATCH($D61,Objectius!$A$2:$A$183,0)),"Objectiu no trobat al Pla"))</f>
        <v/>
      </c>
      <c r="F61" s="11" t="n"/>
      <c r="G61" s="11" t="n"/>
      <c r="H61" s="11" t="n"/>
      <c r="I61" s="10">
        <f>IF($D61="","",IFERROR(INDEX(Objectius!$D$2:$D$183,MATCH($D61,Objectius!$A$2:$A$183,0)),""))</f>
        <v/>
      </c>
      <c r="J61" s="11" t="n"/>
      <c r="K61" s="11" t="n"/>
      <c r="L61" s="11" t="n"/>
      <c r="M61" s="12" t="n"/>
      <c r="N61" s="11" t="n"/>
      <c r="O61" s="10">
        <f>IF($N61="","",IFERROR(INDEX('PLA ESTRATÈGIC'!$G$4:$G$452,MATCH($N61,'PLA ESTRATÈGIC'!$Q$4:$Q$452,0)),""))</f>
        <v/>
      </c>
      <c r="P61" s="10">
        <f>IF($N61="","",IFERROR(INDEX('PLA ESTRATÈGIC'!$H$4:$H$452,MATCH($N61,'PLA ESTRATÈGIC'!$Q$4:$Q$452,0)),""))</f>
        <v/>
      </c>
      <c r="Q61" s="13" t="n"/>
      <c r="R61" s="11" t="n"/>
      <c r="S61" s="11" t="n"/>
      <c r="T61" s="11" t="n"/>
      <c r="U61" s="11" t="n"/>
      <c r="V61" s="10">
        <f>IF(COUNTA($C61,$D61,$J61,$M61)=0,"",IF(TRIM(IF($C61="","Falta l'actuació. ","")&amp;IF($D61="","Falta l'objectiu. ","")&amp;IF($J61="","Falta el tipus de despesa. ","")&amp;IF(AND($J61&lt;&gt;"",$J61&lt;&gt;"Mitjans propis",$J61&lt;&gt;"Altres",$M61=""),"Falta l'import. ","")&amp;IF(AND($J61="Contracte menor a càrrec del RAE",$K61=""),"Falta la partida RAE. ","")&amp;IF(AND($B61&lt;&gt;"",COUNTIF($B$6:$B$705,$B61)&gt;1),"Codi RAE repetit. ","")&amp;IF(AND($B61&lt;&gt;"",$J61&lt;&gt;"",$J61&lt;&gt;"Contracte menor a càrrec del RAE"),"Té codi RAE però no és de tipus RAE. ","")&amp;IF($N61="","Falta l'indicador del Pla. ","")&amp;IF($R61="","Falta el gestor. ","")&amp;IF($S61="","Falta indicar si és recurrent. ",""))="","✔",TRIM(IF($C61="","Falta l'actuació. ","")&amp;IF($D61="","Falta l'objectiu. ","")&amp;IF($J61="","Falta el tipus de despesa. ","")&amp;IF(AND($J61&lt;&gt;"",$J61&lt;&gt;"Mitjans propis",$J61&lt;&gt;"Altres",$M61=""),"Falta l'import. ","")&amp;IF(AND($J61="Contracte menor a càrrec del RAE",$K61=""),"Falta la partida RAE. ","")&amp;IF(AND($B61&lt;&gt;"",COUNTIF($B$6:$B$705,$B61)&gt;1),"Codi RAE repetit. ","")&amp;IF(AND($B61&lt;&gt;"",$J61&lt;&gt;"",$J61&lt;&gt;"Contracte menor a càrrec del RAE"),"Té codi RAE però no és de tipus RAE. ","")&amp;IF($N61="","Falta l'indicador del Pla. ","")&amp;IF($R61="","Falta el gestor. ","")&amp;IF($S61="","Falta indicar si és recurrent. ",""))))</f>
        <v/>
      </c>
    </row>
    <row r="62">
      <c r="A62" s="10">
        <f>IF($D62="","","27_"&amp;IFERROR(INDEX(Objectius!$E$2:$E$183,MATCH($D62,Objectius!$A$2:$A$183,0)),"??")&amp;"_"&amp;TEXT(COUNTIF($I$6:$I62,$I62),"00"))</f>
        <v/>
      </c>
      <c r="B62" s="11" t="n"/>
      <c r="C62" s="11" t="n"/>
      <c r="D62" s="11" t="n"/>
      <c r="E62" s="10">
        <f>IF($D62="","",IFERROR(INDEX(Objectius!$C$2:$C$183,MATCH($D62,Objectius!$A$2:$A$183,0)),"Objectiu no trobat al Pla"))</f>
        <v/>
      </c>
      <c r="F62" s="11" t="n"/>
      <c r="G62" s="11" t="n"/>
      <c r="H62" s="11" t="n"/>
      <c r="I62" s="10">
        <f>IF($D62="","",IFERROR(INDEX(Objectius!$D$2:$D$183,MATCH($D62,Objectius!$A$2:$A$183,0)),""))</f>
        <v/>
      </c>
      <c r="J62" s="11" t="n"/>
      <c r="K62" s="11" t="n"/>
      <c r="L62" s="11" t="n"/>
      <c r="M62" s="12" t="n"/>
      <c r="N62" s="11" t="n"/>
      <c r="O62" s="10">
        <f>IF($N62="","",IFERROR(INDEX('PLA ESTRATÈGIC'!$G$4:$G$452,MATCH($N62,'PLA ESTRATÈGIC'!$Q$4:$Q$452,0)),""))</f>
        <v/>
      </c>
      <c r="P62" s="10">
        <f>IF($N62="","",IFERROR(INDEX('PLA ESTRATÈGIC'!$H$4:$H$452,MATCH($N62,'PLA ESTRATÈGIC'!$Q$4:$Q$452,0)),""))</f>
        <v/>
      </c>
      <c r="Q62" s="13" t="n"/>
      <c r="R62" s="11" t="n"/>
      <c r="S62" s="11" t="n"/>
      <c r="T62" s="11" t="n"/>
      <c r="U62" s="11" t="n"/>
      <c r="V62" s="10">
        <f>IF(COUNTA($C62,$D62,$J62,$M62)=0,"",IF(TRIM(IF($C62="","Falta l'actuació. ","")&amp;IF($D62="","Falta l'objectiu. ","")&amp;IF($J62="","Falta el tipus de despesa. ","")&amp;IF(AND($J62&lt;&gt;"",$J62&lt;&gt;"Mitjans propis",$J62&lt;&gt;"Altres",$M62=""),"Falta l'import. ","")&amp;IF(AND($J62="Contracte menor a càrrec del RAE",$K62=""),"Falta la partida RAE. ","")&amp;IF(AND($B62&lt;&gt;"",COUNTIF($B$6:$B$705,$B62)&gt;1),"Codi RAE repetit. ","")&amp;IF(AND($B62&lt;&gt;"",$J62&lt;&gt;"",$J62&lt;&gt;"Contracte menor a càrrec del RAE"),"Té codi RAE però no és de tipus RAE. ","")&amp;IF($N62="","Falta l'indicador del Pla. ","")&amp;IF($R62="","Falta el gestor. ","")&amp;IF($S62="","Falta indicar si és recurrent. ",""))="","✔",TRIM(IF($C62="","Falta l'actuació. ","")&amp;IF($D62="","Falta l'objectiu. ","")&amp;IF($J62="","Falta el tipus de despesa. ","")&amp;IF(AND($J62&lt;&gt;"",$J62&lt;&gt;"Mitjans propis",$J62&lt;&gt;"Altres",$M62=""),"Falta l'import. ","")&amp;IF(AND($J62="Contracte menor a càrrec del RAE",$K62=""),"Falta la partida RAE. ","")&amp;IF(AND($B62&lt;&gt;"",COUNTIF($B$6:$B$705,$B62)&gt;1),"Codi RAE repetit. ","")&amp;IF(AND($B62&lt;&gt;"",$J62&lt;&gt;"",$J62&lt;&gt;"Contracte menor a càrrec del RAE"),"Té codi RAE però no és de tipus RAE. ","")&amp;IF($N62="","Falta l'indicador del Pla. ","")&amp;IF($R62="","Falta el gestor. ","")&amp;IF($S62="","Falta indicar si és recurrent. ",""))))</f>
        <v/>
      </c>
    </row>
    <row r="63">
      <c r="A63" s="10">
        <f>IF($D63="","","27_"&amp;IFERROR(INDEX(Objectius!$E$2:$E$183,MATCH($D63,Objectius!$A$2:$A$183,0)),"??")&amp;"_"&amp;TEXT(COUNTIF($I$6:$I63,$I63),"00"))</f>
        <v/>
      </c>
      <c r="B63" s="11" t="n"/>
      <c r="C63" s="11" t="n"/>
      <c r="D63" s="11" t="n"/>
      <c r="E63" s="10">
        <f>IF($D63="","",IFERROR(INDEX(Objectius!$C$2:$C$183,MATCH($D63,Objectius!$A$2:$A$183,0)),"Objectiu no trobat al Pla"))</f>
        <v/>
      </c>
      <c r="F63" s="11" t="n"/>
      <c r="G63" s="11" t="n"/>
      <c r="H63" s="11" t="n"/>
      <c r="I63" s="10">
        <f>IF($D63="","",IFERROR(INDEX(Objectius!$D$2:$D$183,MATCH($D63,Objectius!$A$2:$A$183,0)),""))</f>
        <v/>
      </c>
      <c r="J63" s="11" t="n"/>
      <c r="K63" s="11" t="n"/>
      <c r="L63" s="11" t="n"/>
      <c r="M63" s="12" t="n"/>
      <c r="N63" s="11" t="n"/>
      <c r="O63" s="10">
        <f>IF($N63="","",IFERROR(INDEX('PLA ESTRATÈGIC'!$G$4:$G$452,MATCH($N63,'PLA ESTRATÈGIC'!$Q$4:$Q$452,0)),""))</f>
        <v/>
      </c>
      <c r="P63" s="10">
        <f>IF($N63="","",IFERROR(INDEX('PLA ESTRATÈGIC'!$H$4:$H$452,MATCH($N63,'PLA ESTRATÈGIC'!$Q$4:$Q$452,0)),""))</f>
        <v/>
      </c>
      <c r="Q63" s="13" t="n"/>
      <c r="R63" s="11" t="n"/>
      <c r="S63" s="11" t="n"/>
      <c r="T63" s="11" t="n"/>
      <c r="U63" s="11" t="n"/>
      <c r="V63" s="10">
        <f>IF(COUNTA($C63,$D63,$J63,$M63)=0,"",IF(TRIM(IF($C63="","Falta l'actuació. ","")&amp;IF($D63="","Falta l'objectiu. ","")&amp;IF($J63="","Falta el tipus de despesa. ","")&amp;IF(AND($J63&lt;&gt;"",$J63&lt;&gt;"Mitjans propis",$J63&lt;&gt;"Altres",$M63=""),"Falta l'import. ","")&amp;IF(AND($J63="Contracte menor a càrrec del RAE",$K63=""),"Falta la partida RAE. ","")&amp;IF(AND($B63&lt;&gt;"",COUNTIF($B$6:$B$705,$B63)&gt;1),"Codi RAE repetit. ","")&amp;IF(AND($B63&lt;&gt;"",$J63&lt;&gt;"",$J63&lt;&gt;"Contracte menor a càrrec del RAE"),"Té codi RAE però no és de tipus RAE. ","")&amp;IF($N63="","Falta l'indicador del Pla. ","")&amp;IF($R63="","Falta el gestor. ","")&amp;IF($S63="","Falta indicar si és recurrent. ",""))="","✔",TRIM(IF($C63="","Falta l'actuació. ","")&amp;IF($D63="","Falta l'objectiu. ","")&amp;IF($J63="","Falta el tipus de despesa. ","")&amp;IF(AND($J63&lt;&gt;"",$J63&lt;&gt;"Mitjans propis",$J63&lt;&gt;"Altres",$M63=""),"Falta l'import. ","")&amp;IF(AND($J63="Contracte menor a càrrec del RAE",$K63=""),"Falta la partida RAE. ","")&amp;IF(AND($B63&lt;&gt;"",COUNTIF($B$6:$B$705,$B63)&gt;1),"Codi RAE repetit. ","")&amp;IF(AND($B63&lt;&gt;"",$J63&lt;&gt;"",$J63&lt;&gt;"Contracte menor a càrrec del RAE"),"Té codi RAE però no és de tipus RAE. ","")&amp;IF($N63="","Falta l'indicador del Pla. ","")&amp;IF($R63="","Falta el gestor. ","")&amp;IF($S63="","Falta indicar si és recurrent. ",""))))</f>
        <v/>
      </c>
    </row>
    <row r="64">
      <c r="A64" s="10">
        <f>IF($D64="","","27_"&amp;IFERROR(INDEX(Objectius!$E$2:$E$183,MATCH($D64,Objectius!$A$2:$A$183,0)),"??")&amp;"_"&amp;TEXT(COUNTIF($I$6:$I64,$I64),"00"))</f>
        <v/>
      </c>
      <c r="B64" s="11" t="n"/>
      <c r="C64" s="11" t="n"/>
      <c r="D64" s="11" t="n"/>
      <c r="E64" s="10">
        <f>IF($D64="","",IFERROR(INDEX(Objectius!$C$2:$C$183,MATCH($D64,Objectius!$A$2:$A$183,0)),"Objectiu no trobat al Pla"))</f>
        <v/>
      </c>
      <c r="F64" s="11" t="n"/>
      <c r="G64" s="11" t="n"/>
      <c r="H64" s="11" t="n"/>
      <c r="I64" s="10">
        <f>IF($D64="","",IFERROR(INDEX(Objectius!$D$2:$D$183,MATCH($D64,Objectius!$A$2:$A$183,0)),""))</f>
        <v/>
      </c>
      <c r="J64" s="11" t="n"/>
      <c r="K64" s="11" t="n"/>
      <c r="L64" s="11" t="n"/>
      <c r="M64" s="12" t="n"/>
      <c r="N64" s="11" t="n"/>
      <c r="O64" s="10">
        <f>IF($N64="","",IFERROR(INDEX('PLA ESTRATÈGIC'!$G$4:$G$452,MATCH($N64,'PLA ESTRATÈGIC'!$Q$4:$Q$452,0)),""))</f>
        <v/>
      </c>
      <c r="P64" s="10">
        <f>IF($N64="","",IFERROR(INDEX('PLA ESTRATÈGIC'!$H$4:$H$452,MATCH($N64,'PLA ESTRATÈGIC'!$Q$4:$Q$452,0)),""))</f>
        <v/>
      </c>
      <c r="Q64" s="13" t="n"/>
      <c r="R64" s="11" t="n"/>
      <c r="S64" s="11" t="n"/>
      <c r="T64" s="11" t="n"/>
      <c r="U64" s="11" t="n"/>
      <c r="V64" s="10">
        <f>IF(COUNTA($C64,$D64,$J64,$M64)=0,"",IF(TRIM(IF($C64="","Falta l'actuació. ","")&amp;IF($D64="","Falta l'objectiu. ","")&amp;IF($J64="","Falta el tipus de despesa. ","")&amp;IF(AND($J64&lt;&gt;"",$J64&lt;&gt;"Mitjans propis",$J64&lt;&gt;"Altres",$M64=""),"Falta l'import. ","")&amp;IF(AND($J64="Contracte menor a càrrec del RAE",$K64=""),"Falta la partida RAE. ","")&amp;IF(AND($B64&lt;&gt;"",COUNTIF($B$6:$B$705,$B64)&gt;1),"Codi RAE repetit. ","")&amp;IF(AND($B64&lt;&gt;"",$J64&lt;&gt;"",$J64&lt;&gt;"Contracte menor a càrrec del RAE"),"Té codi RAE però no és de tipus RAE. ","")&amp;IF($N64="","Falta l'indicador del Pla. ","")&amp;IF($R64="","Falta el gestor. ","")&amp;IF($S64="","Falta indicar si és recurrent. ",""))="","✔",TRIM(IF($C64="","Falta l'actuació. ","")&amp;IF($D64="","Falta l'objectiu. ","")&amp;IF($J64="","Falta el tipus de despesa. ","")&amp;IF(AND($J64&lt;&gt;"",$J64&lt;&gt;"Mitjans propis",$J64&lt;&gt;"Altres",$M64=""),"Falta l'import. ","")&amp;IF(AND($J64="Contracte menor a càrrec del RAE",$K64=""),"Falta la partida RAE. ","")&amp;IF(AND($B64&lt;&gt;"",COUNTIF($B$6:$B$705,$B64)&gt;1),"Codi RAE repetit. ","")&amp;IF(AND($B64&lt;&gt;"",$J64&lt;&gt;"",$J64&lt;&gt;"Contracte menor a càrrec del RAE"),"Té codi RAE però no és de tipus RAE. ","")&amp;IF($N64="","Falta l'indicador del Pla. ","")&amp;IF($R64="","Falta el gestor. ","")&amp;IF($S64="","Falta indicar si és recurrent. ",""))))</f>
        <v/>
      </c>
    </row>
    <row r="65">
      <c r="A65" s="10">
        <f>IF($D65="","","27_"&amp;IFERROR(INDEX(Objectius!$E$2:$E$183,MATCH($D65,Objectius!$A$2:$A$183,0)),"??")&amp;"_"&amp;TEXT(COUNTIF($I$6:$I65,$I65),"00"))</f>
        <v/>
      </c>
      <c r="B65" s="11" t="n"/>
      <c r="C65" s="11" t="n"/>
      <c r="D65" s="11" t="n"/>
      <c r="E65" s="10">
        <f>IF($D65="","",IFERROR(INDEX(Objectius!$C$2:$C$183,MATCH($D65,Objectius!$A$2:$A$183,0)),"Objectiu no trobat al Pla"))</f>
        <v/>
      </c>
      <c r="F65" s="11" t="n"/>
      <c r="G65" s="11" t="n"/>
      <c r="H65" s="11" t="n"/>
      <c r="I65" s="10">
        <f>IF($D65="","",IFERROR(INDEX(Objectius!$D$2:$D$183,MATCH($D65,Objectius!$A$2:$A$183,0)),""))</f>
        <v/>
      </c>
      <c r="J65" s="11" t="n"/>
      <c r="K65" s="11" t="n"/>
      <c r="L65" s="11" t="n"/>
      <c r="M65" s="12" t="n"/>
      <c r="N65" s="11" t="n"/>
      <c r="O65" s="10">
        <f>IF($N65="","",IFERROR(INDEX('PLA ESTRATÈGIC'!$G$4:$G$452,MATCH($N65,'PLA ESTRATÈGIC'!$Q$4:$Q$452,0)),""))</f>
        <v/>
      </c>
      <c r="P65" s="10">
        <f>IF($N65="","",IFERROR(INDEX('PLA ESTRATÈGIC'!$H$4:$H$452,MATCH($N65,'PLA ESTRATÈGIC'!$Q$4:$Q$452,0)),""))</f>
        <v/>
      </c>
      <c r="Q65" s="13" t="n"/>
      <c r="R65" s="11" t="n"/>
      <c r="S65" s="11" t="n"/>
      <c r="T65" s="11" t="n"/>
      <c r="U65" s="11" t="n"/>
      <c r="V65" s="10">
        <f>IF(COUNTA($C65,$D65,$J65,$M65)=0,"",IF(TRIM(IF($C65="","Falta l'actuació. ","")&amp;IF($D65="","Falta l'objectiu. ","")&amp;IF($J65="","Falta el tipus de despesa. ","")&amp;IF(AND($J65&lt;&gt;"",$J65&lt;&gt;"Mitjans propis",$J65&lt;&gt;"Altres",$M65=""),"Falta l'import. ","")&amp;IF(AND($J65="Contracte menor a càrrec del RAE",$K65=""),"Falta la partida RAE. ","")&amp;IF(AND($B65&lt;&gt;"",COUNTIF($B$6:$B$705,$B65)&gt;1),"Codi RAE repetit. ","")&amp;IF(AND($B65&lt;&gt;"",$J65&lt;&gt;"",$J65&lt;&gt;"Contracte menor a càrrec del RAE"),"Té codi RAE però no és de tipus RAE. ","")&amp;IF($N65="","Falta l'indicador del Pla. ","")&amp;IF($R65="","Falta el gestor. ","")&amp;IF($S65="","Falta indicar si és recurrent. ",""))="","✔",TRIM(IF($C65="","Falta l'actuació. ","")&amp;IF($D65="","Falta l'objectiu. ","")&amp;IF($J65="","Falta el tipus de despesa. ","")&amp;IF(AND($J65&lt;&gt;"",$J65&lt;&gt;"Mitjans propis",$J65&lt;&gt;"Altres",$M65=""),"Falta l'import. ","")&amp;IF(AND($J65="Contracte menor a càrrec del RAE",$K65=""),"Falta la partida RAE. ","")&amp;IF(AND($B65&lt;&gt;"",COUNTIF($B$6:$B$705,$B65)&gt;1),"Codi RAE repetit. ","")&amp;IF(AND($B65&lt;&gt;"",$J65&lt;&gt;"",$J65&lt;&gt;"Contracte menor a càrrec del RAE"),"Té codi RAE però no és de tipus RAE. ","")&amp;IF($N65="","Falta l'indicador del Pla. ","")&amp;IF($R65="","Falta el gestor. ","")&amp;IF($S65="","Falta indicar si és recurrent. ",""))))</f>
        <v/>
      </c>
    </row>
    <row r="66">
      <c r="A66" s="10">
        <f>IF($D66="","","27_"&amp;IFERROR(INDEX(Objectius!$E$2:$E$183,MATCH($D66,Objectius!$A$2:$A$183,0)),"??")&amp;"_"&amp;TEXT(COUNTIF($I$6:$I66,$I66),"00"))</f>
        <v/>
      </c>
      <c r="B66" s="11" t="n"/>
      <c r="C66" s="11" t="n"/>
      <c r="D66" s="11" t="n"/>
      <c r="E66" s="10">
        <f>IF($D66="","",IFERROR(INDEX(Objectius!$C$2:$C$183,MATCH($D66,Objectius!$A$2:$A$183,0)),"Objectiu no trobat al Pla"))</f>
        <v/>
      </c>
      <c r="F66" s="11" t="n"/>
      <c r="G66" s="11" t="n"/>
      <c r="H66" s="11" t="n"/>
      <c r="I66" s="10">
        <f>IF($D66="","",IFERROR(INDEX(Objectius!$D$2:$D$183,MATCH($D66,Objectius!$A$2:$A$183,0)),""))</f>
        <v/>
      </c>
      <c r="J66" s="11" t="n"/>
      <c r="K66" s="11" t="n"/>
      <c r="L66" s="11" t="n"/>
      <c r="M66" s="12" t="n"/>
      <c r="N66" s="11" t="n"/>
      <c r="O66" s="10">
        <f>IF($N66="","",IFERROR(INDEX('PLA ESTRATÈGIC'!$G$4:$G$452,MATCH($N66,'PLA ESTRATÈGIC'!$Q$4:$Q$452,0)),""))</f>
        <v/>
      </c>
      <c r="P66" s="10">
        <f>IF($N66="","",IFERROR(INDEX('PLA ESTRATÈGIC'!$H$4:$H$452,MATCH($N66,'PLA ESTRATÈGIC'!$Q$4:$Q$452,0)),""))</f>
        <v/>
      </c>
      <c r="Q66" s="13" t="n"/>
      <c r="R66" s="11" t="n"/>
      <c r="S66" s="11" t="n"/>
      <c r="T66" s="11" t="n"/>
      <c r="U66" s="11" t="n"/>
      <c r="V66" s="10">
        <f>IF(COUNTA($C66,$D66,$J66,$M66)=0,"",IF(TRIM(IF($C66="","Falta l'actuació. ","")&amp;IF($D66="","Falta l'objectiu. ","")&amp;IF($J66="","Falta el tipus de despesa. ","")&amp;IF(AND($J66&lt;&gt;"",$J66&lt;&gt;"Mitjans propis",$J66&lt;&gt;"Altres",$M66=""),"Falta l'import. ","")&amp;IF(AND($J66="Contracte menor a càrrec del RAE",$K66=""),"Falta la partida RAE. ","")&amp;IF(AND($B66&lt;&gt;"",COUNTIF($B$6:$B$705,$B66)&gt;1),"Codi RAE repetit. ","")&amp;IF(AND($B66&lt;&gt;"",$J66&lt;&gt;"",$J66&lt;&gt;"Contracte menor a càrrec del RAE"),"Té codi RAE però no és de tipus RAE. ","")&amp;IF($N66="","Falta l'indicador del Pla. ","")&amp;IF($R66="","Falta el gestor. ","")&amp;IF($S66="","Falta indicar si és recurrent. ",""))="","✔",TRIM(IF($C66="","Falta l'actuació. ","")&amp;IF($D66="","Falta l'objectiu. ","")&amp;IF($J66="","Falta el tipus de despesa. ","")&amp;IF(AND($J66&lt;&gt;"",$J66&lt;&gt;"Mitjans propis",$J66&lt;&gt;"Altres",$M66=""),"Falta l'import. ","")&amp;IF(AND($J66="Contracte menor a càrrec del RAE",$K66=""),"Falta la partida RAE. ","")&amp;IF(AND($B66&lt;&gt;"",COUNTIF($B$6:$B$705,$B66)&gt;1),"Codi RAE repetit. ","")&amp;IF(AND($B66&lt;&gt;"",$J66&lt;&gt;"",$J66&lt;&gt;"Contracte menor a càrrec del RAE"),"Té codi RAE però no és de tipus RAE. ","")&amp;IF($N66="","Falta l'indicador del Pla. ","")&amp;IF($R66="","Falta el gestor. ","")&amp;IF($S66="","Falta indicar si és recurrent. ",""))))</f>
        <v/>
      </c>
    </row>
    <row r="67">
      <c r="A67" s="10">
        <f>IF($D67="","","27_"&amp;IFERROR(INDEX(Objectius!$E$2:$E$183,MATCH($D67,Objectius!$A$2:$A$183,0)),"??")&amp;"_"&amp;TEXT(COUNTIF($I$6:$I67,$I67),"00"))</f>
        <v/>
      </c>
      <c r="B67" s="11" t="n"/>
      <c r="C67" s="11" t="n"/>
      <c r="D67" s="11" t="n"/>
      <c r="E67" s="10">
        <f>IF($D67="","",IFERROR(INDEX(Objectius!$C$2:$C$183,MATCH($D67,Objectius!$A$2:$A$183,0)),"Objectiu no trobat al Pla"))</f>
        <v/>
      </c>
      <c r="F67" s="11" t="n"/>
      <c r="G67" s="11" t="n"/>
      <c r="H67" s="11" t="n"/>
      <c r="I67" s="10">
        <f>IF($D67="","",IFERROR(INDEX(Objectius!$D$2:$D$183,MATCH($D67,Objectius!$A$2:$A$183,0)),""))</f>
        <v/>
      </c>
      <c r="J67" s="11" t="n"/>
      <c r="K67" s="11" t="n"/>
      <c r="L67" s="11" t="n"/>
      <c r="M67" s="12" t="n"/>
      <c r="N67" s="11" t="n"/>
      <c r="O67" s="10">
        <f>IF($N67="","",IFERROR(INDEX('PLA ESTRATÈGIC'!$G$4:$G$452,MATCH($N67,'PLA ESTRATÈGIC'!$Q$4:$Q$452,0)),""))</f>
        <v/>
      </c>
      <c r="P67" s="10">
        <f>IF($N67="","",IFERROR(INDEX('PLA ESTRATÈGIC'!$H$4:$H$452,MATCH($N67,'PLA ESTRATÈGIC'!$Q$4:$Q$452,0)),""))</f>
        <v/>
      </c>
      <c r="Q67" s="13" t="n"/>
      <c r="R67" s="11" t="n"/>
      <c r="S67" s="11" t="n"/>
      <c r="T67" s="11" t="n"/>
      <c r="U67" s="11" t="n"/>
      <c r="V67" s="10">
        <f>IF(COUNTA($C67,$D67,$J67,$M67)=0,"",IF(TRIM(IF($C67="","Falta l'actuació. ","")&amp;IF($D67="","Falta l'objectiu. ","")&amp;IF($J67="","Falta el tipus de despesa. ","")&amp;IF(AND($J67&lt;&gt;"",$J67&lt;&gt;"Mitjans propis",$J67&lt;&gt;"Altres",$M67=""),"Falta l'import. ","")&amp;IF(AND($J67="Contracte menor a càrrec del RAE",$K67=""),"Falta la partida RAE. ","")&amp;IF(AND($B67&lt;&gt;"",COUNTIF($B$6:$B$705,$B67)&gt;1),"Codi RAE repetit. ","")&amp;IF(AND($B67&lt;&gt;"",$J67&lt;&gt;"",$J67&lt;&gt;"Contracte menor a càrrec del RAE"),"Té codi RAE però no és de tipus RAE. ","")&amp;IF($N67="","Falta l'indicador del Pla. ","")&amp;IF($R67="","Falta el gestor. ","")&amp;IF($S67="","Falta indicar si és recurrent. ",""))="","✔",TRIM(IF($C67="","Falta l'actuació. ","")&amp;IF($D67="","Falta l'objectiu. ","")&amp;IF($J67="","Falta el tipus de despesa. ","")&amp;IF(AND($J67&lt;&gt;"",$J67&lt;&gt;"Mitjans propis",$J67&lt;&gt;"Altres",$M67=""),"Falta l'import. ","")&amp;IF(AND($J67="Contracte menor a càrrec del RAE",$K67=""),"Falta la partida RAE. ","")&amp;IF(AND($B67&lt;&gt;"",COUNTIF($B$6:$B$705,$B67)&gt;1),"Codi RAE repetit. ","")&amp;IF(AND($B67&lt;&gt;"",$J67&lt;&gt;"",$J67&lt;&gt;"Contracte menor a càrrec del RAE"),"Té codi RAE però no és de tipus RAE. ","")&amp;IF($N67="","Falta l'indicador del Pla. ","")&amp;IF($R67="","Falta el gestor. ","")&amp;IF($S67="","Falta indicar si és recurrent. ",""))))</f>
        <v/>
      </c>
    </row>
    <row r="68">
      <c r="A68" s="10">
        <f>IF($D68="","","27_"&amp;IFERROR(INDEX(Objectius!$E$2:$E$183,MATCH($D68,Objectius!$A$2:$A$183,0)),"??")&amp;"_"&amp;TEXT(COUNTIF($I$6:$I68,$I68),"00"))</f>
        <v/>
      </c>
      <c r="B68" s="11" t="n"/>
      <c r="C68" s="11" t="n"/>
      <c r="D68" s="11" t="n"/>
      <c r="E68" s="10">
        <f>IF($D68="","",IFERROR(INDEX(Objectius!$C$2:$C$183,MATCH($D68,Objectius!$A$2:$A$183,0)),"Objectiu no trobat al Pla"))</f>
        <v/>
      </c>
      <c r="F68" s="11" t="n"/>
      <c r="G68" s="11" t="n"/>
      <c r="H68" s="11" t="n"/>
      <c r="I68" s="10">
        <f>IF($D68="","",IFERROR(INDEX(Objectius!$D$2:$D$183,MATCH($D68,Objectius!$A$2:$A$183,0)),""))</f>
        <v/>
      </c>
      <c r="J68" s="11" t="n"/>
      <c r="K68" s="11" t="n"/>
      <c r="L68" s="11" t="n"/>
      <c r="M68" s="12" t="n"/>
      <c r="N68" s="11" t="n"/>
      <c r="O68" s="10">
        <f>IF($N68="","",IFERROR(INDEX('PLA ESTRATÈGIC'!$G$4:$G$452,MATCH($N68,'PLA ESTRATÈGIC'!$Q$4:$Q$452,0)),""))</f>
        <v/>
      </c>
      <c r="P68" s="10">
        <f>IF($N68="","",IFERROR(INDEX('PLA ESTRATÈGIC'!$H$4:$H$452,MATCH($N68,'PLA ESTRATÈGIC'!$Q$4:$Q$452,0)),""))</f>
        <v/>
      </c>
      <c r="Q68" s="13" t="n"/>
      <c r="R68" s="11" t="n"/>
      <c r="S68" s="11" t="n"/>
      <c r="T68" s="11" t="n"/>
      <c r="U68" s="11" t="n"/>
      <c r="V68" s="10">
        <f>IF(COUNTA($C68,$D68,$J68,$M68)=0,"",IF(TRIM(IF($C68="","Falta l'actuació. ","")&amp;IF($D68="","Falta l'objectiu. ","")&amp;IF($J68="","Falta el tipus de despesa. ","")&amp;IF(AND($J68&lt;&gt;"",$J68&lt;&gt;"Mitjans propis",$J68&lt;&gt;"Altres",$M68=""),"Falta l'import. ","")&amp;IF(AND($J68="Contracte menor a càrrec del RAE",$K68=""),"Falta la partida RAE. ","")&amp;IF(AND($B68&lt;&gt;"",COUNTIF($B$6:$B$705,$B68)&gt;1),"Codi RAE repetit. ","")&amp;IF(AND($B68&lt;&gt;"",$J68&lt;&gt;"",$J68&lt;&gt;"Contracte menor a càrrec del RAE"),"Té codi RAE però no és de tipus RAE. ","")&amp;IF($N68="","Falta l'indicador del Pla. ","")&amp;IF($R68="","Falta el gestor. ","")&amp;IF($S68="","Falta indicar si és recurrent. ",""))="","✔",TRIM(IF($C68="","Falta l'actuació. ","")&amp;IF($D68="","Falta l'objectiu. ","")&amp;IF($J68="","Falta el tipus de despesa. ","")&amp;IF(AND($J68&lt;&gt;"",$J68&lt;&gt;"Mitjans propis",$J68&lt;&gt;"Altres",$M68=""),"Falta l'import. ","")&amp;IF(AND($J68="Contracte menor a càrrec del RAE",$K68=""),"Falta la partida RAE. ","")&amp;IF(AND($B68&lt;&gt;"",COUNTIF($B$6:$B$705,$B68)&gt;1),"Codi RAE repetit. ","")&amp;IF(AND($B68&lt;&gt;"",$J68&lt;&gt;"",$J68&lt;&gt;"Contracte menor a càrrec del RAE"),"Té codi RAE però no és de tipus RAE. ","")&amp;IF($N68="","Falta l'indicador del Pla. ","")&amp;IF($R68="","Falta el gestor. ","")&amp;IF($S68="","Falta indicar si és recurrent. ",""))))</f>
        <v/>
      </c>
    </row>
    <row r="69">
      <c r="A69" s="10">
        <f>IF($D69="","","27_"&amp;IFERROR(INDEX(Objectius!$E$2:$E$183,MATCH($D69,Objectius!$A$2:$A$183,0)),"??")&amp;"_"&amp;TEXT(COUNTIF($I$6:$I69,$I69),"00"))</f>
        <v/>
      </c>
      <c r="B69" s="11" t="n"/>
      <c r="C69" s="11" t="n"/>
      <c r="D69" s="11" t="n"/>
      <c r="E69" s="10">
        <f>IF($D69="","",IFERROR(INDEX(Objectius!$C$2:$C$183,MATCH($D69,Objectius!$A$2:$A$183,0)),"Objectiu no trobat al Pla"))</f>
        <v/>
      </c>
      <c r="F69" s="11" t="n"/>
      <c r="G69" s="11" t="n"/>
      <c r="H69" s="11" t="n"/>
      <c r="I69" s="10">
        <f>IF($D69="","",IFERROR(INDEX(Objectius!$D$2:$D$183,MATCH($D69,Objectius!$A$2:$A$183,0)),""))</f>
        <v/>
      </c>
      <c r="J69" s="11" t="n"/>
      <c r="K69" s="11" t="n"/>
      <c r="L69" s="11" t="n"/>
      <c r="M69" s="12" t="n"/>
      <c r="N69" s="11" t="n"/>
      <c r="O69" s="10">
        <f>IF($N69="","",IFERROR(INDEX('PLA ESTRATÈGIC'!$G$4:$G$452,MATCH($N69,'PLA ESTRATÈGIC'!$Q$4:$Q$452,0)),""))</f>
        <v/>
      </c>
      <c r="P69" s="10">
        <f>IF($N69="","",IFERROR(INDEX('PLA ESTRATÈGIC'!$H$4:$H$452,MATCH($N69,'PLA ESTRATÈGIC'!$Q$4:$Q$452,0)),""))</f>
        <v/>
      </c>
      <c r="Q69" s="13" t="n"/>
      <c r="R69" s="11" t="n"/>
      <c r="S69" s="11" t="n"/>
      <c r="T69" s="11" t="n"/>
      <c r="U69" s="11" t="n"/>
      <c r="V69" s="10">
        <f>IF(COUNTA($C69,$D69,$J69,$M69)=0,"",IF(TRIM(IF($C69="","Falta l'actuació. ","")&amp;IF($D69="","Falta l'objectiu. ","")&amp;IF($J69="","Falta el tipus de despesa. ","")&amp;IF(AND($J69&lt;&gt;"",$J69&lt;&gt;"Mitjans propis",$J69&lt;&gt;"Altres",$M69=""),"Falta l'import. ","")&amp;IF(AND($J69="Contracte menor a càrrec del RAE",$K69=""),"Falta la partida RAE. ","")&amp;IF(AND($B69&lt;&gt;"",COUNTIF($B$6:$B$705,$B69)&gt;1),"Codi RAE repetit. ","")&amp;IF(AND($B69&lt;&gt;"",$J69&lt;&gt;"",$J69&lt;&gt;"Contracte menor a càrrec del RAE"),"Té codi RAE però no és de tipus RAE. ","")&amp;IF($N69="","Falta l'indicador del Pla. ","")&amp;IF($R69="","Falta el gestor. ","")&amp;IF($S69="","Falta indicar si és recurrent. ",""))="","✔",TRIM(IF($C69="","Falta l'actuació. ","")&amp;IF($D69="","Falta l'objectiu. ","")&amp;IF($J69="","Falta el tipus de despesa. ","")&amp;IF(AND($J69&lt;&gt;"",$J69&lt;&gt;"Mitjans propis",$J69&lt;&gt;"Altres",$M69=""),"Falta l'import. ","")&amp;IF(AND($J69="Contracte menor a càrrec del RAE",$K69=""),"Falta la partida RAE. ","")&amp;IF(AND($B69&lt;&gt;"",COUNTIF($B$6:$B$705,$B69)&gt;1),"Codi RAE repetit. ","")&amp;IF(AND($B69&lt;&gt;"",$J69&lt;&gt;"",$J69&lt;&gt;"Contracte menor a càrrec del RAE"),"Té codi RAE però no és de tipus RAE. ","")&amp;IF($N69="","Falta l'indicador del Pla. ","")&amp;IF($R69="","Falta el gestor. ","")&amp;IF($S69="","Falta indicar si és recurrent. ",""))))</f>
        <v/>
      </c>
    </row>
    <row r="70">
      <c r="A70" s="10">
        <f>IF($D70="","","27_"&amp;IFERROR(INDEX(Objectius!$E$2:$E$183,MATCH($D70,Objectius!$A$2:$A$183,0)),"??")&amp;"_"&amp;TEXT(COUNTIF($I$6:$I70,$I70),"00"))</f>
        <v/>
      </c>
      <c r="B70" s="11" t="n"/>
      <c r="C70" s="11" t="n"/>
      <c r="D70" s="11" t="n"/>
      <c r="E70" s="10">
        <f>IF($D70="","",IFERROR(INDEX(Objectius!$C$2:$C$183,MATCH($D70,Objectius!$A$2:$A$183,0)),"Objectiu no trobat al Pla"))</f>
        <v/>
      </c>
      <c r="F70" s="11" t="n"/>
      <c r="G70" s="11" t="n"/>
      <c r="H70" s="11" t="n"/>
      <c r="I70" s="10">
        <f>IF($D70="","",IFERROR(INDEX(Objectius!$D$2:$D$183,MATCH($D70,Objectius!$A$2:$A$183,0)),""))</f>
        <v/>
      </c>
      <c r="J70" s="11" t="n"/>
      <c r="K70" s="11" t="n"/>
      <c r="L70" s="11" t="n"/>
      <c r="M70" s="12" t="n"/>
      <c r="N70" s="11" t="n"/>
      <c r="O70" s="10">
        <f>IF($N70="","",IFERROR(INDEX('PLA ESTRATÈGIC'!$G$4:$G$452,MATCH($N70,'PLA ESTRATÈGIC'!$Q$4:$Q$452,0)),""))</f>
        <v/>
      </c>
      <c r="P70" s="10">
        <f>IF($N70="","",IFERROR(INDEX('PLA ESTRATÈGIC'!$H$4:$H$452,MATCH($N70,'PLA ESTRATÈGIC'!$Q$4:$Q$452,0)),""))</f>
        <v/>
      </c>
      <c r="Q70" s="13" t="n"/>
      <c r="R70" s="11" t="n"/>
      <c r="S70" s="11" t="n"/>
      <c r="T70" s="11" t="n"/>
      <c r="U70" s="11" t="n"/>
      <c r="V70" s="10">
        <f>IF(COUNTA($C70,$D70,$J70,$M70)=0,"",IF(TRIM(IF($C70="","Falta l'actuació. ","")&amp;IF($D70="","Falta l'objectiu. ","")&amp;IF($J70="","Falta el tipus de despesa. ","")&amp;IF(AND($J70&lt;&gt;"",$J70&lt;&gt;"Mitjans propis",$J70&lt;&gt;"Altres",$M70=""),"Falta l'import. ","")&amp;IF(AND($J70="Contracte menor a càrrec del RAE",$K70=""),"Falta la partida RAE. ","")&amp;IF(AND($B70&lt;&gt;"",COUNTIF($B$6:$B$705,$B70)&gt;1),"Codi RAE repetit. ","")&amp;IF(AND($B70&lt;&gt;"",$J70&lt;&gt;"",$J70&lt;&gt;"Contracte menor a càrrec del RAE"),"Té codi RAE però no és de tipus RAE. ","")&amp;IF($N70="","Falta l'indicador del Pla. ","")&amp;IF($R70="","Falta el gestor. ","")&amp;IF($S70="","Falta indicar si és recurrent. ",""))="","✔",TRIM(IF($C70="","Falta l'actuació. ","")&amp;IF($D70="","Falta l'objectiu. ","")&amp;IF($J70="","Falta el tipus de despesa. ","")&amp;IF(AND($J70&lt;&gt;"",$J70&lt;&gt;"Mitjans propis",$J70&lt;&gt;"Altres",$M70=""),"Falta l'import. ","")&amp;IF(AND($J70="Contracte menor a càrrec del RAE",$K70=""),"Falta la partida RAE. ","")&amp;IF(AND($B70&lt;&gt;"",COUNTIF($B$6:$B$705,$B70)&gt;1),"Codi RAE repetit. ","")&amp;IF(AND($B70&lt;&gt;"",$J70&lt;&gt;"",$J70&lt;&gt;"Contracte menor a càrrec del RAE"),"Té codi RAE però no és de tipus RAE. ","")&amp;IF($N70="","Falta l'indicador del Pla. ","")&amp;IF($R70="","Falta el gestor. ","")&amp;IF($S70="","Falta indicar si és recurrent. ",""))))</f>
        <v/>
      </c>
    </row>
    <row r="71">
      <c r="A71" s="10">
        <f>IF($D71="","","27_"&amp;IFERROR(INDEX(Objectius!$E$2:$E$183,MATCH($D71,Objectius!$A$2:$A$183,0)),"??")&amp;"_"&amp;TEXT(COUNTIF($I$6:$I71,$I71),"00"))</f>
        <v/>
      </c>
      <c r="B71" s="11" t="n"/>
      <c r="C71" s="11" t="n"/>
      <c r="D71" s="11" t="n"/>
      <c r="E71" s="10">
        <f>IF($D71="","",IFERROR(INDEX(Objectius!$C$2:$C$183,MATCH($D71,Objectius!$A$2:$A$183,0)),"Objectiu no trobat al Pla"))</f>
        <v/>
      </c>
      <c r="F71" s="11" t="n"/>
      <c r="G71" s="11" t="n"/>
      <c r="H71" s="11" t="n"/>
      <c r="I71" s="10">
        <f>IF($D71="","",IFERROR(INDEX(Objectius!$D$2:$D$183,MATCH($D71,Objectius!$A$2:$A$183,0)),""))</f>
        <v/>
      </c>
      <c r="J71" s="11" t="n"/>
      <c r="K71" s="11" t="n"/>
      <c r="L71" s="11" t="n"/>
      <c r="M71" s="12" t="n"/>
      <c r="N71" s="11" t="n"/>
      <c r="O71" s="10">
        <f>IF($N71="","",IFERROR(INDEX('PLA ESTRATÈGIC'!$G$4:$G$452,MATCH($N71,'PLA ESTRATÈGIC'!$Q$4:$Q$452,0)),""))</f>
        <v/>
      </c>
      <c r="P71" s="10">
        <f>IF($N71="","",IFERROR(INDEX('PLA ESTRATÈGIC'!$H$4:$H$452,MATCH($N71,'PLA ESTRATÈGIC'!$Q$4:$Q$452,0)),""))</f>
        <v/>
      </c>
      <c r="Q71" s="13" t="n"/>
      <c r="R71" s="11" t="n"/>
      <c r="S71" s="11" t="n"/>
      <c r="T71" s="11" t="n"/>
      <c r="U71" s="11" t="n"/>
      <c r="V71" s="10">
        <f>IF(COUNTA($C71,$D71,$J71,$M71)=0,"",IF(TRIM(IF($C71="","Falta l'actuació. ","")&amp;IF($D71="","Falta l'objectiu. ","")&amp;IF($J71="","Falta el tipus de despesa. ","")&amp;IF(AND($J71&lt;&gt;"",$J71&lt;&gt;"Mitjans propis",$J71&lt;&gt;"Altres",$M71=""),"Falta l'import. ","")&amp;IF(AND($J71="Contracte menor a càrrec del RAE",$K71=""),"Falta la partida RAE. ","")&amp;IF(AND($B71&lt;&gt;"",COUNTIF($B$6:$B$705,$B71)&gt;1),"Codi RAE repetit. ","")&amp;IF(AND($B71&lt;&gt;"",$J71&lt;&gt;"",$J71&lt;&gt;"Contracte menor a càrrec del RAE"),"Té codi RAE però no és de tipus RAE. ","")&amp;IF($N71="","Falta l'indicador del Pla. ","")&amp;IF($R71="","Falta el gestor. ","")&amp;IF($S71="","Falta indicar si és recurrent. ",""))="","✔",TRIM(IF($C71="","Falta l'actuació. ","")&amp;IF($D71="","Falta l'objectiu. ","")&amp;IF($J71="","Falta el tipus de despesa. ","")&amp;IF(AND($J71&lt;&gt;"",$J71&lt;&gt;"Mitjans propis",$J71&lt;&gt;"Altres",$M71=""),"Falta l'import. ","")&amp;IF(AND($J71="Contracte menor a càrrec del RAE",$K71=""),"Falta la partida RAE. ","")&amp;IF(AND($B71&lt;&gt;"",COUNTIF($B$6:$B$705,$B71)&gt;1),"Codi RAE repetit. ","")&amp;IF(AND($B71&lt;&gt;"",$J71&lt;&gt;"",$J71&lt;&gt;"Contracte menor a càrrec del RAE"),"Té codi RAE però no és de tipus RAE. ","")&amp;IF($N71="","Falta l'indicador del Pla. ","")&amp;IF($R71="","Falta el gestor. ","")&amp;IF($S71="","Falta indicar si és recurrent. ",""))))</f>
        <v/>
      </c>
    </row>
    <row r="72">
      <c r="A72" s="10">
        <f>IF($D72="","","27_"&amp;IFERROR(INDEX(Objectius!$E$2:$E$183,MATCH($D72,Objectius!$A$2:$A$183,0)),"??")&amp;"_"&amp;TEXT(COUNTIF($I$6:$I72,$I72),"00"))</f>
        <v/>
      </c>
      <c r="B72" s="11" t="n"/>
      <c r="C72" s="11" t="n"/>
      <c r="D72" s="11" t="n"/>
      <c r="E72" s="10">
        <f>IF($D72="","",IFERROR(INDEX(Objectius!$C$2:$C$183,MATCH($D72,Objectius!$A$2:$A$183,0)),"Objectiu no trobat al Pla"))</f>
        <v/>
      </c>
      <c r="F72" s="11" t="n"/>
      <c r="G72" s="11" t="n"/>
      <c r="H72" s="11" t="n"/>
      <c r="I72" s="10">
        <f>IF($D72="","",IFERROR(INDEX(Objectius!$D$2:$D$183,MATCH($D72,Objectius!$A$2:$A$183,0)),""))</f>
        <v/>
      </c>
      <c r="J72" s="11" t="n"/>
      <c r="K72" s="11" t="n"/>
      <c r="L72" s="11" t="n"/>
      <c r="M72" s="12" t="n"/>
      <c r="N72" s="11" t="n"/>
      <c r="O72" s="10">
        <f>IF($N72="","",IFERROR(INDEX('PLA ESTRATÈGIC'!$G$4:$G$452,MATCH($N72,'PLA ESTRATÈGIC'!$Q$4:$Q$452,0)),""))</f>
        <v/>
      </c>
      <c r="P72" s="10">
        <f>IF($N72="","",IFERROR(INDEX('PLA ESTRATÈGIC'!$H$4:$H$452,MATCH($N72,'PLA ESTRATÈGIC'!$Q$4:$Q$452,0)),""))</f>
        <v/>
      </c>
      <c r="Q72" s="13" t="n"/>
      <c r="R72" s="11" t="n"/>
      <c r="S72" s="11" t="n"/>
      <c r="T72" s="11" t="n"/>
      <c r="U72" s="11" t="n"/>
      <c r="V72" s="10">
        <f>IF(COUNTA($C72,$D72,$J72,$M72)=0,"",IF(TRIM(IF($C72="","Falta l'actuació. ","")&amp;IF($D72="","Falta l'objectiu. ","")&amp;IF($J72="","Falta el tipus de despesa. ","")&amp;IF(AND($J72&lt;&gt;"",$J72&lt;&gt;"Mitjans propis",$J72&lt;&gt;"Altres",$M72=""),"Falta l'import. ","")&amp;IF(AND($J72="Contracte menor a càrrec del RAE",$K72=""),"Falta la partida RAE. ","")&amp;IF(AND($B72&lt;&gt;"",COUNTIF($B$6:$B$705,$B72)&gt;1),"Codi RAE repetit. ","")&amp;IF(AND($B72&lt;&gt;"",$J72&lt;&gt;"",$J72&lt;&gt;"Contracte menor a càrrec del RAE"),"Té codi RAE però no és de tipus RAE. ","")&amp;IF($N72="","Falta l'indicador del Pla. ","")&amp;IF($R72="","Falta el gestor. ","")&amp;IF($S72="","Falta indicar si és recurrent. ",""))="","✔",TRIM(IF($C72="","Falta l'actuació. ","")&amp;IF($D72="","Falta l'objectiu. ","")&amp;IF($J72="","Falta el tipus de despesa. ","")&amp;IF(AND($J72&lt;&gt;"",$J72&lt;&gt;"Mitjans propis",$J72&lt;&gt;"Altres",$M72=""),"Falta l'import. ","")&amp;IF(AND($J72="Contracte menor a càrrec del RAE",$K72=""),"Falta la partida RAE. ","")&amp;IF(AND($B72&lt;&gt;"",COUNTIF($B$6:$B$705,$B72)&gt;1),"Codi RAE repetit. ","")&amp;IF(AND($B72&lt;&gt;"",$J72&lt;&gt;"",$J72&lt;&gt;"Contracte menor a càrrec del RAE"),"Té codi RAE però no és de tipus RAE. ","")&amp;IF($N72="","Falta l'indicador del Pla. ","")&amp;IF($R72="","Falta el gestor. ","")&amp;IF($S72="","Falta indicar si és recurrent. ",""))))</f>
        <v/>
      </c>
    </row>
    <row r="73">
      <c r="A73" s="10">
        <f>IF($D73="","","27_"&amp;IFERROR(INDEX(Objectius!$E$2:$E$183,MATCH($D73,Objectius!$A$2:$A$183,0)),"??")&amp;"_"&amp;TEXT(COUNTIF($I$6:$I73,$I73),"00"))</f>
        <v/>
      </c>
      <c r="B73" s="11" t="n"/>
      <c r="C73" s="11" t="n"/>
      <c r="D73" s="11" t="n"/>
      <c r="E73" s="10">
        <f>IF($D73="","",IFERROR(INDEX(Objectius!$C$2:$C$183,MATCH($D73,Objectius!$A$2:$A$183,0)),"Objectiu no trobat al Pla"))</f>
        <v/>
      </c>
      <c r="F73" s="11" t="n"/>
      <c r="G73" s="11" t="n"/>
      <c r="H73" s="11" t="n"/>
      <c r="I73" s="10">
        <f>IF($D73="","",IFERROR(INDEX(Objectius!$D$2:$D$183,MATCH($D73,Objectius!$A$2:$A$183,0)),""))</f>
        <v/>
      </c>
      <c r="J73" s="11" t="n"/>
      <c r="K73" s="11" t="n"/>
      <c r="L73" s="11" t="n"/>
      <c r="M73" s="12" t="n"/>
      <c r="N73" s="11" t="n"/>
      <c r="O73" s="10">
        <f>IF($N73="","",IFERROR(INDEX('PLA ESTRATÈGIC'!$G$4:$G$452,MATCH($N73,'PLA ESTRATÈGIC'!$Q$4:$Q$452,0)),""))</f>
        <v/>
      </c>
      <c r="P73" s="10">
        <f>IF($N73="","",IFERROR(INDEX('PLA ESTRATÈGIC'!$H$4:$H$452,MATCH($N73,'PLA ESTRATÈGIC'!$Q$4:$Q$452,0)),""))</f>
        <v/>
      </c>
      <c r="Q73" s="13" t="n"/>
      <c r="R73" s="11" t="n"/>
      <c r="S73" s="11" t="n"/>
      <c r="T73" s="11" t="n"/>
      <c r="U73" s="11" t="n"/>
      <c r="V73" s="10">
        <f>IF(COUNTA($C73,$D73,$J73,$M73)=0,"",IF(TRIM(IF($C73="","Falta l'actuació. ","")&amp;IF($D73="","Falta l'objectiu. ","")&amp;IF($J73="","Falta el tipus de despesa. ","")&amp;IF(AND($J73&lt;&gt;"",$J73&lt;&gt;"Mitjans propis",$J73&lt;&gt;"Altres",$M73=""),"Falta l'import. ","")&amp;IF(AND($J73="Contracte menor a càrrec del RAE",$K73=""),"Falta la partida RAE. ","")&amp;IF(AND($B73&lt;&gt;"",COUNTIF($B$6:$B$705,$B73)&gt;1),"Codi RAE repetit. ","")&amp;IF(AND($B73&lt;&gt;"",$J73&lt;&gt;"",$J73&lt;&gt;"Contracte menor a càrrec del RAE"),"Té codi RAE però no és de tipus RAE. ","")&amp;IF($N73="","Falta l'indicador del Pla. ","")&amp;IF($R73="","Falta el gestor. ","")&amp;IF($S73="","Falta indicar si és recurrent. ",""))="","✔",TRIM(IF($C73="","Falta l'actuació. ","")&amp;IF($D73="","Falta l'objectiu. ","")&amp;IF($J73="","Falta el tipus de despesa. ","")&amp;IF(AND($J73&lt;&gt;"",$J73&lt;&gt;"Mitjans propis",$J73&lt;&gt;"Altres",$M73=""),"Falta l'import. ","")&amp;IF(AND($J73="Contracte menor a càrrec del RAE",$K73=""),"Falta la partida RAE. ","")&amp;IF(AND($B73&lt;&gt;"",COUNTIF($B$6:$B$705,$B73)&gt;1),"Codi RAE repetit. ","")&amp;IF(AND($B73&lt;&gt;"",$J73&lt;&gt;"",$J73&lt;&gt;"Contracte menor a càrrec del RAE"),"Té codi RAE però no és de tipus RAE. ","")&amp;IF($N73="","Falta l'indicador del Pla. ","")&amp;IF($R73="","Falta el gestor. ","")&amp;IF($S73="","Falta indicar si és recurrent. ",""))))</f>
        <v/>
      </c>
    </row>
    <row r="74">
      <c r="A74" s="10">
        <f>IF($D74="","","27_"&amp;IFERROR(INDEX(Objectius!$E$2:$E$183,MATCH($D74,Objectius!$A$2:$A$183,0)),"??")&amp;"_"&amp;TEXT(COUNTIF($I$6:$I74,$I74),"00"))</f>
        <v/>
      </c>
      <c r="B74" s="11" t="n"/>
      <c r="C74" s="11" t="n"/>
      <c r="D74" s="11" t="n"/>
      <c r="E74" s="10">
        <f>IF($D74="","",IFERROR(INDEX(Objectius!$C$2:$C$183,MATCH($D74,Objectius!$A$2:$A$183,0)),"Objectiu no trobat al Pla"))</f>
        <v/>
      </c>
      <c r="F74" s="11" t="n"/>
      <c r="G74" s="11" t="n"/>
      <c r="H74" s="11" t="n"/>
      <c r="I74" s="10">
        <f>IF($D74="","",IFERROR(INDEX(Objectius!$D$2:$D$183,MATCH($D74,Objectius!$A$2:$A$183,0)),""))</f>
        <v/>
      </c>
      <c r="J74" s="11" t="n"/>
      <c r="K74" s="11" t="n"/>
      <c r="L74" s="11" t="n"/>
      <c r="M74" s="12" t="n"/>
      <c r="N74" s="11" t="n"/>
      <c r="O74" s="10">
        <f>IF($N74="","",IFERROR(INDEX('PLA ESTRATÈGIC'!$G$4:$G$452,MATCH($N74,'PLA ESTRATÈGIC'!$Q$4:$Q$452,0)),""))</f>
        <v/>
      </c>
      <c r="P74" s="10">
        <f>IF($N74="","",IFERROR(INDEX('PLA ESTRATÈGIC'!$H$4:$H$452,MATCH($N74,'PLA ESTRATÈGIC'!$Q$4:$Q$452,0)),""))</f>
        <v/>
      </c>
      <c r="Q74" s="13" t="n"/>
      <c r="R74" s="11" t="n"/>
      <c r="S74" s="11" t="n"/>
      <c r="T74" s="11" t="n"/>
      <c r="U74" s="11" t="n"/>
      <c r="V74" s="10">
        <f>IF(COUNTA($C74,$D74,$J74,$M74)=0,"",IF(TRIM(IF($C74="","Falta l'actuació. ","")&amp;IF($D74="","Falta l'objectiu. ","")&amp;IF($J74="","Falta el tipus de despesa. ","")&amp;IF(AND($J74&lt;&gt;"",$J74&lt;&gt;"Mitjans propis",$J74&lt;&gt;"Altres",$M74=""),"Falta l'import. ","")&amp;IF(AND($J74="Contracte menor a càrrec del RAE",$K74=""),"Falta la partida RAE. ","")&amp;IF(AND($B74&lt;&gt;"",COUNTIF($B$6:$B$705,$B74)&gt;1),"Codi RAE repetit. ","")&amp;IF(AND($B74&lt;&gt;"",$J74&lt;&gt;"",$J74&lt;&gt;"Contracte menor a càrrec del RAE"),"Té codi RAE però no és de tipus RAE. ","")&amp;IF($N74="","Falta l'indicador del Pla. ","")&amp;IF($R74="","Falta el gestor. ","")&amp;IF($S74="","Falta indicar si és recurrent. ",""))="","✔",TRIM(IF($C74="","Falta l'actuació. ","")&amp;IF($D74="","Falta l'objectiu. ","")&amp;IF($J74="","Falta el tipus de despesa. ","")&amp;IF(AND($J74&lt;&gt;"",$J74&lt;&gt;"Mitjans propis",$J74&lt;&gt;"Altres",$M74=""),"Falta l'import. ","")&amp;IF(AND($J74="Contracte menor a càrrec del RAE",$K74=""),"Falta la partida RAE. ","")&amp;IF(AND($B74&lt;&gt;"",COUNTIF($B$6:$B$705,$B74)&gt;1),"Codi RAE repetit. ","")&amp;IF(AND($B74&lt;&gt;"",$J74&lt;&gt;"",$J74&lt;&gt;"Contracte menor a càrrec del RAE"),"Té codi RAE però no és de tipus RAE. ","")&amp;IF($N74="","Falta l'indicador del Pla. ","")&amp;IF($R74="","Falta el gestor. ","")&amp;IF($S74="","Falta indicar si és recurrent. ",""))))</f>
        <v/>
      </c>
    </row>
    <row r="75">
      <c r="A75" s="10">
        <f>IF($D75="","","27_"&amp;IFERROR(INDEX(Objectius!$E$2:$E$183,MATCH($D75,Objectius!$A$2:$A$183,0)),"??")&amp;"_"&amp;TEXT(COUNTIF($I$6:$I75,$I75),"00"))</f>
        <v/>
      </c>
      <c r="B75" s="11" t="n"/>
      <c r="C75" s="11" t="n"/>
      <c r="D75" s="11" t="n"/>
      <c r="E75" s="10">
        <f>IF($D75="","",IFERROR(INDEX(Objectius!$C$2:$C$183,MATCH($D75,Objectius!$A$2:$A$183,0)),"Objectiu no trobat al Pla"))</f>
        <v/>
      </c>
      <c r="F75" s="11" t="n"/>
      <c r="G75" s="11" t="n"/>
      <c r="H75" s="11" t="n"/>
      <c r="I75" s="10">
        <f>IF($D75="","",IFERROR(INDEX(Objectius!$D$2:$D$183,MATCH($D75,Objectius!$A$2:$A$183,0)),""))</f>
        <v/>
      </c>
      <c r="J75" s="11" t="n"/>
      <c r="K75" s="11" t="n"/>
      <c r="L75" s="11" t="n"/>
      <c r="M75" s="12" t="n"/>
      <c r="N75" s="11" t="n"/>
      <c r="O75" s="10">
        <f>IF($N75="","",IFERROR(INDEX('PLA ESTRATÈGIC'!$G$4:$G$452,MATCH($N75,'PLA ESTRATÈGIC'!$Q$4:$Q$452,0)),""))</f>
        <v/>
      </c>
      <c r="P75" s="10">
        <f>IF($N75="","",IFERROR(INDEX('PLA ESTRATÈGIC'!$H$4:$H$452,MATCH($N75,'PLA ESTRATÈGIC'!$Q$4:$Q$452,0)),""))</f>
        <v/>
      </c>
      <c r="Q75" s="13" t="n"/>
      <c r="R75" s="11" t="n"/>
      <c r="S75" s="11" t="n"/>
      <c r="T75" s="11" t="n"/>
      <c r="U75" s="11" t="n"/>
      <c r="V75" s="10">
        <f>IF(COUNTA($C75,$D75,$J75,$M75)=0,"",IF(TRIM(IF($C75="","Falta l'actuació. ","")&amp;IF($D75="","Falta l'objectiu. ","")&amp;IF($J75="","Falta el tipus de despesa. ","")&amp;IF(AND($J75&lt;&gt;"",$J75&lt;&gt;"Mitjans propis",$J75&lt;&gt;"Altres",$M75=""),"Falta l'import. ","")&amp;IF(AND($J75="Contracte menor a càrrec del RAE",$K75=""),"Falta la partida RAE. ","")&amp;IF(AND($B75&lt;&gt;"",COUNTIF($B$6:$B$705,$B75)&gt;1),"Codi RAE repetit. ","")&amp;IF(AND($B75&lt;&gt;"",$J75&lt;&gt;"",$J75&lt;&gt;"Contracte menor a càrrec del RAE"),"Té codi RAE però no és de tipus RAE. ","")&amp;IF($N75="","Falta l'indicador del Pla. ","")&amp;IF($R75="","Falta el gestor. ","")&amp;IF($S75="","Falta indicar si és recurrent. ",""))="","✔",TRIM(IF($C75="","Falta l'actuació. ","")&amp;IF($D75="","Falta l'objectiu. ","")&amp;IF($J75="","Falta el tipus de despesa. ","")&amp;IF(AND($J75&lt;&gt;"",$J75&lt;&gt;"Mitjans propis",$J75&lt;&gt;"Altres",$M75=""),"Falta l'import. ","")&amp;IF(AND($J75="Contracte menor a càrrec del RAE",$K75=""),"Falta la partida RAE. ","")&amp;IF(AND($B75&lt;&gt;"",COUNTIF($B$6:$B$705,$B75)&gt;1),"Codi RAE repetit. ","")&amp;IF(AND($B75&lt;&gt;"",$J75&lt;&gt;"",$J75&lt;&gt;"Contracte menor a càrrec del RAE"),"Té codi RAE però no és de tipus RAE. ","")&amp;IF($N75="","Falta l'indicador del Pla. ","")&amp;IF($R75="","Falta el gestor. ","")&amp;IF($S75="","Falta indicar si és recurrent. ",""))))</f>
        <v/>
      </c>
    </row>
    <row r="76">
      <c r="A76" s="10">
        <f>IF($D76="","","27_"&amp;IFERROR(INDEX(Objectius!$E$2:$E$183,MATCH($D76,Objectius!$A$2:$A$183,0)),"??")&amp;"_"&amp;TEXT(COUNTIF($I$6:$I76,$I76),"00"))</f>
        <v/>
      </c>
      <c r="B76" s="11" t="n"/>
      <c r="C76" s="11" t="n"/>
      <c r="D76" s="11" t="n"/>
      <c r="E76" s="10">
        <f>IF($D76="","",IFERROR(INDEX(Objectius!$C$2:$C$183,MATCH($D76,Objectius!$A$2:$A$183,0)),"Objectiu no trobat al Pla"))</f>
        <v/>
      </c>
      <c r="F76" s="11" t="n"/>
      <c r="G76" s="11" t="n"/>
      <c r="H76" s="11" t="n"/>
      <c r="I76" s="10">
        <f>IF($D76="","",IFERROR(INDEX(Objectius!$D$2:$D$183,MATCH($D76,Objectius!$A$2:$A$183,0)),""))</f>
        <v/>
      </c>
      <c r="J76" s="11" t="n"/>
      <c r="K76" s="11" t="n"/>
      <c r="L76" s="11" t="n"/>
      <c r="M76" s="12" t="n"/>
      <c r="N76" s="11" t="n"/>
      <c r="O76" s="10">
        <f>IF($N76="","",IFERROR(INDEX('PLA ESTRATÈGIC'!$G$4:$G$452,MATCH($N76,'PLA ESTRATÈGIC'!$Q$4:$Q$452,0)),""))</f>
        <v/>
      </c>
      <c r="P76" s="10">
        <f>IF($N76="","",IFERROR(INDEX('PLA ESTRATÈGIC'!$H$4:$H$452,MATCH($N76,'PLA ESTRATÈGIC'!$Q$4:$Q$452,0)),""))</f>
        <v/>
      </c>
      <c r="Q76" s="13" t="n"/>
      <c r="R76" s="11" t="n"/>
      <c r="S76" s="11" t="n"/>
      <c r="T76" s="11" t="n"/>
      <c r="U76" s="11" t="n"/>
      <c r="V76" s="10">
        <f>IF(COUNTA($C76,$D76,$J76,$M76)=0,"",IF(TRIM(IF($C76="","Falta l'actuació. ","")&amp;IF($D76="","Falta l'objectiu. ","")&amp;IF($J76="","Falta el tipus de despesa. ","")&amp;IF(AND($J76&lt;&gt;"",$J76&lt;&gt;"Mitjans propis",$J76&lt;&gt;"Altres",$M76=""),"Falta l'import. ","")&amp;IF(AND($J76="Contracte menor a càrrec del RAE",$K76=""),"Falta la partida RAE. ","")&amp;IF(AND($B76&lt;&gt;"",COUNTIF($B$6:$B$705,$B76)&gt;1),"Codi RAE repetit. ","")&amp;IF(AND($B76&lt;&gt;"",$J76&lt;&gt;"",$J76&lt;&gt;"Contracte menor a càrrec del RAE"),"Té codi RAE però no és de tipus RAE. ","")&amp;IF($N76="","Falta l'indicador del Pla. ","")&amp;IF($R76="","Falta el gestor. ","")&amp;IF($S76="","Falta indicar si és recurrent. ",""))="","✔",TRIM(IF($C76="","Falta l'actuació. ","")&amp;IF($D76="","Falta l'objectiu. ","")&amp;IF($J76="","Falta el tipus de despesa. ","")&amp;IF(AND($J76&lt;&gt;"",$J76&lt;&gt;"Mitjans propis",$J76&lt;&gt;"Altres",$M76=""),"Falta l'import. ","")&amp;IF(AND($J76="Contracte menor a càrrec del RAE",$K76=""),"Falta la partida RAE. ","")&amp;IF(AND($B76&lt;&gt;"",COUNTIF($B$6:$B$705,$B76)&gt;1),"Codi RAE repetit. ","")&amp;IF(AND($B76&lt;&gt;"",$J76&lt;&gt;"",$J76&lt;&gt;"Contracte menor a càrrec del RAE"),"Té codi RAE però no és de tipus RAE. ","")&amp;IF($N76="","Falta l'indicador del Pla. ","")&amp;IF($R76="","Falta el gestor. ","")&amp;IF($S76="","Falta indicar si és recurrent. ",""))))</f>
        <v/>
      </c>
    </row>
    <row r="77">
      <c r="A77" s="10">
        <f>IF($D77="","","27_"&amp;IFERROR(INDEX(Objectius!$E$2:$E$183,MATCH($D77,Objectius!$A$2:$A$183,0)),"??")&amp;"_"&amp;TEXT(COUNTIF($I$6:$I77,$I77),"00"))</f>
        <v/>
      </c>
      <c r="B77" s="11" t="n"/>
      <c r="C77" s="11" t="n"/>
      <c r="D77" s="11" t="n"/>
      <c r="E77" s="10">
        <f>IF($D77="","",IFERROR(INDEX(Objectius!$C$2:$C$183,MATCH($D77,Objectius!$A$2:$A$183,0)),"Objectiu no trobat al Pla"))</f>
        <v/>
      </c>
      <c r="F77" s="11" t="n"/>
      <c r="G77" s="11" t="n"/>
      <c r="H77" s="11" t="n"/>
      <c r="I77" s="10">
        <f>IF($D77="","",IFERROR(INDEX(Objectius!$D$2:$D$183,MATCH($D77,Objectius!$A$2:$A$183,0)),""))</f>
        <v/>
      </c>
      <c r="J77" s="11" t="n"/>
      <c r="K77" s="11" t="n"/>
      <c r="L77" s="11" t="n"/>
      <c r="M77" s="12" t="n"/>
      <c r="N77" s="11" t="n"/>
      <c r="O77" s="10">
        <f>IF($N77="","",IFERROR(INDEX('PLA ESTRATÈGIC'!$G$4:$G$452,MATCH($N77,'PLA ESTRATÈGIC'!$Q$4:$Q$452,0)),""))</f>
        <v/>
      </c>
      <c r="P77" s="10">
        <f>IF($N77="","",IFERROR(INDEX('PLA ESTRATÈGIC'!$H$4:$H$452,MATCH($N77,'PLA ESTRATÈGIC'!$Q$4:$Q$452,0)),""))</f>
        <v/>
      </c>
      <c r="Q77" s="13" t="n"/>
      <c r="R77" s="11" t="n"/>
      <c r="S77" s="11" t="n"/>
      <c r="T77" s="11" t="n"/>
      <c r="U77" s="11" t="n"/>
      <c r="V77" s="10">
        <f>IF(COUNTA($C77,$D77,$J77,$M77)=0,"",IF(TRIM(IF($C77="","Falta l'actuació. ","")&amp;IF($D77="","Falta l'objectiu. ","")&amp;IF($J77="","Falta el tipus de despesa. ","")&amp;IF(AND($J77&lt;&gt;"",$J77&lt;&gt;"Mitjans propis",$J77&lt;&gt;"Altres",$M77=""),"Falta l'import. ","")&amp;IF(AND($J77="Contracte menor a càrrec del RAE",$K77=""),"Falta la partida RAE. ","")&amp;IF(AND($B77&lt;&gt;"",COUNTIF($B$6:$B$705,$B77)&gt;1),"Codi RAE repetit. ","")&amp;IF(AND($B77&lt;&gt;"",$J77&lt;&gt;"",$J77&lt;&gt;"Contracte menor a càrrec del RAE"),"Té codi RAE però no és de tipus RAE. ","")&amp;IF($N77="","Falta l'indicador del Pla. ","")&amp;IF($R77="","Falta el gestor. ","")&amp;IF($S77="","Falta indicar si és recurrent. ",""))="","✔",TRIM(IF($C77="","Falta l'actuació. ","")&amp;IF($D77="","Falta l'objectiu. ","")&amp;IF($J77="","Falta el tipus de despesa. ","")&amp;IF(AND($J77&lt;&gt;"",$J77&lt;&gt;"Mitjans propis",$J77&lt;&gt;"Altres",$M77=""),"Falta l'import. ","")&amp;IF(AND($J77="Contracte menor a càrrec del RAE",$K77=""),"Falta la partida RAE. ","")&amp;IF(AND($B77&lt;&gt;"",COUNTIF($B$6:$B$705,$B77)&gt;1),"Codi RAE repetit. ","")&amp;IF(AND($B77&lt;&gt;"",$J77&lt;&gt;"",$J77&lt;&gt;"Contracte menor a càrrec del RAE"),"Té codi RAE però no és de tipus RAE. ","")&amp;IF($N77="","Falta l'indicador del Pla. ","")&amp;IF($R77="","Falta el gestor. ","")&amp;IF($S77="","Falta indicar si és recurrent. ",""))))</f>
        <v/>
      </c>
    </row>
    <row r="78">
      <c r="A78" s="10">
        <f>IF($D78="","","27_"&amp;IFERROR(INDEX(Objectius!$E$2:$E$183,MATCH($D78,Objectius!$A$2:$A$183,0)),"??")&amp;"_"&amp;TEXT(COUNTIF($I$6:$I78,$I78),"00"))</f>
        <v/>
      </c>
      <c r="B78" s="11" t="n"/>
      <c r="C78" s="11" t="n"/>
      <c r="D78" s="11" t="n"/>
      <c r="E78" s="10">
        <f>IF($D78="","",IFERROR(INDEX(Objectius!$C$2:$C$183,MATCH($D78,Objectius!$A$2:$A$183,0)),"Objectiu no trobat al Pla"))</f>
        <v/>
      </c>
      <c r="F78" s="11" t="n"/>
      <c r="G78" s="11" t="n"/>
      <c r="H78" s="11" t="n"/>
      <c r="I78" s="10">
        <f>IF($D78="","",IFERROR(INDEX(Objectius!$D$2:$D$183,MATCH($D78,Objectius!$A$2:$A$183,0)),""))</f>
        <v/>
      </c>
      <c r="J78" s="11" t="n"/>
      <c r="K78" s="11" t="n"/>
      <c r="L78" s="11" t="n"/>
      <c r="M78" s="12" t="n"/>
      <c r="N78" s="11" t="n"/>
      <c r="O78" s="10">
        <f>IF($N78="","",IFERROR(INDEX('PLA ESTRATÈGIC'!$G$4:$G$452,MATCH($N78,'PLA ESTRATÈGIC'!$Q$4:$Q$452,0)),""))</f>
        <v/>
      </c>
      <c r="P78" s="10">
        <f>IF($N78="","",IFERROR(INDEX('PLA ESTRATÈGIC'!$H$4:$H$452,MATCH($N78,'PLA ESTRATÈGIC'!$Q$4:$Q$452,0)),""))</f>
        <v/>
      </c>
      <c r="Q78" s="13" t="n"/>
      <c r="R78" s="11" t="n"/>
      <c r="S78" s="11" t="n"/>
      <c r="T78" s="11" t="n"/>
      <c r="U78" s="11" t="n"/>
      <c r="V78" s="10">
        <f>IF(COUNTA($C78,$D78,$J78,$M78)=0,"",IF(TRIM(IF($C78="","Falta l'actuació. ","")&amp;IF($D78="","Falta l'objectiu. ","")&amp;IF($J78="","Falta el tipus de despesa. ","")&amp;IF(AND($J78&lt;&gt;"",$J78&lt;&gt;"Mitjans propis",$J78&lt;&gt;"Altres",$M78=""),"Falta l'import. ","")&amp;IF(AND($J78="Contracte menor a càrrec del RAE",$K78=""),"Falta la partida RAE. ","")&amp;IF(AND($B78&lt;&gt;"",COUNTIF($B$6:$B$705,$B78)&gt;1),"Codi RAE repetit. ","")&amp;IF(AND($B78&lt;&gt;"",$J78&lt;&gt;"",$J78&lt;&gt;"Contracte menor a càrrec del RAE"),"Té codi RAE però no és de tipus RAE. ","")&amp;IF($N78="","Falta l'indicador del Pla. ","")&amp;IF($R78="","Falta el gestor. ","")&amp;IF($S78="","Falta indicar si és recurrent. ",""))="","✔",TRIM(IF($C78="","Falta l'actuació. ","")&amp;IF($D78="","Falta l'objectiu. ","")&amp;IF($J78="","Falta el tipus de despesa. ","")&amp;IF(AND($J78&lt;&gt;"",$J78&lt;&gt;"Mitjans propis",$J78&lt;&gt;"Altres",$M78=""),"Falta l'import. ","")&amp;IF(AND($J78="Contracte menor a càrrec del RAE",$K78=""),"Falta la partida RAE. ","")&amp;IF(AND($B78&lt;&gt;"",COUNTIF($B$6:$B$705,$B78)&gt;1),"Codi RAE repetit. ","")&amp;IF(AND($B78&lt;&gt;"",$J78&lt;&gt;"",$J78&lt;&gt;"Contracte menor a càrrec del RAE"),"Té codi RAE però no és de tipus RAE. ","")&amp;IF($N78="","Falta l'indicador del Pla. ","")&amp;IF($R78="","Falta el gestor. ","")&amp;IF($S78="","Falta indicar si és recurrent. ",""))))</f>
        <v/>
      </c>
    </row>
    <row r="79">
      <c r="A79" s="10">
        <f>IF($D79="","","27_"&amp;IFERROR(INDEX(Objectius!$E$2:$E$183,MATCH($D79,Objectius!$A$2:$A$183,0)),"??")&amp;"_"&amp;TEXT(COUNTIF($I$6:$I79,$I79),"00"))</f>
        <v/>
      </c>
      <c r="B79" s="11" t="n"/>
      <c r="C79" s="11" t="n"/>
      <c r="D79" s="11" t="n"/>
      <c r="E79" s="10">
        <f>IF($D79="","",IFERROR(INDEX(Objectius!$C$2:$C$183,MATCH($D79,Objectius!$A$2:$A$183,0)),"Objectiu no trobat al Pla"))</f>
        <v/>
      </c>
      <c r="F79" s="11" t="n"/>
      <c r="G79" s="11" t="n"/>
      <c r="H79" s="11" t="n"/>
      <c r="I79" s="10">
        <f>IF($D79="","",IFERROR(INDEX(Objectius!$D$2:$D$183,MATCH($D79,Objectius!$A$2:$A$183,0)),""))</f>
        <v/>
      </c>
      <c r="J79" s="11" t="n"/>
      <c r="K79" s="11" t="n"/>
      <c r="L79" s="11" t="n"/>
      <c r="M79" s="12" t="n"/>
      <c r="N79" s="11" t="n"/>
      <c r="O79" s="10">
        <f>IF($N79="","",IFERROR(INDEX('PLA ESTRATÈGIC'!$G$4:$G$452,MATCH($N79,'PLA ESTRATÈGIC'!$Q$4:$Q$452,0)),""))</f>
        <v/>
      </c>
      <c r="P79" s="10">
        <f>IF($N79="","",IFERROR(INDEX('PLA ESTRATÈGIC'!$H$4:$H$452,MATCH($N79,'PLA ESTRATÈGIC'!$Q$4:$Q$452,0)),""))</f>
        <v/>
      </c>
      <c r="Q79" s="13" t="n"/>
      <c r="R79" s="11" t="n"/>
      <c r="S79" s="11" t="n"/>
      <c r="T79" s="11" t="n"/>
      <c r="U79" s="11" t="n"/>
      <c r="V79" s="10">
        <f>IF(COUNTA($C79,$D79,$J79,$M79)=0,"",IF(TRIM(IF($C79="","Falta l'actuació. ","")&amp;IF($D79="","Falta l'objectiu. ","")&amp;IF($J79="","Falta el tipus de despesa. ","")&amp;IF(AND($J79&lt;&gt;"",$J79&lt;&gt;"Mitjans propis",$J79&lt;&gt;"Altres",$M79=""),"Falta l'import. ","")&amp;IF(AND($J79="Contracte menor a càrrec del RAE",$K79=""),"Falta la partida RAE. ","")&amp;IF(AND($B79&lt;&gt;"",COUNTIF($B$6:$B$705,$B79)&gt;1),"Codi RAE repetit. ","")&amp;IF(AND($B79&lt;&gt;"",$J79&lt;&gt;"",$J79&lt;&gt;"Contracte menor a càrrec del RAE"),"Té codi RAE però no és de tipus RAE. ","")&amp;IF($N79="","Falta l'indicador del Pla. ","")&amp;IF($R79="","Falta el gestor. ","")&amp;IF($S79="","Falta indicar si és recurrent. ",""))="","✔",TRIM(IF($C79="","Falta l'actuació. ","")&amp;IF($D79="","Falta l'objectiu. ","")&amp;IF($J79="","Falta el tipus de despesa. ","")&amp;IF(AND($J79&lt;&gt;"",$J79&lt;&gt;"Mitjans propis",$J79&lt;&gt;"Altres",$M79=""),"Falta l'import. ","")&amp;IF(AND($J79="Contracte menor a càrrec del RAE",$K79=""),"Falta la partida RAE. ","")&amp;IF(AND($B79&lt;&gt;"",COUNTIF($B$6:$B$705,$B79)&gt;1),"Codi RAE repetit. ","")&amp;IF(AND($B79&lt;&gt;"",$J79&lt;&gt;"",$J79&lt;&gt;"Contracte menor a càrrec del RAE"),"Té codi RAE però no és de tipus RAE. ","")&amp;IF($N79="","Falta l'indicador del Pla. ","")&amp;IF($R79="","Falta el gestor. ","")&amp;IF($S79="","Falta indicar si és recurrent. ",""))))</f>
        <v/>
      </c>
    </row>
    <row r="80">
      <c r="A80" s="10">
        <f>IF($D80="","","27_"&amp;IFERROR(INDEX(Objectius!$E$2:$E$183,MATCH($D80,Objectius!$A$2:$A$183,0)),"??")&amp;"_"&amp;TEXT(COUNTIF($I$6:$I80,$I80),"00"))</f>
        <v/>
      </c>
      <c r="B80" s="11" t="n"/>
      <c r="C80" s="11" t="n"/>
      <c r="D80" s="11" t="n"/>
      <c r="E80" s="10">
        <f>IF($D80="","",IFERROR(INDEX(Objectius!$C$2:$C$183,MATCH($D80,Objectius!$A$2:$A$183,0)),"Objectiu no trobat al Pla"))</f>
        <v/>
      </c>
      <c r="F80" s="11" t="n"/>
      <c r="G80" s="11" t="n"/>
      <c r="H80" s="11" t="n"/>
      <c r="I80" s="10">
        <f>IF($D80="","",IFERROR(INDEX(Objectius!$D$2:$D$183,MATCH($D80,Objectius!$A$2:$A$183,0)),""))</f>
        <v/>
      </c>
      <c r="J80" s="11" t="n"/>
      <c r="K80" s="11" t="n"/>
      <c r="L80" s="11" t="n"/>
      <c r="M80" s="12" t="n"/>
      <c r="N80" s="11" t="n"/>
      <c r="O80" s="10">
        <f>IF($N80="","",IFERROR(INDEX('PLA ESTRATÈGIC'!$G$4:$G$452,MATCH($N80,'PLA ESTRATÈGIC'!$Q$4:$Q$452,0)),""))</f>
        <v/>
      </c>
      <c r="P80" s="10">
        <f>IF($N80="","",IFERROR(INDEX('PLA ESTRATÈGIC'!$H$4:$H$452,MATCH($N80,'PLA ESTRATÈGIC'!$Q$4:$Q$452,0)),""))</f>
        <v/>
      </c>
      <c r="Q80" s="13" t="n"/>
      <c r="R80" s="11" t="n"/>
      <c r="S80" s="11" t="n"/>
      <c r="T80" s="11" t="n"/>
      <c r="U80" s="11" t="n"/>
      <c r="V80" s="10">
        <f>IF(COUNTA($C80,$D80,$J80,$M80)=0,"",IF(TRIM(IF($C80="","Falta l'actuació. ","")&amp;IF($D80="","Falta l'objectiu. ","")&amp;IF($J80="","Falta el tipus de despesa. ","")&amp;IF(AND($J80&lt;&gt;"",$J80&lt;&gt;"Mitjans propis",$J80&lt;&gt;"Altres",$M80=""),"Falta l'import. ","")&amp;IF(AND($J80="Contracte menor a càrrec del RAE",$K80=""),"Falta la partida RAE. ","")&amp;IF(AND($B80&lt;&gt;"",COUNTIF($B$6:$B$705,$B80)&gt;1),"Codi RAE repetit. ","")&amp;IF(AND($B80&lt;&gt;"",$J80&lt;&gt;"",$J80&lt;&gt;"Contracte menor a càrrec del RAE"),"Té codi RAE però no és de tipus RAE. ","")&amp;IF($N80="","Falta l'indicador del Pla. ","")&amp;IF($R80="","Falta el gestor. ","")&amp;IF($S80="","Falta indicar si és recurrent. ",""))="","✔",TRIM(IF($C80="","Falta l'actuació. ","")&amp;IF($D80="","Falta l'objectiu. ","")&amp;IF($J80="","Falta el tipus de despesa. ","")&amp;IF(AND($J80&lt;&gt;"",$J80&lt;&gt;"Mitjans propis",$J80&lt;&gt;"Altres",$M80=""),"Falta l'import. ","")&amp;IF(AND($J80="Contracte menor a càrrec del RAE",$K80=""),"Falta la partida RAE. ","")&amp;IF(AND($B80&lt;&gt;"",COUNTIF($B$6:$B$705,$B80)&gt;1),"Codi RAE repetit. ","")&amp;IF(AND($B80&lt;&gt;"",$J80&lt;&gt;"",$J80&lt;&gt;"Contracte menor a càrrec del RAE"),"Té codi RAE però no és de tipus RAE. ","")&amp;IF($N80="","Falta l'indicador del Pla. ","")&amp;IF($R80="","Falta el gestor. ","")&amp;IF($S80="","Falta indicar si és recurrent. ",""))))</f>
        <v/>
      </c>
    </row>
    <row r="81">
      <c r="A81" s="10">
        <f>IF($D81="","","27_"&amp;IFERROR(INDEX(Objectius!$E$2:$E$183,MATCH($D81,Objectius!$A$2:$A$183,0)),"??")&amp;"_"&amp;TEXT(COUNTIF($I$6:$I81,$I81),"00"))</f>
        <v/>
      </c>
      <c r="B81" s="11" t="n"/>
      <c r="C81" s="11" t="n"/>
      <c r="D81" s="11" t="n"/>
      <c r="E81" s="10">
        <f>IF($D81="","",IFERROR(INDEX(Objectius!$C$2:$C$183,MATCH($D81,Objectius!$A$2:$A$183,0)),"Objectiu no trobat al Pla"))</f>
        <v/>
      </c>
      <c r="F81" s="11" t="n"/>
      <c r="G81" s="11" t="n"/>
      <c r="H81" s="11" t="n"/>
      <c r="I81" s="10">
        <f>IF($D81="","",IFERROR(INDEX(Objectius!$D$2:$D$183,MATCH($D81,Objectius!$A$2:$A$183,0)),""))</f>
        <v/>
      </c>
      <c r="J81" s="11" t="n"/>
      <c r="K81" s="11" t="n"/>
      <c r="L81" s="11" t="n"/>
      <c r="M81" s="12" t="n"/>
      <c r="N81" s="11" t="n"/>
      <c r="O81" s="10">
        <f>IF($N81="","",IFERROR(INDEX('PLA ESTRATÈGIC'!$G$4:$G$452,MATCH($N81,'PLA ESTRATÈGIC'!$Q$4:$Q$452,0)),""))</f>
        <v/>
      </c>
      <c r="P81" s="10">
        <f>IF($N81="","",IFERROR(INDEX('PLA ESTRATÈGIC'!$H$4:$H$452,MATCH($N81,'PLA ESTRATÈGIC'!$Q$4:$Q$452,0)),""))</f>
        <v/>
      </c>
      <c r="Q81" s="13" t="n"/>
      <c r="R81" s="11" t="n"/>
      <c r="S81" s="11" t="n"/>
      <c r="T81" s="11" t="n"/>
      <c r="U81" s="11" t="n"/>
      <c r="V81" s="10">
        <f>IF(COUNTA($C81,$D81,$J81,$M81)=0,"",IF(TRIM(IF($C81="","Falta l'actuació. ","")&amp;IF($D81="","Falta l'objectiu. ","")&amp;IF($J81="","Falta el tipus de despesa. ","")&amp;IF(AND($J81&lt;&gt;"",$J81&lt;&gt;"Mitjans propis",$J81&lt;&gt;"Altres",$M81=""),"Falta l'import. ","")&amp;IF(AND($J81="Contracte menor a càrrec del RAE",$K81=""),"Falta la partida RAE. ","")&amp;IF(AND($B81&lt;&gt;"",COUNTIF($B$6:$B$705,$B81)&gt;1),"Codi RAE repetit. ","")&amp;IF(AND($B81&lt;&gt;"",$J81&lt;&gt;"",$J81&lt;&gt;"Contracte menor a càrrec del RAE"),"Té codi RAE però no és de tipus RAE. ","")&amp;IF($N81="","Falta l'indicador del Pla. ","")&amp;IF($R81="","Falta el gestor. ","")&amp;IF($S81="","Falta indicar si és recurrent. ",""))="","✔",TRIM(IF($C81="","Falta l'actuació. ","")&amp;IF($D81="","Falta l'objectiu. ","")&amp;IF($J81="","Falta el tipus de despesa. ","")&amp;IF(AND($J81&lt;&gt;"",$J81&lt;&gt;"Mitjans propis",$J81&lt;&gt;"Altres",$M81=""),"Falta l'import. ","")&amp;IF(AND($J81="Contracte menor a càrrec del RAE",$K81=""),"Falta la partida RAE. ","")&amp;IF(AND($B81&lt;&gt;"",COUNTIF($B$6:$B$705,$B81)&gt;1),"Codi RAE repetit. ","")&amp;IF(AND($B81&lt;&gt;"",$J81&lt;&gt;"",$J81&lt;&gt;"Contracte menor a càrrec del RAE"),"Té codi RAE però no és de tipus RAE. ","")&amp;IF($N81="","Falta l'indicador del Pla. ","")&amp;IF($R81="","Falta el gestor. ","")&amp;IF($S81="","Falta indicar si és recurrent. ",""))))</f>
        <v/>
      </c>
    </row>
    <row r="82">
      <c r="A82" s="10">
        <f>IF($D82="","","27_"&amp;IFERROR(INDEX(Objectius!$E$2:$E$183,MATCH($D82,Objectius!$A$2:$A$183,0)),"??")&amp;"_"&amp;TEXT(COUNTIF($I$6:$I82,$I82),"00"))</f>
        <v/>
      </c>
      <c r="B82" s="11" t="n"/>
      <c r="C82" s="11" t="n"/>
      <c r="D82" s="11" t="n"/>
      <c r="E82" s="10">
        <f>IF($D82="","",IFERROR(INDEX(Objectius!$C$2:$C$183,MATCH($D82,Objectius!$A$2:$A$183,0)),"Objectiu no trobat al Pla"))</f>
        <v/>
      </c>
      <c r="F82" s="11" t="n"/>
      <c r="G82" s="11" t="n"/>
      <c r="H82" s="11" t="n"/>
      <c r="I82" s="10">
        <f>IF($D82="","",IFERROR(INDEX(Objectius!$D$2:$D$183,MATCH($D82,Objectius!$A$2:$A$183,0)),""))</f>
        <v/>
      </c>
      <c r="J82" s="11" t="n"/>
      <c r="K82" s="11" t="n"/>
      <c r="L82" s="11" t="n"/>
      <c r="M82" s="12" t="n"/>
      <c r="N82" s="11" t="n"/>
      <c r="O82" s="10">
        <f>IF($N82="","",IFERROR(INDEX('PLA ESTRATÈGIC'!$G$4:$G$452,MATCH($N82,'PLA ESTRATÈGIC'!$Q$4:$Q$452,0)),""))</f>
        <v/>
      </c>
      <c r="P82" s="10">
        <f>IF($N82="","",IFERROR(INDEX('PLA ESTRATÈGIC'!$H$4:$H$452,MATCH($N82,'PLA ESTRATÈGIC'!$Q$4:$Q$452,0)),""))</f>
        <v/>
      </c>
      <c r="Q82" s="13" t="n"/>
      <c r="R82" s="11" t="n"/>
      <c r="S82" s="11" t="n"/>
      <c r="T82" s="11" t="n"/>
      <c r="U82" s="11" t="n"/>
      <c r="V82" s="10">
        <f>IF(COUNTA($C82,$D82,$J82,$M82)=0,"",IF(TRIM(IF($C82="","Falta l'actuació. ","")&amp;IF($D82="","Falta l'objectiu. ","")&amp;IF($J82="","Falta el tipus de despesa. ","")&amp;IF(AND($J82&lt;&gt;"",$J82&lt;&gt;"Mitjans propis",$J82&lt;&gt;"Altres",$M82=""),"Falta l'import. ","")&amp;IF(AND($J82="Contracte menor a càrrec del RAE",$K82=""),"Falta la partida RAE. ","")&amp;IF(AND($B82&lt;&gt;"",COUNTIF($B$6:$B$705,$B82)&gt;1),"Codi RAE repetit. ","")&amp;IF(AND($B82&lt;&gt;"",$J82&lt;&gt;"",$J82&lt;&gt;"Contracte menor a càrrec del RAE"),"Té codi RAE però no és de tipus RAE. ","")&amp;IF($N82="","Falta l'indicador del Pla. ","")&amp;IF($R82="","Falta el gestor. ","")&amp;IF($S82="","Falta indicar si és recurrent. ",""))="","✔",TRIM(IF($C82="","Falta l'actuació. ","")&amp;IF($D82="","Falta l'objectiu. ","")&amp;IF($J82="","Falta el tipus de despesa. ","")&amp;IF(AND($J82&lt;&gt;"",$J82&lt;&gt;"Mitjans propis",$J82&lt;&gt;"Altres",$M82=""),"Falta l'import. ","")&amp;IF(AND($J82="Contracte menor a càrrec del RAE",$K82=""),"Falta la partida RAE. ","")&amp;IF(AND($B82&lt;&gt;"",COUNTIF($B$6:$B$705,$B82)&gt;1),"Codi RAE repetit. ","")&amp;IF(AND($B82&lt;&gt;"",$J82&lt;&gt;"",$J82&lt;&gt;"Contracte menor a càrrec del RAE"),"Té codi RAE però no és de tipus RAE. ","")&amp;IF($N82="","Falta l'indicador del Pla. ","")&amp;IF($R82="","Falta el gestor. ","")&amp;IF($S82="","Falta indicar si és recurrent. ",""))))</f>
        <v/>
      </c>
    </row>
    <row r="83">
      <c r="A83" s="10">
        <f>IF($D83="","","27_"&amp;IFERROR(INDEX(Objectius!$E$2:$E$183,MATCH($D83,Objectius!$A$2:$A$183,0)),"??")&amp;"_"&amp;TEXT(COUNTIF($I$6:$I83,$I83),"00"))</f>
        <v/>
      </c>
      <c r="B83" s="11" t="n"/>
      <c r="C83" s="11" t="n"/>
      <c r="D83" s="11" t="n"/>
      <c r="E83" s="10">
        <f>IF($D83="","",IFERROR(INDEX(Objectius!$C$2:$C$183,MATCH($D83,Objectius!$A$2:$A$183,0)),"Objectiu no trobat al Pla"))</f>
        <v/>
      </c>
      <c r="F83" s="11" t="n"/>
      <c r="G83" s="11" t="n"/>
      <c r="H83" s="11" t="n"/>
      <c r="I83" s="10">
        <f>IF($D83="","",IFERROR(INDEX(Objectius!$D$2:$D$183,MATCH($D83,Objectius!$A$2:$A$183,0)),""))</f>
        <v/>
      </c>
      <c r="J83" s="11" t="n"/>
      <c r="K83" s="11" t="n"/>
      <c r="L83" s="11" t="n"/>
      <c r="M83" s="12" t="n"/>
      <c r="N83" s="11" t="n"/>
      <c r="O83" s="10">
        <f>IF($N83="","",IFERROR(INDEX('PLA ESTRATÈGIC'!$G$4:$G$452,MATCH($N83,'PLA ESTRATÈGIC'!$Q$4:$Q$452,0)),""))</f>
        <v/>
      </c>
      <c r="P83" s="10">
        <f>IF($N83="","",IFERROR(INDEX('PLA ESTRATÈGIC'!$H$4:$H$452,MATCH($N83,'PLA ESTRATÈGIC'!$Q$4:$Q$452,0)),""))</f>
        <v/>
      </c>
      <c r="Q83" s="13" t="n"/>
      <c r="R83" s="11" t="n"/>
      <c r="S83" s="11" t="n"/>
      <c r="T83" s="11" t="n"/>
      <c r="U83" s="11" t="n"/>
      <c r="V83" s="10">
        <f>IF(COUNTA($C83,$D83,$J83,$M83)=0,"",IF(TRIM(IF($C83="","Falta l'actuació. ","")&amp;IF($D83="","Falta l'objectiu. ","")&amp;IF($J83="","Falta el tipus de despesa. ","")&amp;IF(AND($J83&lt;&gt;"",$J83&lt;&gt;"Mitjans propis",$J83&lt;&gt;"Altres",$M83=""),"Falta l'import. ","")&amp;IF(AND($J83="Contracte menor a càrrec del RAE",$K83=""),"Falta la partida RAE. ","")&amp;IF(AND($B83&lt;&gt;"",COUNTIF($B$6:$B$705,$B83)&gt;1),"Codi RAE repetit. ","")&amp;IF(AND($B83&lt;&gt;"",$J83&lt;&gt;"",$J83&lt;&gt;"Contracte menor a càrrec del RAE"),"Té codi RAE però no és de tipus RAE. ","")&amp;IF($N83="","Falta l'indicador del Pla. ","")&amp;IF($R83="","Falta el gestor. ","")&amp;IF($S83="","Falta indicar si és recurrent. ",""))="","✔",TRIM(IF($C83="","Falta l'actuació. ","")&amp;IF($D83="","Falta l'objectiu. ","")&amp;IF($J83="","Falta el tipus de despesa. ","")&amp;IF(AND($J83&lt;&gt;"",$J83&lt;&gt;"Mitjans propis",$J83&lt;&gt;"Altres",$M83=""),"Falta l'import. ","")&amp;IF(AND($J83="Contracte menor a càrrec del RAE",$K83=""),"Falta la partida RAE. ","")&amp;IF(AND($B83&lt;&gt;"",COUNTIF($B$6:$B$705,$B83)&gt;1),"Codi RAE repetit. ","")&amp;IF(AND($B83&lt;&gt;"",$J83&lt;&gt;"",$J83&lt;&gt;"Contracte menor a càrrec del RAE"),"Té codi RAE però no és de tipus RAE. ","")&amp;IF($N83="","Falta l'indicador del Pla. ","")&amp;IF($R83="","Falta el gestor. ","")&amp;IF($S83="","Falta indicar si és recurrent. ",""))))</f>
        <v/>
      </c>
    </row>
    <row r="84">
      <c r="A84" s="10">
        <f>IF($D84="","","27_"&amp;IFERROR(INDEX(Objectius!$E$2:$E$183,MATCH($D84,Objectius!$A$2:$A$183,0)),"??")&amp;"_"&amp;TEXT(COUNTIF($I$6:$I84,$I84),"00"))</f>
        <v/>
      </c>
      <c r="B84" s="11" t="n"/>
      <c r="C84" s="11" t="n"/>
      <c r="D84" s="11" t="n"/>
      <c r="E84" s="10">
        <f>IF($D84="","",IFERROR(INDEX(Objectius!$C$2:$C$183,MATCH($D84,Objectius!$A$2:$A$183,0)),"Objectiu no trobat al Pla"))</f>
        <v/>
      </c>
      <c r="F84" s="11" t="n"/>
      <c r="G84" s="11" t="n"/>
      <c r="H84" s="11" t="n"/>
      <c r="I84" s="10">
        <f>IF($D84="","",IFERROR(INDEX(Objectius!$D$2:$D$183,MATCH($D84,Objectius!$A$2:$A$183,0)),""))</f>
        <v/>
      </c>
      <c r="J84" s="11" t="n"/>
      <c r="K84" s="11" t="n"/>
      <c r="L84" s="11" t="n"/>
      <c r="M84" s="12" t="n"/>
      <c r="N84" s="11" t="n"/>
      <c r="O84" s="10">
        <f>IF($N84="","",IFERROR(INDEX('PLA ESTRATÈGIC'!$G$4:$G$452,MATCH($N84,'PLA ESTRATÈGIC'!$Q$4:$Q$452,0)),""))</f>
        <v/>
      </c>
      <c r="P84" s="10">
        <f>IF($N84="","",IFERROR(INDEX('PLA ESTRATÈGIC'!$H$4:$H$452,MATCH($N84,'PLA ESTRATÈGIC'!$Q$4:$Q$452,0)),""))</f>
        <v/>
      </c>
      <c r="Q84" s="13" t="n"/>
      <c r="R84" s="11" t="n"/>
      <c r="S84" s="11" t="n"/>
      <c r="T84" s="11" t="n"/>
      <c r="U84" s="11" t="n"/>
      <c r="V84" s="10">
        <f>IF(COUNTA($C84,$D84,$J84,$M84)=0,"",IF(TRIM(IF($C84="","Falta l'actuació. ","")&amp;IF($D84="","Falta l'objectiu. ","")&amp;IF($J84="","Falta el tipus de despesa. ","")&amp;IF(AND($J84&lt;&gt;"",$J84&lt;&gt;"Mitjans propis",$J84&lt;&gt;"Altres",$M84=""),"Falta l'import. ","")&amp;IF(AND($J84="Contracte menor a càrrec del RAE",$K84=""),"Falta la partida RAE. ","")&amp;IF(AND($B84&lt;&gt;"",COUNTIF($B$6:$B$705,$B84)&gt;1),"Codi RAE repetit. ","")&amp;IF(AND($B84&lt;&gt;"",$J84&lt;&gt;"",$J84&lt;&gt;"Contracte menor a càrrec del RAE"),"Té codi RAE però no és de tipus RAE. ","")&amp;IF($N84="","Falta l'indicador del Pla. ","")&amp;IF($R84="","Falta el gestor. ","")&amp;IF($S84="","Falta indicar si és recurrent. ",""))="","✔",TRIM(IF($C84="","Falta l'actuació. ","")&amp;IF($D84="","Falta l'objectiu. ","")&amp;IF($J84="","Falta el tipus de despesa. ","")&amp;IF(AND($J84&lt;&gt;"",$J84&lt;&gt;"Mitjans propis",$J84&lt;&gt;"Altres",$M84=""),"Falta l'import. ","")&amp;IF(AND($J84="Contracte menor a càrrec del RAE",$K84=""),"Falta la partida RAE. ","")&amp;IF(AND($B84&lt;&gt;"",COUNTIF($B$6:$B$705,$B84)&gt;1),"Codi RAE repetit. ","")&amp;IF(AND($B84&lt;&gt;"",$J84&lt;&gt;"",$J84&lt;&gt;"Contracte menor a càrrec del RAE"),"Té codi RAE però no és de tipus RAE. ","")&amp;IF($N84="","Falta l'indicador del Pla. ","")&amp;IF($R84="","Falta el gestor. ","")&amp;IF($S84="","Falta indicar si és recurrent. ",""))))</f>
        <v/>
      </c>
    </row>
    <row r="85">
      <c r="A85" s="10">
        <f>IF($D85="","","27_"&amp;IFERROR(INDEX(Objectius!$E$2:$E$183,MATCH($D85,Objectius!$A$2:$A$183,0)),"??")&amp;"_"&amp;TEXT(COUNTIF($I$6:$I85,$I85),"00"))</f>
        <v/>
      </c>
      <c r="B85" s="11" t="n"/>
      <c r="C85" s="11" t="n"/>
      <c r="D85" s="11" t="n"/>
      <c r="E85" s="10">
        <f>IF($D85="","",IFERROR(INDEX(Objectius!$C$2:$C$183,MATCH($D85,Objectius!$A$2:$A$183,0)),"Objectiu no trobat al Pla"))</f>
        <v/>
      </c>
      <c r="F85" s="11" t="n"/>
      <c r="G85" s="11" t="n"/>
      <c r="H85" s="11" t="n"/>
      <c r="I85" s="10">
        <f>IF($D85="","",IFERROR(INDEX(Objectius!$D$2:$D$183,MATCH($D85,Objectius!$A$2:$A$183,0)),""))</f>
        <v/>
      </c>
      <c r="J85" s="11" t="n"/>
      <c r="K85" s="11" t="n"/>
      <c r="L85" s="11" t="n"/>
      <c r="M85" s="12" t="n"/>
      <c r="N85" s="11" t="n"/>
      <c r="O85" s="10">
        <f>IF($N85="","",IFERROR(INDEX('PLA ESTRATÈGIC'!$G$4:$G$452,MATCH($N85,'PLA ESTRATÈGIC'!$Q$4:$Q$452,0)),""))</f>
        <v/>
      </c>
      <c r="P85" s="10">
        <f>IF($N85="","",IFERROR(INDEX('PLA ESTRATÈGIC'!$H$4:$H$452,MATCH($N85,'PLA ESTRATÈGIC'!$Q$4:$Q$452,0)),""))</f>
        <v/>
      </c>
      <c r="Q85" s="13" t="n"/>
      <c r="R85" s="11" t="n"/>
      <c r="S85" s="11" t="n"/>
      <c r="T85" s="11" t="n"/>
      <c r="U85" s="11" t="n"/>
      <c r="V85" s="10">
        <f>IF(COUNTA($C85,$D85,$J85,$M85)=0,"",IF(TRIM(IF($C85="","Falta l'actuació. ","")&amp;IF($D85="","Falta l'objectiu. ","")&amp;IF($J85="","Falta el tipus de despesa. ","")&amp;IF(AND($J85&lt;&gt;"",$J85&lt;&gt;"Mitjans propis",$J85&lt;&gt;"Altres",$M85=""),"Falta l'import. ","")&amp;IF(AND($J85="Contracte menor a càrrec del RAE",$K85=""),"Falta la partida RAE. ","")&amp;IF(AND($B85&lt;&gt;"",COUNTIF($B$6:$B$705,$B85)&gt;1),"Codi RAE repetit. ","")&amp;IF(AND($B85&lt;&gt;"",$J85&lt;&gt;"",$J85&lt;&gt;"Contracte menor a càrrec del RAE"),"Té codi RAE però no és de tipus RAE. ","")&amp;IF($N85="","Falta l'indicador del Pla. ","")&amp;IF($R85="","Falta el gestor. ","")&amp;IF($S85="","Falta indicar si és recurrent. ",""))="","✔",TRIM(IF($C85="","Falta l'actuació. ","")&amp;IF($D85="","Falta l'objectiu. ","")&amp;IF($J85="","Falta el tipus de despesa. ","")&amp;IF(AND($J85&lt;&gt;"",$J85&lt;&gt;"Mitjans propis",$J85&lt;&gt;"Altres",$M85=""),"Falta l'import. ","")&amp;IF(AND($J85="Contracte menor a càrrec del RAE",$K85=""),"Falta la partida RAE. ","")&amp;IF(AND($B85&lt;&gt;"",COUNTIF($B$6:$B$705,$B85)&gt;1),"Codi RAE repetit. ","")&amp;IF(AND($B85&lt;&gt;"",$J85&lt;&gt;"",$J85&lt;&gt;"Contracte menor a càrrec del RAE"),"Té codi RAE però no és de tipus RAE. ","")&amp;IF($N85="","Falta l'indicador del Pla. ","")&amp;IF($R85="","Falta el gestor. ","")&amp;IF($S85="","Falta indicar si és recurrent. ",""))))</f>
        <v/>
      </c>
    </row>
    <row r="86">
      <c r="A86" s="10">
        <f>IF($D86="","","27_"&amp;IFERROR(INDEX(Objectius!$E$2:$E$183,MATCH($D86,Objectius!$A$2:$A$183,0)),"??")&amp;"_"&amp;TEXT(COUNTIF($I$6:$I86,$I86),"00"))</f>
        <v/>
      </c>
      <c r="B86" s="11" t="n"/>
      <c r="C86" s="11" t="n"/>
      <c r="D86" s="11" t="n"/>
      <c r="E86" s="10">
        <f>IF($D86="","",IFERROR(INDEX(Objectius!$C$2:$C$183,MATCH($D86,Objectius!$A$2:$A$183,0)),"Objectiu no trobat al Pla"))</f>
        <v/>
      </c>
      <c r="F86" s="11" t="n"/>
      <c r="G86" s="11" t="n"/>
      <c r="H86" s="11" t="n"/>
      <c r="I86" s="10">
        <f>IF($D86="","",IFERROR(INDEX(Objectius!$D$2:$D$183,MATCH($D86,Objectius!$A$2:$A$183,0)),""))</f>
        <v/>
      </c>
      <c r="J86" s="11" t="n"/>
      <c r="K86" s="11" t="n"/>
      <c r="L86" s="11" t="n"/>
      <c r="M86" s="12" t="n"/>
      <c r="N86" s="11" t="n"/>
      <c r="O86" s="10">
        <f>IF($N86="","",IFERROR(INDEX('PLA ESTRATÈGIC'!$G$4:$G$452,MATCH($N86,'PLA ESTRATÈGIC'!$Q$4:$Q$452,0)),""))</f>
        <v/>
      </c>
      <c r="P86" s="10">
        <f>IF($N86="","",IFERROR(INDEX('PLA ESTRATÈGIC'!$H$4:$H$452,MATCH($N86,'PLA ESTRATÈGIC'!$Q$4:$Q$452,0)),""))</f>
        <v/>
      </c>
      <c r="Q86" s="13" t="n"/>
      <c r="R86" s="11" t="n"/>
      <c r="S86" s="11" t="n"/>
      <c r="T86" s="11" t="n"/>
      <c r="U86" s="11" t="n"/>
      <c r="V86" s="10">
        <f>IF(COUNTA($C86,$D86,$J86,$M86)=0,"",IF(TRIM(IF($C86="","Falta l'actuació. ","")&amp;IF($D86="","Falta l'objectiu. ","")&amp;IF($J86="","Falta el tipus de despesa. ","")&amp;IF(AND($J86&lt;&gt;"",$J86&lt;&gt;"Mitjans propis",$J86&lt;&gt;"Altres",$M86=""),"Falta l'import. ","")&amp;IF(AND($J86="Contracte menor a càrrec del RAE",$K86=""),"Falta la partida RAE. ","")&amp;IF(AND($B86&lt;&gt;"",COUNTIF($B$6:$B$705,$B86)&gt;1),"Codi RAE repetit. ","")&amp;IF(AND($B86&lt;&gt;"",$J86&lt;&gt;"",$J86&lt;&gt;"Contracte menor a càrrec del RAE"),"Té codi RAE però no és de tipus RAE. ","")&amp;IF($N86="","Falta l'indicador del Pla. ","")&amp;IF($R86="","Falta el gestor. ","")&amp;IF($S86="","Falta indicar si és recurrent. ",""))="","✔",TRIM(IF($C86="","Falta l'actuació. ","")&amp;IF($D86="","Falta l'objectiu. ","")&amp;IF($J86="","Falta el tipus de despesa. ","")&amp;IF(AND($J86&lt;&gt;"",$J86&lt;&gt;"Mitjans propis",$J86&lt;&gt;"Altres",$M86=""),"Falta l'import. ","")&amp;IF(AND($J86="Contracte menor a càrrec del RAE",$K86=""),"Falta la partida RAE. ","")&amp;IF(AND($B86&lt;&gt;"",COUNTIF($B$6:$B$705,$B86)&gt;1),"Codi RAE repetit. ","")&amp;IF(AND($B86&lt;&gt;"",$J86&lt;&gt;"",$J86&lt;&gt;"Contracte menor a càrrec del RAE"),"Té codi RAE però no és de tipus RAE. ","")&amp;IF($N86="","Falta l'indicador del Pla. ","")&amp;IF($R86="","Falta el gestor. ","")&amp;IF($S86="","Falta indicar si és recurrent. ",""))))</f>
        <v/>
      </c>
    </row>
    <row r="87">
      <c r="A87" s="10">
        <f>IF($D87="","","27_"&amp;IFERROR(INDEX(Objectius!$E$2:$E$183,MATCH($D87,Objectius!$A$2:$A$183,0)),"??")&amp;"_"&amp;TEXT(COUNTIF($I$6:$I87,$I87),"00"))</f>
        <v/>
      </c>
      <c r="B87" s="11" t="n"/>
      <c r="C87" s="11" t="n"/>
      <c r="D87" s="11" t="n"/>
      <c r="E87" s="10">
        <f>IF($D87="","",IFERROR(INDEX(Objectius!$C$2:$C$183,MATCH($D87,Objectius!$A$2:$A$183,0)),"Objectiu no trobat al Pla"))</f>
        <v/>
      </c>
      <c r="F87" s="11" t="n"/>
      <c r="G87" s="11" t="n"/>
      <c r="H87" s="11" t="n"/>
      <c r="I87" s="10">
        <f>IF($D87="","",IFERROR(INDEX(Objectius!$D$2:$D$183,MATCH($D87,Objectius!$A$2:$A$183,0)),""))</f>
        <v/>
      </c>
      <c r="J87" s="11" t="n"/>
      <c r="K87" s="11" t="n"/>
      <c r="L87" s="11" t="n"/>
      <c r="M87" s="12" t="n"/>
      <c r="N87" s="11" t="n"/>
      <c r="O87" s="10">
        <f>IF($N87="","",IFERROR(INDEX('PLA ESTRATÈGIC'!$G$4:$G$452,MATCH($N87,'PLA ESTRATÈGIC'!$Q$4:$Q$452,0)),""))</f>
        <v/>
      </c>
      <c r="P87" s="10">
        <f>IF($N87="","",IFERROR(INDEX('PLA ESTRATÈGIC'!$H$4:$H$452,MATCH($N87,'PLA ESTRATÈGIC'!$Q$4:$Q$452,0)),""))</f>
        <v/>
      </c>
      <c r="Q87" s="13" t="n"/>
      <c r="R87" s="11" t="n"/>
      <c r="S87" s="11" t="n"/>
      <c r="T87" s="11" t="n"/>
      <c r="U87" s="11" t="n"/>
      <c r="V87" s="10">
        <f>IF(COUNTA($C87,$D87,$J87,$M87)=0,"",IF(TRIM(IF($C87="","Falta l'actuació. ","")&amp;IF($D87="","Falta l'objectiu. ","")&amp;IF($J87="","Falta el tipus de despesa. ","")&amp;IF(AND($J87&lt;&gt;"",$J87&lt;&gt;"Mitjans propis",$J87&lt;&gt;"Altres",$M87=""),"Falta l'import. ","")&amp;IF(AND($J87="Contracte menor a càrrec del RAE",$K87=""),"Falta la partida RAE. ","")&amp;IF(AND($B87&lt;&gt;"",COUNTIF($B$6:$B$705,$B87)&gt;1),"Codi RAE repetit. ","")&amp;IF(AND($B87&lt;&gt;"",$J87&lt;&gt;"",$J87&lt;&gt;"Contracte menor a càrrec del RAE"),"Té codi RAE però no és de tipus RAE. ","")&amp;IF($N87="","Falta l'indicador del Pla. ","")&amp;IF($R87="","Falta el gestor. ","")&amp;IF($S87="","Falta indicar si és recurrent. ",""))="","✔",TRIM(IF($C87="","Falta l'actuació. ","")&amp;IF($D87="","Falta l'objectiu. ","")&amp;IF($J87="","Falta el tipus de despesa. ","")&amp;IF(AND($J87&lt;&gt;"",$J87&lt;&gt;"Mitjans propis",$J87&lt;&gt;"Altres",$M87=""),"Falta l'import. ","")&amp;IF(AND($J87="Contracte menor a càrrec del RAE",$K87=""),"Falta la partida RAE. ","")&amp;IF(AND($B87&lt;&gt;"",COUNTIF($B$6:$B$705,$B87)&gt;1),"Codi RAE repetit. ","")&amp;IF(AND($B87&lt;&gt;"",$J87&lt;&gt;"",$J87&lt;&gt;"Contracte menor a càrrec del RAE"),"Té codi RAE però no és de tipus RAE. ","")&amp;IF($N87="","Falta l'indicador del Pla. ","")&amp;IF($R87="","Falta el gestor. ","")&amp;IF($S87="","Falta indicar si és recurrent. ",""))))</f>
        <v/>
      </c>
    </row>
    <row r="88">
      <c r="A88" s="10">
        <f>IF($D88="","","27_"&amp;IFERROR(INDEX(Objectius!$E$2:$E$183,MATCH($D88,Objectius!$A$2:$A$183,0)),"??")&amp;"_"&amp;TEXT(COUNTIF($I$6:$I88,$I88),"00"))</f>
        <v/>
      </c>
      <c r="B88" s="11" t="n"/>
      <c r="C88" s="11" t="n"/>
      <c r="D88" s="11" t="n"/>
      <c r="E88" s="10">
        <f>IF($D88="","",IFERROR(INDEX(Objectius!$C$2:$C$183,MATCH($D88,Objectius!$A$2:$A$183,0)),"Objectiu no trobat al Pla"))</f>
        <v/>
      </c>
      <c r="F88" s="11" t="n"/>
      <c r="G88" s="11" t="n"/>
      <c r="H88" s="11" t="n"/>
      <c r="I88" s="10">
        <f>IF($D88="","",IFERROR(INDEX(Objectius!$D$2:$D$183,MATCH($D88,Objectius!$A$2:$A$183,0)),""))</f>
        <v/>
      </c>
      <c r="J88" s="11" t="n"/>
      <c r="K88" s="11" t="n"/>
      <c r="L88" s="11" t="n"/>
      <c r="M88" s="12" t="n"/>
      <c r="N88" s="11" t="n"/>
      <c r="O88" s="10">
        <f>IF($N88="","",IFERROR(INDEX('PLA ESTRATÈGIC'!$G$4:$G$452,MATCH($N88,'PLA ESTRATÈGIC'!$Q$4:$Q$452,0)),""))</f>
        <v/>
      </c>
      <c r="P88" s="10">
        <f>IF($N88="","",IFERROR(INDEX('PLA ESTRATÈGIC'!$H$4:$H$452,MATCH($N88,'PLA ESTRATÈGIC'!$Q$4:$Q$452,0)),""))</f>
        <v/>
      </c>
      <c r="Q88" s="13" t="n"/>
      <c r="R88" s="11" t="n"/>
      <c r="S88" s="11" t="n"/>
      <c r="T88" s="11" t="n"/>
      <c r="U88" s="11" t="n"/>
      <c r="V88" s="10">
        <f>IF(COUNTA($C88,$D88,$J88,$M88)=0,"",IF(TRIM(IF($C88="","Falta l'actuació. ","")&amp;IF($D88="","Falta l'objectiu. ","")&amp;IF($J88="","Falta el tipus de despesa. ","")&amp;IF(AND($J88&lt;&gt;"",$J88&lt;&gt;"Mitjans propis",$J88&lt;&gt;"Altres",$M88=""),"Falta l'import. ","")&amp;IF(AND($J88="Contracte menor a càrrec del RAE",$K88=""),"Falta la partida RAE. ","")&amp;IF(AND($B88&lt;&gt;"",COUNTIF($B$6:$B$705,$B88)&gt;1),"Codi RAE repetit. ","")&amp;IF(AND($B88&lt;&gt;"",$J88&lt;&gt;"",$J88&lt;&gt;"Contracte menor a càrrec del RAE"),"Té codi RAE però no és de tipus RAE. ","")&amp;IF($N88="","Falta l'indicador del Pla. ","")&amp;IF($R88="","Falta el gestor. ","")&amp;IF($S88="","Falta indicar si és recurrent. ",""))="","✔",TRIM(IF($C88="","Falta l'actuació. ","")&amp;IF($D88="","Falta l'objectiu. ","")&amp;IF($J88="","Falta el tipus de despesa. ","")&amp;IF(AND($J88&lt;&gt;"",$J88&lt;&gt;"Mitjans propis",$J88&lt;&gt;"Altres",$M88=""),"Falta l'import. ","")&amp;IF(AND($J88="Contracte menor a càrrec del RAE",$K88=""),"Falta la partida RAE. ","")&amp;IF(AND($B88&lt;&gt;"",COUNTIF($B$6:$B$705,$B88)&gt;1),"Codi RAE repetit. ","")&amp;IF(AND($B88&lt;&gt;"",$J88&lt;&gt;"",$J88&lt;&gt;"Contracte menor a càrrec del RAE"),"Té codi RAE però no és de tipus RAE. ","")&amp;IF($N88="","Falta l'indicador del Pla. ","")&amp;IF($R88="","Falta el gestor. ","")&amp;IF($S88="","Falta indicar si és recurrent. ",""))))</f>
        <v/>
      </c>
    </row>
    <row r="89">
      <c r="A89" s="10">
        <f>IF($D89="","","27_"&amp;IFERROR(INDEX(Objectius!$E$2:$E$183,MATCH($D89,Objectius!$A$2:$A$183,0)),"??")&amp;"_"&amp;TEXT(COUNTIF($I$6:$I89,$I89),"00"))</f>
        <v/>
      </c>
      <c r="B89" s="11" t="n"/>
      <c r="C89" s="11" t="n"/>
      <c r="D89" s="11" t="n"/>
      <c r="E89" s="10">
        <f>IF($D89="","",IFERROR(INDEX(Objectius!$C$2:$C$183,MATCH($D89,Objectius!$A$2:$A$183,0)),"Objectiu no trobat al Pla"))</f>
        <v/>
      </c>
      <c r="F89" s="11" t="n"/>
      <c r="G89" s="11" t="n"/>
      <c r="H89" s="11" t="n"/>
      <c r="I89" s="10">
        <f>IF($D89="","",IFERROR(INDEX(Objectius!$D$2:$D$183,MATCH($D89,Objectius!$A$2:$A$183,0)),""))</f>
        <v/>
      </c>
      <c r="J89" s="11" t="n"/>
      <c r="K89" s="11" t="n"/>
      <c r="L89" s="11" t="n"/>
      <c r="M89" s="12" t="n"/>
      <c r="N89" s="11" t="n"/>
      <c r="O89" s="10">
        <f>IF($N89="","",IFERROR(INDEX('PLA ESTRATÈGIC'!$G$4:$G$452,MATCH($N89,'PLA ESTRATÈGIC'!$Q$4:$Q$452,0)),""))</f>
        <v/>
      </c>
      <c r="P89" s="10">
        <f>IF($N89="","",IFERROR(INDEX('PLA ESTRATÈGIC'!$H$4:$H$452,MATCH($N89,'PLA ESTRATÈGIC'!$Q$4:$Q$452,0)),""))</f>
        <v/>
      </c>
      <c r="Q89" s="13" t="n"/>
      <c r="R89" s="11" t="n"/>
      <c r="S89" s="11" t="n"/>
      <c r="T89" s="11" t="n"/>
      <c r="U89" s="11" t="n"/>
      <c r="V89" s="10">
        <f>IF(COUNTA($C89,$D89,$J89,$M89)=0,"",IF(TRIM(IF($C89="","Falta l'actuació. ","")&amp;IF($D89="","Falta l'objectiu. ","")&amp;IF($J89="","Falta el tipus de despesa. ","")&amp;IF(AND($J89&lt;&gt;"",$J89&lt;&gt;"Mitjans propis",$J89&lt;&gt;"Altres",$M89=""),"Falta l'import. ","")&amp;IF(AND($J89="Contracte menor a càrrec del RAE",$K89=""),"Falta la partida RAE. ","")&amp;IF(AND($B89&lt;&gt;"",COUNTIF($B$6:$B$705,$B89)&gt;1),"Codi RAE repetit. ","")&amp;IF(AND($B89&lt;&gt;"",$J89&lt;&gt;"",$J89&lt;&gt;"Contracte menor a càrrec del RAE"),"Té codi RAE però no és de tipus RAE. ","")&amp;IF($N89="","Falta l'indicador del Pla. ","")&amp;IF($R89="","Falta el gestor. ","")&amp;IF($S89="","Falta indicar si és recurrent. ",""))="","✔",TRIM(IF($C89="","Falta l'actuació. ","")&amp;IF($D89="","Falta l'objectiu. ","")&amp;IF($J89="","Falta el tipus de despesa. ","")&amp;IF(AND($J89&lt;&gt;"",$J89&lt;&gt;"Mitjans propis",$J89&lt;&gt;"Altres",$M89=""),"Falta l'import. ","")&amp;IF(AND($J89="Contracte menor a càrrec del RAE",$K89=""),"Falta la partida RAE. ","")&amp;IF(AND($B89&lt;&gt;"",COUNTIF($B$6:$B$705,$B89)&gt;1),"Codi RAE repetit. ","")&amp;IF(AND($B89&lt;&gt;"",$J89&lt;&gt;"",$J89&lt;&gt;"Contracte menor a càrrec del RAE"),"Té codi RAE però no és de tipus RAE. ","")&amp;IF($N89="","Falta l'indicador del Pla. ","")&amp;IF($R89="","Falta el gestor. ","")&amp;IF($S89="","Falta indicar si és recurrent. ",""))))</f>
        <v/>
      </c>
    </row>
    <row r="90">
      <c r="A90" s="10">
        <f>IF($D90="","","27_"&amp;IFERROR(INDEX(Objectius!$E$2:$E$183,MATCH($D90,Objectius!$A$2:$A$183,0)),"??")&amp;"_"&amp;TEXT(COUNTIF($I$6:$I90,$I90),"00"))</f>
        <v/>
      </c>
      <c r="B90" s="11" t="n"/>
      <c r="C90" s="11" t="n"/>
      <c r="D90" s="11" t="n"/>
      <c r="E90" s="10">
        <f>IF($D90="","",IFERROR(INDEX(Objectius!$C$2:$C$183,MATCH($D90,Objectius!$A$2:$A$183,0)),"Objectiu no trobat al Pla"))</f>
        <v/>
      </c>
      <c r="F90" s="11" t="n"/>
      <c r="G90" s="11" t="n"/>
      <c r="H90" s="11" t="n"/>
      <c r="I90" s="10">
        <f>IF($D90="","",IFERROR(INDEX(Objectius!$D$2:$D$183,MATCH($D90,Objectius!$A$2:$A$183,0)),""))</f>
        <v/>
      </c>
      <c r="J90" s="11" t="n"/>
      <c r="K90" s="11" t="n"/>
      <c r="L90" s="11" t="n"/>
      <c r="M90" s="12" t="n"/>
      <c r="N90" s="11" t="n"/>
      <c r="O90" s="10">
        <f>IF($N90="","",IFERROR(INDEX('PLA ESTRATÈGIC'!$G$4:$G$452,MATCH($N90,'PLA ESTRATÈGIC'!$Q$4:$Q$452,0)),""))</f>
        <v/>
      </c>
      <c r="P90" s="10">
        <f>IF($N90="","",IFERROR(INDEX('PLA ESTRATÈGIC'!$H$4:$H$452,MATCH($N90,'PLA ESTRATÈGIC'!$Q$4:$Q$452,0)),""))</f>
        <v/>
      </c>
      <c r="Q90" s="13" t="n"/>
      <c r="R90" s="11" t="n"/>
      <c r="S90" s="11" t="n"/>
      <c r="T90" s="11" t="n"/>
      <c r="U90" s="11" t="n"/>
      <c r="V90" s="10">
        <f>IF(COUNTA($C90,$D90,$J90,$M90)=0,"",IF(TRIM(IF($C90="","Falta l'actuació. ","")&amp;IF($D90="","Falta l'objectiu. ","")&amp;IF($J90="","Falta el tipus de despesa. ","")&amp;IF(AND($J90&lt;&gt;"",$J90&lt;&gt;"Mitjans propis",$J90&lt;&gt;"Altres",$M90=""),"Falta l'import. ","")&amp;IF(AND($J90="Contracte menor a càrrec del RAE",$K90=""),"Falta la partida RAE. ","")&amp;IF(AND($B90&lt;&gt;"",COUNTIF($B$6:$B$705,$B90)&gt;1),"Codi RAE repetit. ","")&amp;IF(AND($B90&lt;&gt;"",$J90&lt;&gt;"",$J90&lt;&gt;"Contracte menor a càrrec del RAE"),"Té codi RAE però no és de tipus RAE. ","")&amp;IF($N90="","Falta l'indicador del Pla. ","")&amp;IF($R90="","Falta el gestor. ","")&amp;IF($S90="","Falta indicar si és recurrent. ",""))="","✔",TRIM(IF($C90="","Falta l'actuació. ","")&amp;IF($D90="","Falta l'objectiu. ","")&amp;IF($J90="","Falta el tipus de despesa. ","")&amp;IF(AND($J90&lt;&gt;"",$J90&lt;&gt;"Mitjans propis",$J90&lt;&gt;"Altres",$M90=""),"Falta l'import. ","")&amp;IF(AND($J90="Contracte menor a càrrec del RAE",$K90=""),"Falta la partida RAE. ","")&amp;IF(AND($B90&lt;&gt;"",COUNTIF($B$6:$B$705,$B90)&gt;1),"Codi RAE repetit. ","")&amp;IF(AND($B90&lt;&gt;"",$J90&lt;&gt;"",$J90&lt;&gt;"Contracte menor a càrrec del RAE"),"Té codi RAE però no és de tipus RAE. ","")&amp;IF($N90="","Falta l'indicador del Pla. ","")&amp;IF($R90="","Falta el gestor. ","")&amp;IF($S90="","Falta indicar si és recurrent. ",""))))</f>
        <v/>
      </c>
    </row>
    <row r="91">
      <c r="A91" s="10">
        <f>IF($D91="","","27_"&amp;IFERROR(INDEX(Objectius!$E$2:$E$183,MATCH($D91,Objectius!$A$2:$A$183,0)),"??")&amp;"_"&amp;TEXT(COUNTIF($I$6:$I91,$I91),"00"))</f>
        <v/>
      </c>
      <c r="B91" s="11" t="n"/>
      <c r="C91" s="11" t="n"/>
      <c r="D91" s="11" t="n"/>
      <c r="E91" s="10">
        <f>IF($D91="","",IFERROR(INDEX(Objectius!$C$2:$C$183,MATCH($D91,Objectius!$A$2:$A$183,0)),"Objectiu no trobat al Pla"))</f>
        <v/>
      </c>
      <c r="F91" s="11" t="n"/>
      <c r="G91" s="11" t="n"/>
      <c r="H91" s="11" t="n"/>
      <c r="I91" s="10">
        <f>IF($D91="","",IFERROR(INDEX(Objectius!$D$2:$D$183,MATCH($D91,Objectius!$A$2:$A$183,0)),""))</f>
        <v/>
      </c>
      <c r="J91" s="11" t="n"/>
      <c r="K91" s="11" t="n"/>
      <c r="L91" s="11" t="n"/>
      <c r="M91" s="12" t="n"/>
      <c r="N91" s="11" t="n"/>
      <c r="O91" s="10">
        <f>IF($N91="","",IFERROR(INDEX('PLA ESTRATÈGIC'!$G$4:$G$452,MATCH($N91,'PLA ESTRATÈGIC'!$Q$4:$Q$452,0)),""))</f>
        <v/>
      </c>
      <c r="P91" s="10">
        <f>IF($N91="","",IFERROR(INDEX('PLA ESTRATÈGIC'!$H$4:$H$452,MATCH($N91,'PLA ESTRATÈGIC'!$Q$4:$Q$452,0)),""))</f>
        <v/>
      </c>
      <c r="Q91" s="13" t="n"/>
      <c r="R91" s="11" t="n"/>
      <c r="S91" s="11" t="n"/>
      <c r="T91" s="11" t="n"/>
      <c r="U91" s="11" t="n"/>
      <c r="V91" s="10">
        <f>IF(COUNTA($C91,$D91,$J91,$M91)=0,"",IF(TRIM(IF($C91="","Falta l'actuació. ","")&amp;IF($D91="","Falta l'objectiu. ","")&amp;IF($J91="","Falta el tipus de despesa. ","")&amp;IF(AND($J91&lt;&gt;"",$J91&lt;&gt;"Mitjans propis",$J91&lt;&gt;"Altres",$M91=""),"Falta l'import. ","")&amp;IF(AND($J91="Contracte menor a càrrec del RAE",$K91=""),"Falta la partida RAE. ","")&amp;IF(AND($B91&lt;&gt;"",COUNTIF($B$6:$B$705,$B91)&gt;1),"Codi RAE repetit. ","")&amp;IF(AND($B91&lt;&gt;"",$J91&lt;&gt;"",$J91&lt;&gt;"Contracte menor a càrrec del RAE"),"Té codi RAE però no és de tipus RAE. ","")&amp;IF($N91="","Falta l'indicador del Pla. ","")&amp;IF($R91="","Falta el gestor. ","")&amp;IF($S91="","Falta indicar si és recurrent. ",""))="","✔",TRIM(IF($C91="","Falta l'actuació. ","")&amp;IF($D91="","Falta l'objectiu. ","")&amp;IF($J91="","Falta el tipus de despesa. ","")&amp;IF(AND($J91&lt;&gt;"",$J91&lt;&gt;"Mitjans propis",$J91&lt;&gt;"Altres",$M91=""),"Falta l'import. ","")&amp;IF(AND($J91="Contracte menor a càrrec del RAE",$K91=""),"Falta la partida RAE. ","")&amp;IF(AND($B91&lt;&gt;"",COUNTIF($B$6:$B$705,$B91)&gt;1),"Codi RAE repetit. ","")&amp;IF(AND($B91&lt;&gt;"",$J91&lt;&gt;"",$J91&lt;&gt;"Contracte menor a càrrec del RAE"),"Té codi RAE però no és de tipus RAE. ","")&amp;IF($N91="","Falta l'indicador del Pla. ","")&amp;IF($R91="","Falta el gestor. ","")&amp;IF($S91="","Falta indicar si és recurrent. ",""))))</f>
        <v/>
      </c>
    </row>
    <row r="92">
      <c r="A92" s="10">
        <f>IF($D92="","","27_"&amp;IFERROR(INDEX(Objectius!$E$2:$E$183,MATCH($D92,Objectius!$A$2:$A$183,0)),"??")&amp;"_"&amp;TEXT(COUNTIF($I$6:$I92,$I92),"00"))</f>
        <v/>
      </c>
      <c r="B92" s="11" t="n"/>
      <c r="C92" s="11" t="n"/>
      <c r="D92" s="11" t="n"/>
      <c r="E92" s="10">
        <f>IF($D92="","",IFERROR(INDEX(Objectius!$C$2:$C$183,MATCH($D92,Objectius!$A$2:$A$183,0)),"Objectiu no trobat al Pla"))</f>
        <v/>
      </c>
      <c r="F92" s="11" t="n"/>
      <c r="G92" s="11" t="n"/>
      <c r="H92" s="11" t="n"/>
      <c r="I92" s="10">
        <f>IF($D92="","",IFERROR(INDEX(Objectius!$D$2:$D$183,MATCH($D92,Objectius!$A$2:$A$183,0)),""))</f>
        <v/>
      </c>
      <c r="J92" s="11" t="n"/>
      <c r="K92" s="11" t="n"/>
      <c r="L92" s="11" t="n"/>
      <c r="M92" s="12" t="n"/>
      <c r="N92" s="11" t="n"/>
      <c r="O92" s="10">
        <f>IF($N92="","",IFERROR(INDEX('PLA ESTRATÈGIC'!$G$4:$G$452,MATCH($N92,'PLA ESTRATÈGIC'!$Q$4:$Q$452,0)),""))</f>
        <v/>
      </c>
      <c r="P92" s="10">
        <f>IF($N92="","",IFERROR(INDEX('PLA ESTRATÈGIC'!$H$4:$H$452,MATCH($N92,'PLA ESTRATÈGIC'!$Q$4:$Q$452,0)),""))</f>
        <v/>
      </c>
      <c r="Q92" s="13" t="n"/>
      <c r="R92" s="11" t="n"/>
      <c r="S92" s="11" t="n"/>
      <c r="T92" s="11" t="n"/>
      <c r="U92" s="11" t="n"/>
      <c r="V92" s="10">
        <f>IF(COUNTA($C92,$D92,$J92,$M92)=0,"",IF(TRIM(IF($C92="","Falta l'actuació. ","")&amp;IF($D92="","Falta l'objectiu. ","")&amp;IF($J92="","Falta el tipus de despesa. ","")&amp;IF(AND($J92&lt;&gt;"",$J92&lt;&gt;"Mitjans propis",$J92&lt;&gt;"Altres",$M92=""),"Falta l'import. ","")&amp;IF(AND($J92="Contracte menor a càrrec del RAE",$K92=""),"Falta la partida RAE. ","")&amp;IF(AND($B92&lt;&gt;"",COUNTIF($B$6:$B$705,$B92)&gt;1),"Codi RAE repetit. ","")&amp;IF(AND($B92&lt;&gt;"",$J92&lt;&gt;"",$J92&lt;&gt;"Contracte menor a càrrec del RAE"),"Té codi RAE però no és de tipus RAE. ","")&amp;IF($N92="","Falta l'indicador del Pla. ","")&amp;IF($R92="","Falta el gestor. ","")&amp;IF($S92="","Falta indicar si és recurrent. ",""))="","✔",TRIM(IF($C92="","Falta l'actuació. ","")&amp;IF($D92="","Falta l'objectiu. ","")&amp;IF($J92="","Falta el tipus de despesa. ","")&amp;IF(AND($J92&lt;&gt;"",$J92&lt;&gt;"Mitjans propis",$J92&lt;&gt;"Altres",$M92=""),"Falta l'import. ","")&amp;IF(AND($J92="Contracte menor a càrrec del RAE",$K92=""),"Falta la partida RAE. ","")&amp;IF(AND($B92&lt;&gt;"",COUNTIF($B$6:$B$705,$B92)&gt;1),"Codi RAE repetit. ","")&amp;IF(AND($B92&lt;&gt;"",$J92&lt;&gt;"",$J92&lt;&gt;"Contracte menor a càrrec del RAE"),"Té codi RAE però no és de tipus RAE. ","")&amp;IF($N92="","Falta l'indicador del Pla. ","")&amp;IF($R92="","Falta el gestor. ","")&amp;IF($S92="","Falta indicar si és recurrent. ",""))))</f>
        <v/>
      </c>
    </row>
    <row r="93">
      <c r="A93" s="10">
        <f>IF($D93="","","27_"&amp;IFERROR(INDEX(Objectius!$E$2:$E$183,MATCH($D93,Objectius!$A$2:$A$183,0)),"??")&amp;"_"&amp;TEXT(COUNTIF($I$6:$I93,$I93),"00"))</f>
        <v/>
      </c>
      <c r="B93" s="11" t="n"/>
      <c r="C93" s="11" t="n"/>
      <c r="D93" s="11" t="n"/>
      <c r="E93" s="10">
        <f>IF($D93="","",IFERROR(INDEX(Objectius!$C$2:$C$183,MATCH($D93,Objectius!$A$2:$A$183,0)),"Objectiu no trobat al Pla"))</f>
        <v/>
      </c>
      <c r="F93" s="11" t="n"/>
      <c r="G93" s="11" t="n"/>
      <c r="H93" s="11" t="n"/>
      <c r="I93" s="10">
        <f>IF($D93="","",IFERROR(INDEX(Objectius!$D$2:$D$183,MATCH($D93,Objectius!$A$2:$A$183,0)),""))</f>
        <v/>
      </c>
      <c r="J93" s="11" t="n"/>
      <c r="K93" s="11" t="n"/>
      <c r="L93" s="11" t="n"/>
      <c r="M93" s="12" t="n"/>
      <c r="N93" s="11" t="n"/>
      <c r="O93" s="10">
        <f>IF($N93="","",IFERROR(INDEX('PLA ESTRATÈGIC'!$G$4:$G$452,MATCH($N93,'PLA ESTRATÈGIC'!$Q$4:$Q$452,0)),""))</f>
        <v/>
      </c>
      <c r="P93" s="10">
        <f>IF($N93="","",IFERROR(INDEX('PLA ESTRATÈGIC'!$H$4:$H$452,MATCH($N93,'PLA ESTRATÈGIC'!$Q$4:$Q$452,0)),""))</f>
        <v/>
      </c>
      <c r="Q93" s="13" t="n"/>
      <c r="R93" s="11" t="n"/>
      <c r="S93" s="11" t="n"/>
      <c r="T93" s="11" t="n"/>
      <c r="U93" s="11" t="n"/>
      <c r="V93" s="10">
        <f>IF(COUNTA($C93,$D93,$J93,$M93)=0,"",IF(TRIM(IF($C93="","Falta l'actuació. ","")&amp;IF($D93="","Falta l'objectiu. ","")&amp;IF($J93="","Falta el tipus de despesa. ","")&amp;IF(AND($J93&lt;&gt;"",$J93&lt;&gt;"Mitjans propis",$J93&lt;&gt;"Altres",$M93=""),"Falta l'import. ","")&amp;IF(AND($J93="Contracte menor a càrrec del RAE",$K93=""),"Falta la partida RAE. ","")&amp;IF(AND($B93&lt;&gt;"",COUNTIF($B$6:$B$705,$B93)&gt;1),"Codi RAE repetit. ","")&amp;IF(AND($B93&lt;&gt;"",$J93&lt;&gt;"",$J93&lt;&gt;"Contracte menor a càrrec del RAE"),"Té codi RAE però no és de tipus RAE. ","")&amp;IF($N93="","Falta l'indicador del Pla. ","")&amp;IF($R93="","Falta el gestor. ","")&amp;IF($S93="","Falta indicar si és recurrent. ",""))="","✔",TRIM(IF($C93="","Falta l'actuació. ","")&amp;IF($D93="","Falta l'objectiu. ","")&amp;IF($J93="","Falta el tipus de despesa. ","")&amp;IF(AND($J93&lt;&gt;"",$J93&lt;&gt;"Mitjans propis",$J93&lt;&gt;"Altres",$M93=""),"Falta l'import. ","")&amp;IF(AND($J93="Contracte menor a càrrec del RAE",$K93=""),"Falta la partida RAE. ","")&amp;IF(AND($B93&lt;&gt;"",COUNTIF($B$6:$B$705,$B93)&gt;1),"Codi RAE repetit. ","")&amp;IF(AND($B93&lt;&gt;"",$J93&lt;&gt;"",$J93&lt;&gt;"Contracte menor a càrrec del RAE"),"Té codi RAE però no és de tipus RAE. ","")&amp;IF($N93="","Falta l'indicador del Pla. ","")&amp;IF($R93="","Falta el gestor. ","")&amp;IF($S93="","Falta indicar si és recurrent. ",""))))</f>
        <v/>
      </c>
    </row>
    <row r="94">
      <c r="A94" s="10">
        <f>IF($D94="","","27_"&amp;IFERROR(INDEX(Objectius!$E$2:$E$183,MATCH($D94,Objectius!$A$2:$A$183,0)),"??")&amp;"_"&amp;TEXT(COUNTIF($I$6:$I94,$I94),"00"))</f>
        <v/>
      </c>
      <c r="B94" s="11" t="n"/>
      <c r="C94" s="11" t="n"/>
      <c r="D94" s="11" t="n"/>
      <c r="E94" s="10">
        <f>IF($D94="","",IFERROR(INDEX(Objectius!$C$2:$C$183,MATCH($D94,Objectius!$A$2:$A$183,0)),"Objectiu no trobat al Pla"))</f>
        <v/>
      </c>
      <c r="F94" s="11" t="n"/>
      <c r="G94" s="11" t="n"/>
      <c r="H94" s="11" t="n"/>
      <c r="I94" s="10">
        <f>IF($D94="","",IFERROR(INDEX(Objectius!$D$2:$D$183,MATCH($D94,Objectius!$A$2:$A$183,0)),""))</f>
        <v/>
      </c>
      <c r="J94" s="11" t="n"/>
      <c r="K94" s="11" t="n"/>
      <c r="L94" s="11" t="n"/>
      <c r="M94" s="12" t="n"/>
      <c r="N94" s="11" t="n"/>
      <c r="O94" s="10">
        <f>IF($N94="","",IFERROR(INDEX('PLA ESTRATÈGIC'!$G$4:$G$452,MATCH($N94,'PLA ESTRATÈGIC'!$Q$4:$Q$452,0)),""))</f>
        <v/>
      </c>
      <c r="P94" s="10">
        <f>IF($N94="","",IFERROR(INDEX('PLA ESTRATÈGIC'!$H$4:$H$452,MATCH($N94,'PLA ESTRATÈGIC'!$Q$4:$Q$452,0)),""))</f>
        <v/>
      </c>
      <c r="Q94" s="13" t="n"/>
      <c r="R94" s="11" t="n"/>
      <c r="S94" s="11" t="n"/>
      <c r="T94" s="11" t="n"/>
      <c r="U94" s="11" t="n"/>
      <c r="V94" s="10">
        <f>IF(COUNTA($C94,$D94,$J94,$M94)=0,"",IF(TRIM(IF($C94="","Falta l'actuació. ","")&amp;IF($D94="","Falta l'objectiu. ","")&amp;IF($J94="","Falta el tipus de despesa. ","")&amp;IF(AND($J94&lt;&gt;"",$J94&lt;&gt;"Mitjans propis",$J94&lt;&gt;"Altres",$M94=""),"Falta l'import. ","")&amp;IF(AND($J94="Contracte menor a càrrec del RAE",$K94=""),"Falta la partida RAE. ","")&amp;IF(AND($B94&lt;&gt;"",COUNTIF($B$6:$B$705,$B94)&gt;1),"Codi RAE repetit. ","")&amp;IF(AND($B94&lt;&gt;"",$J94&lt;&gt;"",$J94&lt;&gt;"Contracte menor a càrrec del RAE"),"Té codi RAE però no és de tipus RAE. ","")&amp;IF($N94="","Falta l'indicador del Pla. ","")&amp;IF($R94="","Falta el gestor. ","")&amp;IF($S94="","Falta indicar si és recurrent. ",""))="","✔",TRIM(IF($C94="","Falta l'actuació. ","")&amp;IF($D94="","Falta l'objectiu. ","")&amp;IF($J94="","Falta el tipus de despesa. ","")&amp;IF(AND($J94&lt;&gt;"",$J94&lt;&gt;"Mitjans propis",$J94&lt;&gt;"Altres",$M94=""),"Falta l'import. ","")&amp;IF(AND($J94="Contracte menor a càrrec del RAE",$K94=""),"Falta la partida RAE. ","")&amp;IF(AND($B94&lt;&gt;"",COUNTIF($B$6:$B$705,$B94)&gt;1),"Codi RAE repetit. ","")&amp;IF(AND($B94&lt;&gt;"",$J94&lt;&gt;"",$J94&lt;&gt;"Contracte menor a càrrec del RAE"),"Té codi RAE però no és de tipus RAE. ","")&amp;IF($N94="","Falta l'indicador del Pla. ","")&amp;IF($R94="","Falta el gestor. ","")&amp;IF($S94="","Falta indicar si és recurrent. ",""))))</f>
        <v/>
      </c>
    </row>
    <row r="95">
      <c r="A95" s="10">
        <f>IF($D95="","","27_"&amp;IFERROR(INDEX(Objectius!$E$2:$E$183,MATCH($D95,Objectius!$A$2:$A$183,0)),"??")&amp;"_"&amp;TEXT(COUNTIF($I$6:$I95,$I95),"00"))</f>
        <v/>
      </c>
      <c r="B95" s="11" t="n"/>
      <c r="C95" s="11" t="n"/>
      <c r="D95" s="11" t="n"/>
      <c r="E95" s="10">
        <f>IF($D95="","",IFERROR(INDEX(Objectius!$C$2:$C$183,MATCH($D95,Objectius!$A$2:$A$183,0)),"Objectiu no trobat al Pla"))</f>
        <v/>
      </c>
      <c r="F95" s="11" t="n"/>
      <c r="G95" s="11" t="n"/>
      <c r="H95" s="11" t="n"/>
      <c r="I95" s="10">
        <f>IF($D95="","",IFERROR(INDEX(Objectius!$D$2:$D$183,MATCH($D95,Objectius!$A$2:$A$183,0)),""))</f>
        <v/>
      </c>
      <c r="J95" s="11" t="n"/>
      <c r="K95" s="11" t="n"/>
      <c r="L95" s="11" t="n"/>
      <c r="M95" s="12" t="n"/>
      <c r="N95" s="11" t="n"/>
      <c r="O95" s="10">
        <f>IF($N95="","",IFERROR(INDEX('PLA ESTRATÈGIC'!$G$4:$G$452,MATCH($N95,'PLA ESTRATÈGIC'!$Q$4:$Q$452,0)),""))</f>
        <v/>
      </c>
      <c r="P95" s="10">
        <f>IF($N95="","",IFERROR(INDEX('PLA ESTRATÈGIC'!$H$4:$H$452,MATCH($N95,'PLA ESTRATÈGIC'!$Q$4:$Q$452,0)),""))</f>
        <v/>
      </c>
      <c r="Q95" s="13" t="n"/>
      <c r="R95" s="11" t="n"/>
      <c r="S95" s="11" t="n"/>
      <c r="T95" s="11" t="n"/>
      <c r="U95" s="11" t="n"/>
      <c r="V95" s="10">
        <f>IF(COUNTA($C95,$D95,$J95,$M95)=0,"",IF(TRIM(IF($C95="","Falta l'actuació. ","")&amp;IF($D95="","Falta l'objectiu. ","")&amp;IF($J95="","Falta el tipus de despesa. ","")&amp;IF(AND($J95&lt;&gt;"",$J95&lt;&gt;"Mitjans propis",$J95&lt;&gt;"Altres",$M95=""),"Falta l'import. ","")&amp;IF(AND($J95="Contracte menor a càrrec del RAE",$K95=""),"Falta la partida RAE. ","")&amp;IF(AND($B95&lt;&gt;"",COUNTIF($B$6:$B$705,$B95)&gt;1),"Codi RAE repetit. ","")&amp;IF(AND($B95&lt;&gt;"",$J95&lt;&gt;"",$J95&lt;&gt;"Contracte menor a càrrec del RAE"),"Té codi RAE però no és de tipus RAE. ","")&amp;IF($N95="","Falta l'indicador del Pla. ","")&amp;IF($R95="","Falta el gestor. ","")&amp;IF($S95="","Falta indicar si és recurrent. ",""))="","✔",TRIM(IF($C95="","Falta l'actuació. ","")&amp;IF($D95="","Falta l'objectiu. ","")&amp;IF($J95="","Falta el tipus de despesa. ","")&amp;IF(AND($J95&lt;&gt;"",$J95&lt;&gt;"Mitjans propis",$J95&lt;&gt;"Altres",$M95=""),"Falta l'import. ","")&amp;IF(AND($J95="Contracte menor a càrrec del RAE",$K95=""),"Falta la partida RAE. ","")&amp;IF(AND($B95&lt;&gt;"",COUNTIF($B$6:$B$705,$B95)&gt;1),"Codi RAE repetit. ","")&amp;IF(AND($B95&lt;&gt;"",$J95&lt;&gt;"",$J95&lt;&gt;"Contracte menor a càrrec del RAE"),"Té codi RAE però no és de tipus RAE. ","")&amp;IF($N95="","Falta l'indicador del Pla. ","")&amp;IF($R95="","Falta el gestor. ","")&amp;IF($S95="","Falta indicar si és recurrent. ",""))))</f>
        <v/>
      </c>
    </row>
    <row r="96">
      <c r="A96" s="10">
        <f>IF($D96="","","27_"&amp;IFERROR(INDEX(Objectius!$E$2:$E$183,MATCH($D96,Objectius!$A$2:$A$183,0)),"??")&amp;"_"&amp;TEXT(COUNTIF($I$6:$I96,$I96),"00"))</f>
        <v/>
      </c>
      <c r="B96" s="11" t="n"/>
      <c r="C96" s="11" t="n"/>
      <c r="D96" s="11" t="n"/>
      <c r="E96" s="10">
        <f>IF($D96="","",IFERROR(INDEX(Objectius!$C$2:$C$183,MATCH($D96,Objectius!$A$2:$A$183,0)),"Objectiu no trobat al Pla"))</f>
        <v/>
      </c>
      <c r="F96" s="11" t="n"/>
      <c r="G96" s="11" t="n"/>
      <c r="H96" s="11" t="n"/>
      <c r="I96" s="10">
        <f>IF($D96="","",IFERROR(INDEX(Objectius!$D$2:$D$183,MATCH($D96,Objectius!$A$2:$A$183,0)),""))</f>
        <v/>
      </c>
      <c r="J96" s="11" t="n"/>
      <c r="K96" s="11" t="n"/>
      <c r="L96" s="11" t="n"/>
      <c r="M96" s="12" t="n"/>
      <c r="N96" s="11" t="n"/>
      <c r="O96" s="10">
        <f>IF($N96="","",IFERROR(INDEX('PLA ESTRATÈGIC'!$G$4:$G$452,MATCH($N96,'PLA ESTRATÈGIC'!$Q$4:$Q$452,0)),""))</f>
        <v/>
      </c>
      <c r="P96" s="10">
        <f>IF($N96="","",IFERROR(INDEX('PLA ESTRATÈGIC'!$H$4:$H$452,MATCH($N96,'PLA ESTRATÈGIC'!$Q$4:$Q$452,0)),""))</f>
        <v/>
      </c>
      <c r="Q96" s="13" t="n"/>
      <c r="R96" s="11" t="n"/>
      <c r="S96" s="11" t="n"/>
      <c r="T96" s="11" t="n"/>
      <c r="U96" s="11" t="n"/>
      <c r="V96" s="10">
        <f>IF(COUNTA($C96,$D96,$J96,$M96)=0,"",IF(TRIM(IF($C96="","Falta l'actuació. ","")&amp;IF($D96="","Falta l'objectiu. ","")&amp;IF($J96="","Falta el tipus de despesa. ","")&amp;IF(AND($J96&lt;&gt;"",$J96&lt;&gt;"Mitjans propis",$J96&lt;&gt;"Altres",$M96=""),"Falta l'import. ","")&amp;IF(AND($J96="Contracte menor a càrrec del RAE",$K96=""),"Falta la partida RAE. ","")&amp;IF(AND($B96&lt;&gt;"",COUNTIF($B$6:$B$705,$B96)&gt;1),"Codi RAE repetit. ","")&amp;IF(AND($B96&lt;&gt;"",$J96&lt;&gt;"",$J96&lt;&gt;"Contracte menor a càrrec del RAE"),"Té codi RAE però no és de tipus RAE. ","")&amp;IF($N96="","Falta l'indicador del Pla. ","")&amp;IF($R96="","Falta el gestor. ","")&amp;IF($S96="","Falta indicar si és recurrent. ",""))="","✔",TRIM(IF($C96="","Falta l'actuació. ","")&amp;IF($D96="","Falta l'objectiu. ","")&amp;IF($J96="","Falta el tipus de despesa. ","")&amp;IF(AND($J96&lt;&gt;"",$J96&lt;&gt;"Mitjans propis",$J96&lt;&gt;"Altres",$M96=""),"Falta l'import. ","")&amp;IF(AND($J96="Contracte menor a càrrec del RAE",$K96=""),"Falta la partida RAE. ","")&amp;IF(AND($B96&lt;&gt;"",COUNTIF($B$6:$B$705,$B96)&gt;1),"Codi RAE repetit. ","")&amp;IF(AND($B96&lt;&gt;"",$J96&lt;&gt;"",$J96&lt;&gt;"Contracte menor a càrrec del RAE"),"Té codi RAE però no és de tipus RAE. ","")&amp;IF($N96="","Falta l'indicador del Pla. ","")&amp;IF($R96="","Falta el gestor. ","")&amp;IF($S96="","Falta indicar si és recurrent. ",""))))</f>
        <v/>
      </c>
    </row>
    <row r="97">
      <c r="A97" s="10">
        <f>IF($D97="","","27_"&amp;IFERROR(INDEX(Objectius!$E$2:$E$183,MATCH($D97,Objectius!$A$2:$A$183,0)),"??")&amp;"_"&amp;TEXT(COUNTIF($I$6:$I97,$I97),"00"))</f>
        <v/>
      </c>
      <c r="B97" s="11" t="n"/>
      <c r="C97" s="11" t="n"/>
      <c r="D97" s="11" t="n"/>
      <c r="E97" s="10">
        <f>IF($D97="","",IFERROR(INDEX(Objectius!$C$2:$C$183,MATCH($D97,Objectius!$A$2:$A$183,0)),"Objectiu no trobat al Pla"))</f>
        <v/>
      </c>
      <c r="F97" s="11" t="n"/>
      <c r="G97" s="11" t="n"/>
      <c r="H97" s="11" t="n"/>
      <c r="I97" s="10">
        <f>IF($D97="","",IFERROR(INDEX(Objectius!$D$2:$D$183,MATCH($D97,Objectius!$A$2:$A$183,0)),""))</f>
        <v/>
      </c>
      <c r="J97" s="11" t="n"/>
      <c r="K97" s="11" t="n"/>
      <c r="L97" s="11" t="n"/>
      <c r="M97" s="12" t="n"/>
      <c r="N97" s="11" t="n"/>
      <c r="O97" s="10">
        <f>IF($N97="","",IFERROR(INDEX('PLA ESTRATÈGIC'!$G$4:$G$452,MATCH($N97,'PLA ESTRATÈGIC'!$Q$4:$Q$452,0)),""))</f>
        <v/>
      </c>
      <c r="P97" s="10">
        <f>IF($N97="","",IFERROR(INDEX('PLA ESTRATÈGIC'!$H$4:$H$452,MATCH($N97,'PLA ESTRATÈGIC'!$Q$4:$Q$452,0)),""))</f>
        <v/>
      </c>
      <c r="Q97" s="13" t="n"/>
      <c r="R97" s="11" t="n"/>
      <c r="S97" s="11" t="n"/>
      <c r="T97" s="11" t="n"/>
      <c r="U97" s="11" t="n"/>
      <c r="V97" s="10">
        <f>IF(COUNTA($C97,$D97,$J97,$M97)=0,"",IF(TRIM(IF($C97="","Falta l'actuació. ","")&amp;IF($D97="","Falta l'objectiu. ","")&amp;IF($J97="","Falta el tipus de despesa. ","")&amp;IF(AND($J97&lt;&gt;"",$J97&lt;&gt;"Mitjans propis",$J97&lt;&gt;"Altres",$M97=""),"Falta l'import. ","")&amp;IF(AND($J97="Contracte menor a càrrec del RAE",$K97=""),"Falta la partida RAE. ","")&amp;IF(AND($B97&lt;&gt;"",COUNTIF($B$6:$B$705,$B97)&gt;1),"Codi RAE repetit. ","")&amp;IF(AND($B97&lt;&gt;"",$J97&lt;&gt;"",$J97&lt;&gt;"Contracte menor a càrrec del RAE"),"Té codi RAE però no és de tipus RAE. ","")&amp;IF($N97="","Falta l'indicador del Pla. ","")&amp;IF($R97="","Falta el gestor. ","")&amp;IF($S97="","Falta indicar si és recurrent. ",""))="","✔",TRIM(IF($C97="","Falta l'actuació. ","")&amp;IF($D97="","Falta l'objectiu. ","")&amp;IF($J97="","Falta el tipus de despesa. ","")&amp;IF(AND($J97&lt;&gt;"",$J97&lt;&gt;"Mitjans propis",$J97&lt;&gt;"Altres",$M97=""),"Falta l'import. ","")&amp;IF(AND($J97="Contracte menor a càrrec del RAE",$K97=""),"Falta la partida RAE. ","")&amp;IF(AND($B97&lt;&gt;"",COUNTIF($B$6:$B$705,$B97)&gt;1),"Codi RAE repetit. ","")&amp;IF(AND($B97&lt;&gt;"",$J97&lt;&gt;"",$J97&lt;&gt;"Contracte menor a càrrec del RAE"),"Té codi RAE però no és de tipus RAE. ","")&amp;IF($N97="","Falta l'indicador del Pla. ","")&amp;IF($R97="","Falta el gestor. ","")&amp;IF($S97="","Falta indicar si és recurrent. ",""))))</f>
        <v/>
      </c>
    </row>
    <row r="98">
      <c r="A98" s="10">
        <f>IF($D98="","","27_"&amp;IFERROR(INDEX(Objectius!$E$2:$E$183,MATCH($D98,Objectius!$A$2:$A$183,0)),"??")&amp;"_"&amp;TEXT(COUNTIF($I$6:$I98,$I98),"00"))</f>
        <v/>
      </c>
      <c r="B98" s="11" t="n"/>
      <c r="C98" s="11" t="n"/>
      <c r="D98" s="11" t="n"/>
      <c r="E98" s="10">
        <f>IF($D98="","",IFERROR(INDEX(Objectius!$C$2:$C$183,MATCH($D98,Objectius!$A$2:$A$183,0)),"Objectiu no trobat al Pla"))</f>
        <v/>
      </c>
      <c r="F98" s="11" t="n"/>
      <c r="G98" s="11" t="n"/>
      <c r="H98" s="11" t="n"/>
      <c r="I98" s="10">
        <f>IF($D98="","",IFERROR(INDEX(Objectius!$D$2:$D$183,MATCH($D98,Objectius!$A$2:$A$183,0)),""))</f>
        <v/>
      </c>
      <c r="J98" s="11" t="n"/>
      <c r="K98" s="11" t="n"/>
      <c r="L98" s="11" t="n"/>
      <c r="M98" s="12" t="n"/>
      <c r="N98" s="11" t="n"/>
      <c r="O98" s="10">
        <f>IF($N98="","",IFERROR(INDEX('PLA ESTRATÈGIC'!$G$4:$G$452,MATCH($N98,'PLA ESTRATÈGIC'!$Q$4:$Q$452,0)),""))</f>
        <v/>
      </c>
      <c r="P98" s="10">
        <f>IF($N98="","",IFERROR(INDEX('PLA ESTRATÈGIC'!$H$4:$H$452,MATCH($N98,'PLA ESTRATÈGIC'!$Q$4:$Q$452,0)),""))</f>
        <v/>
      </c>
      <c r="Q98" s="13" t="n"/>
      <c r="R98" s="11" t="n"/>
      <c r="S98" s="11" t="n"/>
      <c r="T98" s="11" t="n"/>
      <c r="U98" s="11" t="n"/>
      <c r="V98" s="10">
        <f>IF(COUNTA($C98,$D98,$J98,$M98)=0,"",IF(TRIM(IF($C98="","Falta l'actuació. ","")&amp;IF($D98="","Falta l'objectiu. ","")&amp;IF($J98="","Falta el tipus de despesa. ","")&amp;IF(AND($J98&lt;&gt;"",$J98&lt;&gt;"Mitjans propis",$J98&lt;&gt;"Altres",$M98=""),"Falta l'import. ","")&amp;IF(AND($J98="Contracte menor a càrrec del RAE",$K98=""),"Falta la partida RAE. ","")&amp;IF(AND($B98&lt;&gt;"",COUNTIF($B$6:$B$705,$B98)&gt;1),"Codi RAE repetit. ","")&amp;IF(AND($B98&lt;&gt;"",$J98&lt;&gt;"",$J98&lt;&gt;"Contracte menor a càrrec del RAE"),"Té codi RAE però no és de tipus RAE. ","")&amp;IF($N98="","Falta l'indicador del Pla. ","")&amp;IF($R98="","Falta el gestor. ","")&amp;IF($S98="","Falta indicar si és recurrent. ",""))="","✔",TRIM(IF($C98="","Falta l'actuació. ","")&amp;IF($D98="","Falta l'objectiu. ","")&amp;IF($J98="","Falta el tipus de despesa. ","")&amp;IF(AND($J98&lt;&gt;"",$J98&lt;&gt;"Mitjans propis",$J98&lt;&gt;"Altres",$M98=""),"Falta l'import. ","")&amp;IF(AND($J98="Contracte menor a càrrec del RAE",$K98=""),"Falta la partida RAE. ","")&amp;IF(AND($B98&lt;&gt;"",COUNTIF($B$6:$B$705,$B98)&gt;1),"Codi RAE repetit. ","")&amp;IF(AND($B98&lt;&gt;"",$J98&lt;&gt;"",$J98&lt;&gt;"Contracte menor a càrrec del RAE"),"Té codi RAE però no és de tipus RAE. ","")&amp;IF($N98="","Falta l'indicador del Pla. ","")&amp;IF($R98="","Falta el gestor. ","")&amp;IF($S98="","Falta indicar si és recurrent. ",""))))</f>
        <v/>
      </c>
    </row>
    <row r="99">
      <c r="A99" s="10">
        <f>IF($D99="","","27_"&amp;IFERROR(INDEX(Objectius!$E$2:$E$183,MATCH($D99,Objectius!$A$2:$A$183,0)),"??")&amp;"_"&amp;TEXT(COUNTIF($I$6:$I99,$I99),"00"))</f>
        <v/>
      </c>
      <c r="B99" s="11" t="n"/>
      <c r="C99" s="11" t="n"/>
      <c r="D99" s="11" t="n"/>
      <c r="E99" s="10">
        <f>IF($D99="","",IFERROR(INDEX(Objectius!$C$2:$C$183,MATCH($D99,Objectius!$A$2:$A$183,0)),"Objectiu no trobat al Pla"))</f>
        <v/>
      </c>
      <c r="F99" s="11" t="n"/>
      <c r="G99" s="11" t="n"/>
      <c r="H99" s="11" t="n"/>
      <c r="I99" s="10">
        <f>IF($D99="","",IFERROR(INDEX(Objectius!$D$2:$D$183,MATCH($D99,Objectius!$A$2:$A$183,0)),""))</f>
        <v/>
      </c>
      <c r="J99" s="11" t="n"/>
      <c r="K99" s="11" t="n"/>
      <c r="L99" s="11" t="n"/>
      <c r="M99" s="12" t="n"/>
      <c r="N99" s="11" t="n"/>
      <c r="O99" s="10">
        <f>IF($N99="","",IFERROR(INDEX('PLA ESTRATÈGIC'!$G$4:$G$452,MATCH($N99,'PLA ESTRATÈGIC'!$Q$4:$Q$452,0)),""))</f>
        <v/>
      </c>
      <c r="P99" s="10">
        <f>IF($N99="","",IFERROR(INDEX('PLA ESTRATÈGIC'!$H$4:$H$452,MATCH($N99,'PLA ESTRATÈGIC'!$Q$4:$Q$452,0)),""))</f>
        <v/>
      </c>
      <c r="Q99" s="13" t="n"/>
      <c r="R99" s="11" t="n"/>
      <c r="S99" s="11" t="n"/>
      <c r="T99" s="11" t="n"/>
      <c r="U99" s="11" t="n"/>
      <c r="V99" s="10">
        <f>IF(COUNTA($C99,$D99,$J99,$M99)=0,"",IF(TRIM(IF($C99="","Falta l'actuació. ","")&amp;IF($D99="","Falta l'objectiu. ","")&amp;IF($J99="","Falta el tipus de despesa. ","")&amp;IF(AND($J99&lt;&gt;"",$J99&lt;&gt;"Mitjans propis",$J99&lt;&gt;"Altres",$M99=""),"Falta l'import. ","")&amp;IF(AND($J99="Contracte menor a càrrec del RAE",$K99=""),"Falta la partida RAE. ","")&amp;IF(AND($B99&lt;&gt;"",COUNTIF($B$6:$B$705,$B99)&gt;1),"Codi RAE repetit. ","")&amp;IF(AND($B99&lt;&gt;"",$J99&lt;&gt;"",$J99&lt;&gt;"Contracte menor a càrrec del RAE"),"Té codi RAE però no és de tipus RAE. ","")&amp;IF($N99="","Falta l'indicador del Pla. ","")&amp;IF($R99="","Falta el gestor. ","")&amp;IF($S99="","Falta indicar si és recurrent. ",""))="","✔",TRIM(IF($C99="","Falta l'actuació. ","")&amp;IF($D99="","Falta l'objectiu. ","")&amp;IF($J99="","Falta el tipus de despesa. ","")&amp;IF(AND($J99&lt;&gt;"",$J99&lt;&gt;"Mitjans propis",$J99&lt;&gt;"Altres",$M99=""),"Falta l'import. ","")&amp;IF(AND($J99="Contracte menor a càrrec del RAE",$K99=""),"Falta la partida RAE. ","")&amp;IF(AND($B99&lt;&gt;"",COUNTIF($B$6:$B$705,$B99)&gt;1),"Codi RAE repetit. ","")&amp;IF(AND($B99&lt;&gt;"",$J99&lt;&gt;"",$J99&lt;&gt;"Contracte menor a càrrec del RAE"),"Té codi RAE però no és de tipus RAE. ","")&amp;IF($N99="","Falta l'indicador del Pla. ","")&amp;IF($R99="","Falta el gestor. ","")&amp;IF($S99="","Falta indicar si és recurrent. ",""))))</f>
        <v/>
      </c>
    </row>
    <row r="100">
      <c r="A100" s="10">
        <f>IF($D100="","","27_"&amp;IFERROR(INDEX(Objectius!$E$2:$E$183,MATCH($D100,Objectius!$A$2:$A$183,0)),"??")&amp;"_"&amp;TEXT(COUNTIF($I$6:$I100,$I100),"00"))</f>
        <v/>
      </c>
      <c r="B100" s="11" t="n"/>
      <c r="C100" s="11" t="n"/>
      <c r="D100" s="11" t="n"/>
      <c r="E100" s="10">
        <f>IF($D100="","",IFERROR(INDEX(Objectius!$C$2:$C$183,MATCH($D100,Objectius!$A$2:$A$183,0)),"Objectiu no trobat al Pla"))</f>
        <v/>
      </c>
      <c r="F100" s="11" t="n"/>
      <c r="G100" s="11" t="n"/>
      <c r="H100" s="11" t="n"/>
      <c r="I100" s="10">
        <f>IF($D100="","",IFERROR(INDEX(Objectius!$D$2:$D$183,MATCH($D100,Objectius!$A$2:$A$183,0)),""))</f>
        <v/>
      </c>
      <c r="J100" s="11" t="n"/>
      <c r="K100" s="11" t="n"/>
      <c r="L100" s="11" t="n"/>
      <c r="M100" s="12" t="n"/>
      <c r="N100" s="11" t="n"/>
      <c r="O100" s="10">
        <f>IF($N100="","",IFERROR(INDEX('PLA ESTRATÈGIC'!$G$4:$G$452,MATCH($N100,'PLA ESTRATÈGIC'!$Q$4:$Q$452,0)),""))</f>
        <v/>
      </c>
      <c r="P100" s="10">
        <f>IF($N100="","",IFERROR(INDEX('PLA ESTRATÈGIC'!$H$4:$H$452,MATCH($N100,'PLA ESTRATÈGIC'!$Q$4:$Q$452,0)),""))</f>
        <v/>
      </c>
      <c r="Q100" s="13" t="n"/>
      <c r="R100" s="11" t="n"/>
      <c r="S100" s="11" t="n"/>
      <c r="T100" s="11" t="n"/>
      <c r="U100" s="11" t="n"/>
      <c r="V100" s="10">
        <f>IF(COUNTA($C100,$D100,$J100,$M100)=0,"",IF(TRIM(IF($C100="","Falta l'actuació. ","")&amp;IF($D100="","Falta l'objectiu. ","")&amp;IF($J100="","Falta el tipus de despesa. ","")&amp;IF(AND($J100&lt;&gt;"",$J100&lt;&gt;"Mitjans propis",$J100&lt;&gt;"Altres",$M100=""),"Falta l'import. ","")&amp;IF(AND($J100="Contracte menor a càrrec del RAE",$K100=""),"Falta la partida RAE. ","")&amp;IF(AND($B100&lt;&gt;"",COUNTIF($B$6:$B$705,$B100)&gt;1),"Codi RAE repetit. ","")&amp;IF(AND($B100&lt;&gt;"",$J100&lt;&gt;"",$J100&lt;&gt;"Contracte menor a càrrec del RAE"),"Té codi RAE però no és de tipus RAE. ","")&amp;IF($N100="","Falta l'indicador del Pla. ","")&amp;IF($R100="","Falta el gestor. ","")&amp;IF($S100="","Falta indicar si és recurrent. ",""))="","✔",TRIM(IF($C100="","Falta l'actuació. ","")&amp;IF($D100="","Falta l'objectiu. ","")&amp;IF($J100="","Falta el tipus de despesa. ","")&amp;IF(AND($J100&lt;&gt;"",$J100&lt;&gt;"Mitjans propis",$J100&lt;&gt;"Altres",$M100=""),"Falta l'import. ","")&amp;IF(AND($J100="Contracte menor a càrrec del RAE",$K100=""),"Falta la partida RAE. ","")&amp;IF(AND($B100&lt;&gt;"",COUNTIF($B$6:$B$705,$B100)&gt;1),"Codi RAE repetit. ","")&amp;IF(AND($B100&lt;&gt;"",$J100&lt;&gt;"",$J100&lt;&gt;"Contracte menor a càrrec del RAE"),"Té codi RAE però no és de tipus RAE. ","")&amp;IF($N100="","Falta l'indicador del Pla. ","")&amp;IF($R100="","Falta el gestor. ","")&amp;IF($S100="","Falta indicar si és recurrent. ",""))))</f>
        <v/>
      </c>
    </row>
    <row r="101">
      <c r="A101" s="10">
        <f>IF($D101="","","27_"&amp;IFERROR(INDEX(Objectius!$E$2:$E$183,MATCH($D101,Objectius!$A$2:$A$183,0)),"??")&amp;"_"&amp;TEXT(COUNTIF($I$6:$I101,$I101),"00"))</f>
        <v/>
      </c>
      <c r="B101" s="11" t="n"/>
      <c r="C101" s="11" t="n"/>
      <c r="D101" s="11" t="n"/>
      <c r="E101" s="10">
        <f>IF($D101="","",IFERROR(INDEX(Objectius!$C$2:$C$183,MATCH($D101,Objectius!$A$2:$A$183,0)),"Objectiu no trobat al Pla"))</f>
        <v/>
      </c>
      <c r="F101" s="11" t="n"/>
      <c r="G101" s="11" t="n"/>
      <c r="H101" s="11" t="n"/>
      <c r="I101" s="10">
        <f>IF($D101="","",IFERROR(INDEX(Objectius!$D$2:$D$183,MATCH($D101,Objectius!$A$2:$A$183,0)),""))</f>
        <v/>
      </c>
      <c r="J101" s="11" t="n"/>
      <c r="K101" s="11" t="n"/>
      <c r="L101" s="11" t="n"/>
      <c r="M101" s="12" t="n"/>
      <c r="N101" s="11" t="n"/>
      <c r="O101" s="10">
        <f>IF($N101="","",IFERROR(INDEX('PLA ESTRATÈGIC'!$G$4:$G$452,MATCH($N101,'PLA ESTRATÈGIC'!$Q$4:$Q$452,0)),""))</f>
        <v/>
      </c>
      <c r="P101" s="10">
        <f>IF($N101="","",IFERROR(INDEX('PLA ESTRATÈGIC'!$H$4:$H$452,MATCH($N101,'PLA ESTRATÈGIC'!$Q$4:$Q$452,0)),""))</f>
        <v/>
      </c>
      <c r="Q101" s="13" t="n"/>
      <c r="R101" s="11" t="n"/>
      <c r="S101" s="11" t="n"/>
      <c r="T101" s="11" t="n"/>
      <c r="U101" s="11" t="n"/>
      <c r="V101" s="10">
        <f>IF(COUNTA($C101,$D101,$J101,$M101)=0,"",IF(TRIM(IF($C101="","Falta l'actuació. ","")&amp;IF($D101="","Falta l'objectiu. ","")&amp;IF($J101="","Falta el tipus de despesa. ","")&amp;IF(AND($J101&lt;&gt;"",$J101&lt;&gt;"Mitjans propis",$J101&lt;&gt;"Altres",$M101=""),"Falta l'import. ","")&amp;IF(AND($J101="Contracte menor a càrrec del RAE",$K101=""),"Falta la partida RAE. ","")&amp;IF(AND($B101&lt;&gt;"",COUNTIF($B$6:$B$705,$B101)&gt;1),"Codi RAE repetit. ","")&amp;IF(AND($B101&lt;&gt;"",$J101&lt;&gt;"",$J101&lt;&gt;"Contracte menor a càrrec del RAE"),"Té codi RAE però no és de tipus RAE. ","")&amp;IF($N101="","Falta l'indicador del Pla. ","")&amp;IF($R101="","Falta el gestor. ","")&amp;IF($S101="","Falta indicar si és recurrent. ",""))="","✔",TRIM(IF($C101="","Falta l'actuació. ","")&amp;IF($D101="","Falta l'objectiu. ","")&amp;IF($J101="","Falta el tipus de despesa. ","")&amp;IF(AND($J101&lt;&gt;"",$J101&lt;&gt;"Mitjans propis",$J101&lt;&gt;"Altres",$M101=""),"Falta l'import. ","")&amp;IF(AND($J101="Contracte menor a càrrec del RAE",$K101=""),"Falta la partida RAE. ","")&amp;IF(AND($B101&lt;&gt;"",COUNTIF($B$6:$B$705,$B101)&gt;1),"Codi RAE repetit. ","")&amp;IF(AND($B101&lt;&gt;"",$J101&lt;&gt;"",$J101&lt;&gt;"Contracte menor a càrrec del RAE"),"Té codi RAE però no és de tipus RAE. ","")&amp;IF($N101="","Falta l'indicador del Pla. ","")&amp;IF($R101="","Falta el gestor. ","")&amp;IF($S101="","Falta indicar si és recurrent. ",""))))</f>
        <v/>
      </c>
    </row>
    <row r="102">
      <c r="A102" s="10">
        <f>IF($D102="","","27_"&amp;IFERROR(INDEX(Objectius!$E$2:$E$183,MATCH($D102,Objectius!$A$2:$A$183,0)),"??")&amp;"_"&amp;TEXT(COUNTIF($I$6:$I102,$I102),"00"))</f>
        <v/>
      </c>
      <c r="B102" s="11" t="n"/>
      <c r="C102" s="11" t="n"/>
      <c r="D102" s="11" t="n"/>
      <c r="E102" s="10">
        <f>IF($D102="","",IFERROR(INDEX(Objectius!$C$2:$C$183,MATCH($D102,Objectius!$A$2:$A$183,0)),"Objectiu no trobat al Pla"))</f>
        <v/>
      </c>
      <c r="F102" s="11" t="n"/>
      <c r="G102" s="11" t="n"/>
      <c r="H102" s="11" t="n"/>
      <c r="I102" s="10">
        <f>IF($D102="","",IFERROR(INDEX(Objectius!$D$2:$D$183,MATCH($D102,Objectius!$A$2:$A$183,0)),""))</f>
        <v/>
      </c>
      <c r="J102" s="11" t="n"/>
      <c r="K102" s="11" t="n"/>
      <c r="L102" s="11" t="n"/>
      <c r="M102" s="12" t="n"/>
      <c r="N102" s="11" t="n"/>
      <c r="O102" s="10">
        <f>IF($N102="","",IFERROR(INDEX('PLA ESTRATÈGIC'!$G$4:$G$452,MATCH($N102,'PLA ESTRATÈGIC'!$Q$4:$Q$452,0)),""))</f>
        <v/>
      </c>
      <c r="P102" s="10">
        <f>IF($N102="","",IFERROR(INDEX('PLA ESTRATÈGIC'!$H$4:$H$452,MATCH($N102,'PLA ESTRATÈGIC'!$Q$4:$Q$452,0)),""))</f>
        <v/>
      </c>
      <c r="Q102" s="13" t="n"/>
      <c r="R102" s="11" t="n"/>
      <c r="S102" s="11" t="n"/>
      <c r="T102" s="11" t="n"/>
      <c r="U102" s="11" t="n"/>
      <c r="V102" s="10">
        <f>IF(COUNTA($C102,$D102,$J102,$M102)=0,"",IF(TRIM(IF($C102="","Falta l'actuació. ","")&amp;IF($D102="","Falta l'objectiu. ","")&amp;IF($J102="","Falta el tipus de despesa. ","")&amp;IF(AND($J102&lt;&gt;"",$J102&lt;&gt;"Mitjans propis",$J102&lt;&gt;"Altres",$M102=""),"Falta l'import. ","")&amp;IF(AND($J102="Contracte menor a càrrec del RAE",$K102=""),"Falta la partida RAE. ","")&amp;IF(AND($B102&lt;&gt;"",COUNTIF($B$6:$B$705,$B102)&gt;1),"Codi RAE repetit. ","")&amp;IF(AND($B102&lt;&gt;"",$J102&lt;&gt;"",$J102&lt;&gt;"Contracte menor a càrrec del RAE"),"Té codi RAE però no és de tipus RAE. ","")&amp;IF($N102="","Falta l'indicador del Pla. ","")&amp;IF($R102="","Falta el gestor. ","")&amp;IF($S102="","Falta indicar si és recurrent. ",""))="","✔",TRIM(IF($C102="","Falta l'actuació. ","")&amp;IF($D102="","Falta l'objectiu. ","")&amp;IF($J102="","Falta el tipus de despesa. ","")&amp;IF(AND($J102&lt;&gt;"",$J102&lt;&gt;"Mitjans propis",$J102&lt;&gt;"Altres",$M102=""),"Falta l'import. ","")&amp;IF(AND($J102="Contracte menor a càrrec del RAE",$K102=""),"Falta la partida RAE. ","")&amp;IF(AND($B102&lt;&gt;"",COUNTIF($B$6:$B$705,$B102)&gt;1),"Codi RAE repetit. ","")&amp;IF(AND($B102&lt;&gt;"",$J102&lt;&gt;"",$J102&lt;&gt;"Contracte menor a càrrec del RAE"),"Té codi RAE però no és de tipus RAE. ","")&amp;IF($N102="","Falta l'indicador del Pla. ","")&amp;IF($R102="","Falta el gestor. ","")&amp;IF($S102="","Falta indicar si és recurrent. ",""))))</f>
        <v/>
      </c>
    </row>
    <row r="103">
      <c r="A103" s="10">
        <f>IF($D103="","","27_"&amp;IFERROR(INDEX(Objectius!$E$2:$E$183,MATCH($D103,Objectius!$A$2:$A$183,0)),"??")&amp;"_"&amp;TEXT(COUNTIF($I$6:$I103,$I103),"00"))</f>
        <v/>
      </c>
      <c r="B103" s="11" t="n"/>
      <c r="C103" s="11" t="n"/>
      <c r="D103" s="11" t="n"/>
      <c r="E103" s="10">
        <f>IF($D103="","",IFERROR(INDEX(Objectius!$C$2:$C$183,MATCH($D103,Objectius!$A$2:$A$183,0)),"Objectiu no trobat al Pla"))</f>
        <v/>
      </c>
      <c r="F103" s="11" t="n"/>
      <c r="G103" s="11" t="n"/>
      <c r="H103" s="11" t="n"/>
      <c r="I103" s="10">
        <f>IF($D103="","",IFERROR(INDEX(Objectius!$D$2:$D$183,MATCH($D103,Objectius!$A$2:$A$183,0)),""))</f>
        <v/>
      </c>
      <c r="J103" s="11" t="n"/>
      <c r="K103" s="11" t="n"/>
      <c r="L103" s="11" t="n"/>
      <c r="M103" s="12" t="n"/>
      <c r="N103" s="11" t="n"/>
      <c r="O103" s="10">
        <f>IF($N103="","",IFERROR(INDEX('PLA ESTRATÈGIC'!$G$4:$G$452,MATCH($N103,'PLA ESTRATÈGIC'!$Q$4:$Q$452,0)),""))</f>
        <v/>
      </c>
      <c r="P103" s="10">
        <f>IF($N103="","",IFERROR(INDEX('PLA ESTRATÈGIC'!$H$4:$H$452,MATCH($N103,'PLA ESTRATÈGIC'!$Q$4:$Q$452,0)),""))</f>
        <v/>
      </c>
      <c r="Q103" s="13" t="n"/>
      <c r="R103" s="11" t="n"/>
      <c r="S103" s="11" t="n"/>
      <c r="T103" s="11" t="n"/>
      <c r="U103" s="11" t="n"/>
      <c r="V103" s="10">
        <f>IF(COUNTA($C103,$D103,$J103,$M103)=0,"",IF(TRIM(IF($C103="","Falta l'actuació. ","")&amp;IF($D103="","Falta l'objectiu. ","")&amp;IF($J103="","Falta el tipus de despesa. ","")&amp;IF(AND($J103&lt;&gt;"",$J103&lt;&gt;"Mitjans propis",$J103&lt;&gt;"Altres",$M103=""),"Falta l'import. ","")&amp;IF(AND($J103="Contracte menor a càrrec del RAE",$K103=""),"Falta la partida RAE. ","")&amp;IF(AND($B103&lt;&gt;"",COUNTIF($B$6:$B$705,$B103)&gt;1),"Codi RAE repetit. ","")&amp;IF(AND($B103&lt;&gt;"",$J103&lt;&gt;"",$J103&lt;&gt;"Contracte menor a càrrec del RAE"),"Té codi RAE però no és de tipus RAE. ","")&amp;IF($N103="","Falta l'indicador del Pla. ","")&amp;IF($R103="","Falta el gestor. ","")&amp;IF($S103="","Falta indicar si és recurrent. ",""))="","✔",TRIM(IF($C103="","Falta l'actuació. ","")&amp;IF($D103="","Falta l'objectiu. ","")&amp;IF($J103="","Falta el tipus de despesa. ","")&amp;IF(AND($J103&lt;&gt;"",$J103&lt;&gt;"Mitjans propis",$J103&lt;&gt;"Altres",$M103=""),"Falta l'import. ","")&amp;IF(AND($J103="Contracte menor a càrrec del RAE",$K103=""),"Falta la partida RAE. ","")&amp;IF(AND($B103&lt;&gt;"",COUNTIF($B$6:$B$705,$B103)&gt;1),"Codi RAE repetit. ","")&amp;IF(AND($B103&lt;&gt;"",$J103&lt;&gt;"",$J103&lt;&gt;"Contracte menor a càrrec del RAE"),"Té codi RAE però no és de tipus RAE. ","")&amp;IF($N103="","Falta l'indicador del Pla. ","")&amp;IF($R103="","Falta el gestor. ","")&amp;IF($S103="","Falta indicar si és recurrent. ",""))))</f>
        <v/>
      </c>
    </row>
    <row r="104">
      <c r="A104" s="10">
        <f>IF($D104="","","27_"&amp;IFERROR(INDEX(Objectius!$E$2:$E$183,MATCH($D104,Objectius!$A$2:$A$183,0)),"??")&amp;"_"&amp;TEXT(COUNTIF($I$6:$I104,$I104),"00"))</f>
        <v/>
      </c>
      <c r="B104" s="11" t="n"/>
      <c r="C104" s="11" t="n"/>
      <c r="D104" s="11" t="n"/>
      <c r="E104" s="10">
        <f>IF($D104="","",IFERROR(INDEX(Objectius!$C$2:$C$183,MATCH($D104,Objectius!$A$2:$A$183,0)),"Objectiu no trobat al Pla"))</f>
        <v/>
      </c>
      <c r="F104" s="11" t="n"/>
      <c r="G104" s="11" t="n"/>
      <c r="H104" s="11" t="n"/>
      <c r="I104" s="10">
        <f>IF($D104="","",IFERROR(INDEX(Objectius!$D$2:$D$183,MATCH($D104,Objectius!$A$2:$A$183,0)),""))</f>
        <v/>
      </c>
      <c r="J104" s="11" t="n"/>
      <c r="K104" s="11" t="n"/>
      <c r="L104" s="11" t="n"/>
      <c r="M104" s="12" t="n"/>
      <c r="N104" s="11" t="n"/>
      <c r="O104" s="10">
        <f>IF($N104="","",IFERROR(INDEX('PLA ESTRATÈGIC'!$G$4:$G$452,MATCH($N104,'PLA ESTRATÈGIC'!$Q$4:$Q$452,0)),""))</f>
        <v/>
      </c>
      <c r="P104" s="10">
        <f>IF($N104="","",IFERROR(INDEX('PLA ESTRATÈGIC'!$H$4:$H$452,MATCH($N104,'PLA ESTRATÈGIC'!$Q$4:$Q$452,0)),""))</f>
        <v/>
      </c>
      <c r="Q104" s="13" t="n"/>
      <c r="R104" s="11" t="n"/>
      <c r="S104" s="11" t="n"/>
      <c r="T104" s="11" t="n"/>
      <c r="U104" s="11" t="n"/>
      <c r="V104" s="10">
        <f>IF(COUNTA($C104,$D104,$J104,$M104)=0,"",IF(TRIM(IF($C104="","Falta l'actuació. ","")&amp;IF($D104="","Falta l'objectiu. ","")&amp;IF($J104="","Falta el tipus de despesa. ","")&amp;IF(AND($J104&lt;&gt;"",$J104&lt;&gt;"Mitjans propis",$J104&lt;&gt;"Altres",$M104=""),"Falta l'import. ","")&amp;IF(AND($J104="Contracte menor a càrrec del RAE",$K104=""),"Falta la partida RAE. ","")&amp;IF(AND($B104&lt;&gt;"",COUNTIF($B$6:$B$705,$B104)&gt;1),"Codi RAE repetit. ","")&amp;IF(AND($B104&lt;&gt;"",$J104&lt;&gt;"",$J104&lt;&gt;"Contracte menor a càrrec del RAE"),"Té codi RAE però no és de tipus RAE. ","")&amp;IF($N104="","Falta l'indicador del Pla. ","")&amp;IF($R104="","Falta el gestor. ","")&amp;IF($S104="","Falta indicar si és recurrent. ",""))="","✔",TRIM(IF($C104="","Falta l'actuació. ","")&amp;IF($D104="","Falta l'objectiu. ","")&amp;IF($J104="","Falta el tipus de despesa. ","")&amp;IF(AND($J104&lt;&gt;"",$J104&lt;&gt;"Mitjans propis",$J104&lt;&gt;"Altres",$M104=""),"Falta l'import. ","")&amp;IF(AND($J104="Contracte menor a càrrec del RAE",$K104=""),"Falta la partida RAE. ","")&amp;IF(AND($B104&lt;&gt;"",COUNTIF($B$6:$B$705,$B104)&gt;1),"Codi RAE repetit. ","")&amp;IF(AND($B104&lt;&gt;"",$J104&lt;&gt;"",$J104&lt;&gt;"Contracte menor a càrrec del RAE"),"Té codi RAE però no és de tipus RAE. ","")&amp;IF($N104="","Falta l'indicador del Pla. ","")&amp;IF($R104="","Falta el gestor. ","")&amp;IF($S104="","Falta indicar si és recurrent. ",""))))</f>
        <v/>
      </c>
    </row>
    <row r="105">
      <c r="A105" s="10">
        <f>IF($D105="","","27_"&amp;IFERROR(INDEX(Objectius!$E$2:$E$183,MATCH($D105,Objectius!$A$2:$A$183,0)),"??")&amp;"_"&amp;TEXT(COUNTIF($I$6:$I105,$I105),"00"))</f>
        <v/>
      </c>
      <c r="B105" s="11" t="n"/>
      <c r="C105" s="11" t="n"/>
      <c r="D105" s="11" t="n"/>
      <c r="E105" s="10">
        <f>IF($D105="","",IFERROR(INDEX(Objectius!$C$2:$C$183,MATCH($D105,Objectius!$A$2:$A$183,0)),"Objectiu no trobat al Pla"))</f>
        <v/>
      </c>
      <c r="F105" s="11" t="n"/>
      <c r="G105" s="11" t="n"/>
      <c r="H105" s="11" t="n"/>
      <c r="I105" s="10">
        <f>IF($D105="","",IFERROR(INDEX(Objectius!$D$2:$D$183,MATCH($D105,Objectius!$A$2:$A$183,0)),""))</f>
        <v/>
      </c>
      <c r="J105" s="11" t="n"/>
      <c r="K105" s="11" t="n"/>
      <c r="L105" s="11" t="n"/>
      <c r="M105" s="12" t="n"/>
      <c r="N105" s="11" t="n"/>
      <c r="O105" s="10">
        <f>IF($N105="","",IFERROR(INDEX('PLA ESTRATÈGIC'!$G$4:$G$452,MATCH($N105,'PLA ESTRATÈGIC'!$Q$4:$Q$452,0)),""))</f>
        <v/>
      </c>
      <c r="P105" s="10">
        <f>IF($N105="","",IFERROR(INDEX('PLA ESTRATÈGIC'!$H$4:$H$452,MATCH($N105,'PLA ESTRATÈGIC'!$Q$4:$Q$452,0)),""))</f>
        <v/>
      </c>
      <c r="Q105" s="13" t="n"/>
      <c r="R105" s="11" t="n"/>
      <c r="S105" s="11" t="n"/>
      <c r="T105" s="11" t="n"/>
      <c r="U105" s="11" t="n"/>
      <c r="V105" s="10">
        <f>IF(COUNTA($C105,$D105,$J105,$M105)=0,"",IF(TRIM(IF($C105="","Falta l'actuació. ","")&amp;IF($D105="","Falta l'objectiu. ","")&amp;IF($J105="","Falta el tipus de despesa. ","")&amp;IF(AND($J105&lt;&gt;"",$J105&lt;&gt;"Mitjans propis",$J105&lt;&gt;"Altres",$M105=""),"Falta l'import. ","")&amp;IF(AND($J105="Contracte menor a càrrec del RAE",$K105=""),"Falta la partida RAE. ","")&amp;IF(AND($B105&lt;&gt;"",COUNTIF($B$6:$B$705,$B105)&gt;1),"Codi RAE repetit. ","")&amp;IF(AND($B105&lt;&gt;"",$J105&lt;&gt;"",$J105&lt;&gt;"Contracte menor a càrrec del RAE"),"Té codi RAE però no és de tipus RAE. ","")&amp;IF($N105="","Falta l'indicador del Pla. ","")&amp;IF($R105="","Falta el gestor. ","")&amp;IF($S105="","Falta indicar si és recurrent. ",""))="","✔",TRIM(IF($C105="","Falta l'actuació. ","")&amp;IF($D105="","Falta l'objectiu. ","")&amp;IF($J105="","Falta el tipus de despesa. ","")&amp;IF(AND($J105&lt;&gt;"",$J105&lt;&gt;"Mitjans propis",$J105&lt;&gt;"Altres",$M105=""),"Falta l'import. ","")&amp;IF(AND($J105="Contracte menor a càrrec del RAE",$K105=""),"Falta la partida RAE. ","")&amp;IF(AND($B105&lt;&gt;"",COUNTIF($B$6:$B$705,$B105)&gt;1),"Codi RAE repetit. ","")&amp;IF(AND($B105&lt;&gt;"",$J105&lt;&gt;"",$J105&lt;&gt;"Contracte menor a càrrec del RAE"),"Té codi RAE però no és de tipus RAE. ","")&amp;IF($N105="","Falta l'indicador del Pla. ","")&amp;IF($R105="","Falta el gestor. ","")&amp;IF($S105="","Falta indicar si és recurrent. ",""))))</f>
        <v/>
      </c>
    </row>
    <row r="106">
      <c r="A106" s="10">
        <f>IF($D106="","","27_"&amp;IFERROR(INDEX(Objectius!$E$2:$E$183,MATCH($D106,Objectius!$A$2:$A$183,0)),"??")&amp;"_"&amp;TEXT(COUNTIF($I$6:$I106,$I106),"00"))</f>
        <v/>
      </c>
      <c r="B106" s="11" t="n"/>
      <c r="C106" s="11" t="n"/>
      <c r="D106" s="11" t="n"/>
      <c r="E106" s="10">
        <f>IF($D106="","",IFERROR(INDEX(Objectius!$C$2:$C$183,MATCH($D106,Objectius!$A$2:$A$183,0)),"Objectiu no trobat al Pla"))</f>
        <v/>
      </c>
      <c r="F106" s="11" t="n"/>
      <c r="G106" s="11" t="n"/>
      <c r="H106" s="11" t="n"/>
      <c r="I106" s="10">
        <f>IF($D106="","",IFERROR(INDEX(Objectius!$D$2:$D$183,MATCH($D106,Objectius!$A$2:$A$183,0)),""))</f>
        <v/>
      </c>
      <c r="J106" s="11" t="n"/>
      <c r="K106" s="11" t="n"/>
      <c r="L106" s="11" t="n"/>
      <c r="M106" s="12" t="n"/>
      <c r="N106" s="11" t="n"/>
      <c r="O106" s="10">
        <f>IF($N106="","",IFERROR(INDEX('PLA ESTRATÈGIC'!$G$4:$G$452,MATCH($N106,'PLA ESTRATÈGIC'!$Q$4:$Q$452,0)),""))</f>
        <v/>
      </c>
      <c r="P106" s="10">
        <f>IF($N106="","",IFERROR(INDEX('PLA ESTRATÈGIC'!$H$4:$H$452,MATCH($N106,'PLA ESTRATÈGIC'!$Q$4:$Q$452,0)),""))</f>
        <v/>
      </c>
      <c r="Q106" s="13" t="n"/>
      <c r="R106" s="11" t="n"/>
      <c r="S106" s="11" t="n"/>
      <c r="T106" s="11" t="n"/>
      <c r="U106" s="11" t="n"/>
      <c r="V106" s="10">
        <f>IF(COUNTA($C106,$D106,$J106,$M106)=0,"",IF(TRIM(IF($C106="","Falta l'actuació. ","")&amp;IF($D106="","Falta l'objectiu. ","")&amp;IF($J106="","Falta el tipus de despesa. ","")&amp;IF(AND($J106&lt;&gt;"",$J106&lt;&gt;"Mitjans propis",$J106&lt;&gt;"Altres",$M106=""),"Falta l'import. ","")&amp;IF(AND($J106="Contracte menor a càrrec del RAE",$K106=""),"Falta la partida RAE. ","")&amp;IF(AND($B106&lt;&gt;"",COUNTIF($B$6:$B$705,$B106)&gt;1),"Codi RAE repetit. ","")&amp;IF(AND($B106&lt;&gt;"",$J106&lt;&gt;"",$J106&lt;&gt;"Contracte menor a càrrec del RAE"),"Té codi RAE però no és de tipus RAE. ","")&amp;IF($N106="","Falta l'indicador del Pla. ","")&amp;IF($R106="","Falta el gestor. ","")&amp;IF($S106="","Falta indicar si és recurrent. ",""))="","✔",TRIM(IF($C106="","Falta l'actuació. ","")&amp;IF($D106="","Falta l'objectiu. ","")&amp;IF($J106="","Falta el tipus de despesa. ","")&amp;IF(AND($J106&lt;&gt;"",$J106&lt;&gt;"Mitjans propis",$J106&lt;&gt;"Altres",$M106=""),"Falta l'import. ","")&amp;IF(AND($J106="Contracte menor a càrrec del RAE",$K106=""),"Falta la partida RAE. ","")&amp;IF(AND($B106&lt;&gt;"",COUNTIF($B$6:$B$705,$B106)&gt;1),"Codi RAE repetit. ","")&amp;IF(AND($B106&lt;&gt;"",$J106&lt;&gt;"",$J106&lt;&gt;"Contracte menor a càrrec del RAE"),"Té codi RAE però no és de tipus RAE. ","")&amp;IF($N106="","Falta l'indicador del Pla. ","")&amp;IF($R106="","Falta el gestor. ","")&amp;IF($S106="","Falta indicar si és recurrent. ",""))))</f>
        <v/>
      </c>
    </row>
    <row r="107">
      <c r="A107" s="10">
        <f>IF($D107="","","27_"&amp;IFERROR(INDEX(Objectius!$E$2:$E$183,MATCH($D107,Objectius!$A$2:$A$183,0)),"??")&amp;"_"&amp;TEXT(COUNTIF($I$6:$I107,$I107),"00"))</f>
        <v/>
      </c>
      <c r="B107" s="11" t="n"/>
      <c r="C107" s="11" t="n"/>
      <c r="D107" s="11" t="n"/>
      <c r="E107" s="10">
        <f>IF($D107="","",IFERROR(INDEX(Objectius!$C$2:$C$183,MATCH($D107,Objectius!$A$2:$A$183,0)),"Objectiu no trobat al Pla"))</f>
        <v/>
      </c>
      <c r="F107" s="11" t="n"/>
      <c r="G107" s="11" t="n"/>
      <c r="H107" s="11" t="n"/>
      <c r="I107" s="10">
        <f>IF($D107="","",IFERROR(INDEX(Objectius!$D$2:$D$183,MATCH($D107,Objectius!$A$2:$A$183,0)),""))</f>
        <v/>
      </c>
      <c r="J107" s="11" t="n"/>
      <c r="K107" s="11" t="n"/>
      <c r="L107" s="11" t="n"/>
      <c r="M107" s="12" t="n"/>
      <c r="N107" s="11" t="n"/>
      <c r="O107" s="10">
        <f>IF($N107="","",IFERROR(INDEX('PLA ESTRATÈGIC'!$G$4:$G$452,MATCH($N107,'PLA ESTRATÈGIC'!$Q$4:$Q$452,0)),""))</f>
        <v/>
      </c>
      <c r="P107" s="10">
        <f>IF($N107="","",IFERROR(INDEX('PLA ESTRATÈGIC'!$H$4:$H$452,MATCH($N107,'PLA ESTRATÈGIC'!$Q$4:$Q$452,0)),""))</f>
        <v/>
      </c>
      <c r="Q107" s="13" t="n"/>
      <c r="R107" s="11" t="n"/>
      <c r="S107" s="11" t="n"/>
      <c r="T107" s="11" t="n"/>
      <c r="U107" s="11" t="n"/>
      <c r="V107" s="10">
        <f>IF(COUNTA($C107,$D107,$J107,$M107)=0,"",IF(TRIM(IF($C107="","Falta l'actuació. ","")&amp;IF($D107="","Falta l'objectiu. ","")&amp;IF($J107="","Falta el tipus de despesa. ","")&amp;IF(AND($J107&lt;&gt;"",$J107&lt;&gt;"Mitjans propis",$J107&lt;&gt;"Altres",$M107=""),"Falta l'import. ","")&amp;IF(AND($J107="Contracte menor a càrrec del RAE",$K107=""),"Falta la partida RAE. ","")&amp;IF(AND($B107&lt;&gt;"",COUNTIF($B$6:$B$705,$B107)&gt;1),"Codi RAE repetit. ","")&amp;IF(AND($B107&lt;&gt;"",$J107&lt;&gt;"",$J107&lt;&gt;"Contracte menor a càrrec del RAE"),"Té codi RAE però no és de tipus RAE. ","")&amp;IF($N107="","Falta l'indicador del Pla. ","")&amp;IF($R107="","Falta el gestor. ","")&amp;IF($S107="","Falta indicar si és recurrent. ",""))="","✔",TRIM(IF($C107="","Falta l'actuació. ","")&amp;IF($D107="","Falta l'objectiu. ","")&amp;IF($J107="","Falta el tipus de despesa. ","")&amp;IF(AND($J107&lt;&gt;"",$J107&lt;&gt;"Mitjans propis",$J107&lt;&gt;"Altres",$M107=""),"Falta l'import. ","")&amp;IF(AND($J107="Contracte menor a càrrec del RAE",$K107=""),"Falta la partida RAE. ","")&amp;IF(AND($B107&lt;&gt;"",COUNTIF($B$6:$B$705,$B107)&gt;1),"Codi RAE repetit. ","")&amp;IF(AND($B107&lt;&gt;"",$J107&lt;&gt;"",$J107&lt;&gt;"Contracte menor a càrrec del RAE"),"Té codi RAE però no és de tipus RAE. ","")&amp;IF($N107="","Falta l'indicador del Pla. ","")&amp;IF($R107="","Falta el gestor. ","")&amp;IF($S107="","Falta indicar si és recurrent. ",""))))</f>
        <v/>
      </c>
    </row>
    <row r="108">
      <c r="A108" s="10">
        <f>IF($D108="","","27_"&amp;IFERROR(INDEX(Objectius!$E$2:$E$183,MATCH($D108,Objectius!$A$2:$A$183,0)),"??")&amp;"_"&amp;TEXT(COUNTIF($I$6:$I108,$I108),"00"))</f>
        <v/>
      </c>
      <c r="B108" s="11" t="n"/>
      <c r="C108" s="11" t="n"/>
      <c r="D108" s="11" t="n"/>
      <c r="E108" s="10">
        <f>IF($D108="","",IFERROR(INDEX(Objectius!$C$2:$C$183,MATCH($D108,Objectius!$A$2:$A$183,0)),"Objectiu no trobat al Pla"))</f>
        <v/>
      </c>
      <c r="F108" s="11" t="n"/>
      <c r="G108" s="11" t="n"/>
      <c r="H108" s="11" t="n"/>
      <c r="I108" s="10">
        <f>IF($D108="","",IFERROR(INDEX(Objectius!$D$2:$D$183,MATCH($D108,Objectius!$A$2:$A$183,0)),""))</f>
        <v/>
      </c>
      <c r="J108" s="11" t="n"/>
      <c r="K108" s="11" t="n"/>
      <c r="L108" s="11" t="n"/>
      <c r="M108" s="12" t="n"/>
      <c r="N108" s="11" t="n"/>
      <c r="O108" s="10">
        <f>IF($N108="","",IFERROR(INDEX('PLA ESTRATÈGIC'!$G$4:$G$452,MATCH($N108,'PLA ESTRATÈGIC'!$Q$4:$Q$452,0)),""))</f>
        <v/>
      </c>
      <c r="P108" s="10">
        <f>IF($N108="","",IFERROR(INDEX('PLA ESTRATÈGIC'!$H$4:$H$452,MATCH($N108,'PLA ESTRATÈGIC'!$Q$4:$Q$452,0)),""))</f>
        <v/>
      </c>
      <c r="Q108" s="13" t="n"/>
      <c r="R108" s="11" t="n"/>
      <c r="S108" s="11" t="n"/>
      <c r="T108" s="11" t="n"/>
      <c r="U108" s="11" t="n"/>
      <c r="V108" s="10">
        <f>IF(COUNTA($C108,$D108,$J108,$M108)=0,"",IF(TRIM(IF($C108="","Falta l'actuació. ","")&amp;IF($D108="","Falta l'objectiu. ","")&amp;IF($J108="","Falta el tipus de despesa. ","")&amp;IF(AND($J108&lt;&gt;"",$J108&lt;&gt;"Mitjans propis",$J108&lt;&gt;"Altres",$M108=""),"Falta l'import. ","")&amp;IF(AND($J108="Contracte menor a càrrec del RAE",$K108=""),"Falta la partida RAE. ","")&amp;IF(AND($B108&lt;&gt;"",COUNTIF($B$6:$B$705,$B108)&gt;1),"Codi RAE repetit. ","")&amp;IF(AND($B108&lt;&gt;"",$J108&lt;&gt;"",$J108&lt;&gt;"Contracte menor a càrrec del RAE"),"Té codi RAE però no és de tipus RAE. ","")&amp;IF($N108="","Falta l'indicador del Pla. ","")&amp;IF($R108="","Falta el gestor. ","")&amp;IF($S108="","Falta indicar si és recurrent. ",""))="","✔",TRIM(IF($C108="","Falta l'actuació. ","")&amp;IF($D108="","Falta l'objectiu. ","")&amp;IF($J108="","Falta el tipus de despesa. ","")&amp;IF(AND($J108&lt;&gt;"",$J108&lt;&gt;"Mitjans propis",$J108&lt;&gt;"Altres",$M108=""),"Falta l'import. ","")&amp;IF(AND($J108="Contracte menor a càrrec del RAE",$K108=""),"Falta la partida RAE. ","")&amp;IF(AND($B108&lt;&gt;"",COUNTIF($B$6:$B$705,$B108)&gt;1),"Codi RAE repetit. ","")&amp;IF(AND($B108&lt;&gt;"",$J108&lt;&gt;"",$J108&lt;&gt;"Contracte menor a càrrec del RAE"),"Té codi RAE però no és de tipus RAE. ","")&amp;IF($N108="","Falta l'indicador del Pla. ","")&amp;IF($R108="","Falta el gestor. ","")&amp;IF($S108="","Falta indicar si és recurrent. ",""))))</f>
        <v/>
      </c>
    </row>
    <row r="109">
      <c r="A109" s="10">
        <f>IF($D109="","","27_"&amp;IFERROR(INDEX(Objectius!$E$2:$E$183,MATCH($D109,Objectius!$A$2:$A$183,0)),"??")&amp;"_"&amp;TEXT(COUNTIF($I$6:$I109,$I109),"00"))</f>
        <v/>
      </c>
      <c r="B109" s="11" t="n"/>
      <c r="C109" s="11" t="n"/>
      <c r="D109" s="11" t="n"/>
      <c r="E109" s="10">
        <f>IF($D109="","",IFERROR(INDEX(Objectius!$C$2:$C$183,MATCH($D109,Objectius!$A$2:$A$183,0)),"Objectiu no trobat al Pla"))</f>
        <v/>
      </c>
      <c r="F109" s="11" t="n"/>
      <c r="G109" s="11" t="n"/>
      <c r="H109" s="11" t="n"/>
      <c r="I109" s="10">
        <f>IF($D109="","",IFERROR(INDEX(Objectius!$D$2:$D$183,MATCH($D109,Objectius!$A$2:$A$183,0)),""))</f>
        <v/>
      </c>
      <c r="J109" s="11" t="n"/>
      <c r="K109" s="11" t="n"/>
      <c r="L109" s="11" t="n"/>
      <c r="M109" s="12" t="n"/>
      <c r="N109" s="11" t="n"/>
      <c r="O109" s="10">
        <f>IF($N109="","",IFERROR(INDEX('PLA ESTRATÈGIC'!$G$4:$G$452,MATCH($N109,'PLA ESTRATÈGIC'!$Q$4:$Q$452,0)),""))</f>
        <v/>
      </c>
      <c r="P109" s="10">
        <f>IF($N109="","",IFERROR(INDEX('PLA ESTRATÈGIC'!$H$4:$H$452,MATCH($N109,'PLA ESTRATÈGIC'!$Q$4:$Q$452,0)),""))</f>
        <v/>
      </c>
      <c r="Q109" s="13" t="n"/>
      <c r="R109" s="11" t="n"/>
      <c r="S109" s="11" t="n"/>
      <c r="T109" s="11" t="n"/>
      <c r="U109" s="11" t="n"/>
      <c r="V109" s="10">
        <f>IF(COUNTA($C109,$D109,$J109,$M109)=0,"",IF(TRIM(IF($C109="","Falta l'actuació. ","")&amp;IF($D109="","Falta l'objectiu. ","")&amp;IF($J109="","Falta el tipus de despesa. ","")&amp;IF(AND($J109&lt;&gt;"",$J109&lt;&gt;"Mitjans propis",$J109&lt;&gt;"Altres",$M109=""),"Falta l'import. ","")&amp;IF(AND($J109="Contracte menor a càrrec del RAE",$K109=""),"Falta la partida RAE. ","")&amp;IF(AND($B109&lt;&gt;"",COUNTIF($B$6:$B$705,$B109)&gt;1),"Codi RAE repetit. ","")&amp;IF(AND($B109&lt;&gt;"",$J109&lt;&gt;"",$J109&lt;&gt;"Contracte menor a càrrec del RAE"),"Té codi RAE però no és de tipus RAE. ","")&amp;IF($N109="","Falta l'indicador del Pla. ","")&amp;IF($R109="","Falta el gestor. ","")&amp;IF($S109="","Falta indicar si és recurrent. ",""))="","✔",TRIM(IF($C109="","Falta l'actuació. ","")&amp;IF($D109="","Falta l'objectiu. ","")&amp;IF($J109="","Falta el tipus de despesa. ","")&amp;IF(AND($J109&lt;&gt;"",$J109&lt;&gt;"Mitjans propis",$J109&lt;&gt;"Altres",$M109=""),"Falta l'import. ","")&amp;IF(AND($J109="Contracte menor a càrrec del RAE",$K109=""),"Falta la partida RAE. ","")&amp;IF(AND($B109&lt;&gt;"",COUNTIF($B$6:$B$705,$B109)&gt;1),"Codi RAE repetit. ","")&amp;IF(AND($B109&lt;&gt;"",$J109&lt;&gt;"",$J109&lt;&gt;"Contracte menor a càrrec del RAE"),"Té codi RAE però no és de tipus RAE. ","")&amp;IF($N109="","Falta l'indicador del Pla. ","")&amp;IF($R109="","Falta el gestor. ","")&amp;IF($S109="","Falta indicar si és recurrent. ",""))))</f>
        <v/>
      </c>
    </row>
    <row r="110">
      <c r="A110" s="10">
        <f>IF($D110="","","27_"&amp;IFERROR(INDEX(Objectius!$E$2:$E$183,MATCH($D110,Objectius!$A$2:$A$183,0)),"??")&amp;"_"&amp;TEXT(COUNTIF($I$6:$I110,$I110),"00"))</f>
        <v/>
      </c>
      <c r="B110" s="11" t="n"/>
      <c r="C110" s="11" t="n"/>
      <c r="D110" s="11" t="n"/>
      <c r="E110" s="10">
        <f>IF($D110="","",IFERROR(INDEX(Objectius!$C$2:$C$183,MATCH($D110,Objectius!$A$2:$A$183,0)),"Objectiu no trobat al Pla"))</f>
        <v/>
      </c>
      <c r="F110" s="11" t="n"/>
      <c r="G110" s="11" t="n"/>
      <c r="H110" s="11" t="n"/>
      <c r="I110" s="10">
        <f>IF($D110="","",IFERROR(INDEX(Objectius!$D$2:$D$183,MATCH($D110,Objectius!$A$2:$A$183,0)),""))</f>
        <v/>
      </c>
      <c r="J110" s="11" t="n"/>
      <c r="K110" s="11" t="n"/>
      <c r="L110" s="11" t="n"/>
      <c r="M110" s="12" t="n"/>
      <c r="N110" s="11" t="n"/>
      <c r="O110" s="10">
        <f>IF($N110="","",IFERROR(INDEX('PLA ESTRATÈGIC'!$G$4:$G$452,MATCH($N110,'PLA ESTRATÈGIC'!$Q$4:$Q$452,0)),""))</f>
        <v/>
      </c>
      <c r="P110" s="10">
        <f>IF($N110="","",IFERROR(INDEX('PLA ESTRATÈGIC'!$H$4:$H$452,MATCH($N110,'PLA ESTRATÈGIC'!$Q$4:$Q$452,0)),""))</f>
        <v/>
      </c>
      <c r="Q110" s="13" t="n"/>
      <c r="R110" s="11" t="n"/>
      <c r="S110" s="11" t="n"/>
      <c r="T110" s="11" t="n"/>
      <c r="U110" s="11" t="n"/>
      <c r="V110" s="10">
        <f>IF(COUNTA($C110,$D110,$J110,$M110)=0,"",IF(TRIM(IF($C110="","Falta l'actuació. ","")&amp;IF($D110="","Falta l'objectiu. ","")&amp;IF($J110="","Falta el tipus de despesa. ","")&amp;IF(AND($J110&lt;&gt;"",$J110&lt;&gt;"Mitjans propis",$J110&lt;&gt;"Altres",$M110=""),"Falta l'import. ","")&amp;IF(AND($J110="Contracte menor a càrrec del RAE",$K110=""),"Falta la partida RAE. ","")&amp;IF(AND($B110&lt;&gt;"",COUNTIF($B$6:$B$705,$B110)&gt;1),"Codi RAE repetit. ","")&amp;IF(AND($B110&lt;&gt;"",$J110&lt;&gt;"",$J110&lt;&gt;"Contracte menor a càrrec del RAE"),"Té codi RAE però no és de tipus RAE. ","")&amp;IF($N110="","Falta l'indicador del Pla. ","")&amp;IF($R110="","Falta el gestor. ","")&amp;IF($S110="","Falta indicar si és recurrent. ",""))="","✔",TRIM(IF($C110="","Falta l'actuació. ","")&amp;IF($D110="","Falta l'objectiu. ","")&amp;IF($J110="","Falta el tipus de despesa. ","")&amp;IF(AND($J110&lt;&gt;"",$J110&lt;&gt;"Mitjans propis",$J110&lt;&gt;"Altres",$M110=""),"Falta l'import. ","")&amp;IF(AND($J110="Contracte menor a càrrec del RAE",$K110=""),"Falta la partida RAE. ","")&amp;IF(AND($B110&lt;&gt;"",COUNTIF($B$6:$B$705,$B110)&gt;1),"Codi RAE repetit. ","")&amp;IF(AND($B110&lt;&gt;"",$J110&lt;&gt;"",$J110&lt;&gt;"Contracte menor a càrrec del RAE"),"Té codi RAE però no és de tipus RAE. ","")&amp;IF($N110="","Falta l'indicador del Pla. ","")&amp;IF($R110="","Falta el gestor. ","")&amp;IF($S110="","Falta indicar si és recurrent. ",""))))</f>
        <v/>
      </c>
    </row>
    <row r="111">
      <c r="A111" s="10">
        <f>IF($D111="","","27_"&amp;IFERROR(INDEX(Objectius!$E$2:$E$183,MATCH($D111,Objectius!$A$2:$A$183,0)),"??")&amp;"_"&amp;TEXT(COUNTIF($I$6:$I111,$I111),"00"))</f>
        <v/>
      </c>
      <c r="B111" s="11" t="n"/>
      <c r="C111" s="11" t="n"/>
      <c r="D111" s="11" t="n"/>
      <c r="E111" s="10">
        <f>IF($D111="","",IFERROR(INDEX(Objectius!$C$2:$C$183,MATCH($D111,Objectius!$A$2:$A$183,0)),"Objectiu no trobat al Pla"))</f>
        <v/>
      </c>
      <c r="F111" s="11" t="n"/>
      <c r="G111" s="11" t="n"/>
      <c r="H111" s="11" t="n"/>
      <c r="I111" s="10">
        <f>IF($D111="","",IFERROR(INDEX(Objectius!$D$2:$D$183,MATCH($D111,Objectius!$A$2:$A$183,0)),""))</f>
        <v/>
      </c>
      <c r="J111" s="11" t="n"/>
      <c r="K111" s="11" t="n"/>
      <c r="L111" s="11" t="n"/>
      <c r="M111" s="12" t="n"/>
      <c r="N111" s="11" t="n"/>
      <c r="O111" s="10">
        <f>IF($N111="","",IFERROR(INDEX('PLA ESTRATÈGIC'!$G$4:$G$452,MATCH($N111,'PLA ESTRATÈGIC'!$Q$4:$Q$452,0)),""))</f>
        <v/>
      </c>
      <c r="P111" s="10">
        <f>IF($N111="","",IFERROR(INDEX('PLA ESTRATÈGIC'!$H$4:$H$452,MATCH($N111,'PLA ESTRATÈGIC'!$Q$4:$Q$452,0)),""))</f>
        <v/>
      </c>
      <c r="Q111" s="13" t="n"/>
      <c r="R111" s="11" t="n"/>
      <c r="S111" s="11" t="n"/>
      <c r="T111" s="11" t="n"/>
      <c r="U111" s="11" t="n"/>
      <c r="V111" s="10">
        <f>IF(COUNTA($C111,$D111,$J111,$M111)=0,"",IF(TRIM(IF($C111="","Falta l'actuació. ","")&amp;IF($D111="","Falta l'objectiu. ","")&amp;IF($J111="","Falta el tipus de despesa. ","")&amp;IF(AND($J111&lt;&gt;"",$J111&lt;&gt;"Mitjans propis",$J111&lt;&gt;"Altres",$M111=""),"Falta l'import. ","")&amp;IF(AND($J111="Contracte menor a càrrec del RAE",$K111=""),"Falta la partida RAE. ","")&amp;IF(AND($B111&lt;&gt;"",COUNTIF($B$6:$B$705,$B111)&gt;1),"Codi RAE repetit. ","")&amp;IF(AND($B111&lt;&gt;"",$J111&lt;&gt;"",$J111&lt;&gt;"Contracte menor a càrrec del RAE"),"Té codi RAE però no és de tipus RAE. ","")&amp;IF($N111="","Falta l'indicador del Pla. ","")&amp;IF($R111="","Falta el gestor. ","")&amp;IF($S111="","Falta indicar si és recurrent. ",""))="","✔",TRIM(IF($C111="","Falta l'actuació. ","")&amp;IF($D111="","Falta l'objectiu. ","")&amp;IF($J111="","Falta el tipus de despesa. ","")&amp;IF(AND($J111&lt;&gt;"",$J111&lt;&gt;"Mitjans propis",$J111&lt;&gt;"Altres",$M111=""),"Falta l'import. ","")&amp;IF(AND($J111="Contracte menor a càrrec del RAE",$K111=""),"Falta la partida RAE. ","")&amp;IF(AND($B111&lt;&gt;"",COUNTIF($B$6:$B$705,$B111)&gt;1),"Codi RAE repetit. ","")&amp;IF(AND($B111&lt;&gt;"",$J111&lt;&gt;"",$J111&lt;&gt;"Contracte menor a càrrec del RAE"),"Té codi RAE però no és de tipus RAE. ","")&amp;IF($N111="","Falta l'indicador del Pla. ","")&amp;IF($R111="","Falta el gestor. ","")&amp;IF($S111="","Falta indicar si és recurrent. ",""))))</f>
        <v/>
      </c>
    </row>
    <row r="112">
      <c r="A112" s="10">
        <f>IF($D112="","","27_"&amp;IFERROR(INDEX(Objectius!$E$2:$E$183,MATCH($D112,Objectius!$A$2:$A$183,0)),"??")&amp;"_"&amp;TEXT(COUNTIF($I$6:$I112,$I112),"00"))</f>
        <v/>
      </c>
      <c r="B112" s="11" t="n"/>
      <c r="C112" s="11" t="n"/>
      <c r="D112" s="11" t="n"/>
      <c r="E112" s="10">
        <f>IF($D112="","",IFERROR(INDEX(Objectius!$C$2:$C$183,MATCH($D112,Objectius!$A$2:$A$183,0)),"Objectiu no trobat al Pla"))</f>
        <v/>
      </c>
      <c r="F112" s="11" t="n"/>
      <c r="G112" s="11" t="n"/>
      <c r="H112" s="11" t="n"/>
      <c r="I112" s="10">
        <f>IF($D112="","",IFERROR(INDEX(Objectius!$D$2:$D$183,MATCH($D112,Objectius!$A$2:$A$183,0)),""))</f>
        <v/>
      </c>
      <c r="J112" s="11" t="n"/>
      <c r="K112" s="11" t="n"/>
      <c r="L112" s="11" t="n"/>
      <c r="M112" s="12" t="n"/>
      <c r="N112" s="11" t="n"/>
      <c r="O112" s="10">
        <f>IF($N112="","",IFERROR(INDEX('PLA ESTRATÈGIC'!$G$4:$G$452,MATCH($N112,'PLA ESTRATÈGIC'!$Q$4:$Q$452,0)),""))</f>
        <v/>
      </c>
      <c r="P112" s="10">
        <f>IF($N112="","",IFERROR(INDEX('PLA ESTRATÈGIC'!$H$4:$H$452,MATCH($N112,'PLA ESTRATÈGIC'!$Q$4:$Q$452,0)),""))</f>
        <v/>
      </c>
      <c r="Q112" s="13" t="n"/>
      <c r="R112" s="11" t="n"/>
      <c r="S112" s="11" t="n"/>
      <c r="T112" s="11" t="n"/>
      <c r="U112" s="11" t="n"/>
      <c r="V112" s="10">
        <f>IF(COUNTA($C112,$D112,$J112,$M112)=0,"",IF(TRIM(IF($C112="","Falta l'actuació. ","")&amp;IF($D112="","Falta l'objectiu. ","")&amp;IF($J112="","Falta el tipus de despesa. ","")&amp;IF(AND($J112&lt;&gt;"",$J112&lt;&gt;"Mitjans propis",$J112&lt;&gt;"Altres",$M112=""),"Falta l'import. ","")&amp;IF(AND($J112="Contracte menor a càrrec del RAE",$K112=""),"Falta la partida RAE. ","")&amp;IF(AND($B112&lt;&gt;"",COUNTIF($B$6:$B$705,$B112)&gt;1),"Codi RAE repetit. ","")&amp;IF(AND($B112&lt;&gt;"",$J112&lt;&gt;"",$J112&lt;&gt;"Contracte menor a càrrec del RAE"),"Té codi RAE però no és de tipus RAE. ","")&amp;IF($N112="","Falta l'indicador del Pla. ","")&amp;IF($R112="","Falta el gestor. ","")&amp;IF($S112="","Falta indicar si és recurrent. ",""))="","✔",TRIM(IF($C112="","Falta l'actuació. ","")&amp;IF($D112="","Falta l'objectiu. ","")&amp;IF($J112="","Falta el tipus de despesa. ","")&amp;IF(AND($J112&lt;&gt;"",$J112&lt;&gt;"Mitjans propis",$J112&lt;&gt;"Altres",$M112=""),"Falta l'import. ","")&amp;IF(AND($J112="Contracte menor a càrrec del RAE",$K112=""),"Falta la partida RAE. ","")&amp;IF(AND($B112&lt;&gt;"",COUNTIF($B$6:$B$705,$B112)&gt;1),"Codi RAE repetit. ","")&amp;IF(AND($B112&lt;&gt;"",$J112&lt;&gt;"",$J112&lt;&gt;"Contracte menor a càrrec del RAE"),"Té codi RAE però no és de tipus RAE. ","")&amp;IF($N112="","Falta l'indicador del Pla. ","")&amp;IF($R112="","Falta el gestor. ","")&amp;IF($S112="","Falta indicar si és recurrent. ",""))))</f>
        <v/>
      </c>
    </row>
    <row r="113">
      <c r="A113" s="10">
        <f>IF($D113="","","27_"&amp;IFERROR(INDEX(Objectius!$E$2:$E$183,MATCH($D113,Objectius!$A$2:$A$183,0)),"??")&amp;"_"&amp;TEXT(COUNTIF($I$6:$I113,$I113),"00"))</f>
        <v/>
      </c>
      <c r="B113" s="11" t="n"/>
      <c r="C113" s="11" t="n"/>
      <c r="D113" s="11" t="n"/>
      <c r="E113" s="10">
        <f>IF($D113="","",IFERROR(INDEX(Objectius!$C$2:$C$183,MATCH($D113,Objectius!$A$2:$A$183,0)),"Objectiu no trobat al Pla"))</f>
        <v/>
      </c>
      <c r="F113" s="11" t="n"/>
      <c r="G113" s="11" t="n"/>
      <c r="H113" s="11" t="n"/>
      <c r="I113" s="10">
        <f>IF($D113="","",IFERROR(INDEX(Objectius!$D$2:$D$183,MATCH($D113,Objectius!$A$2:$A$183,0)),""))</f>
        <v/>
      </c>
      <c r="J113" s="11" t="n"/>
      <c r="K113" s="11" t="n"/>
      <c r="L113" s="11" t="n"/>
      <c r="M113" s="12" t="n"/>
      <c r="N113" s="11" t="n"/>
      <c r="O113" s="10">
        <f>IF($N113="","",IFERROR(INDEX('PLA ESTRATÈGIC'!$G$4:$G$452,MATCH($N113,'PLA ESTRATÈGIC'!$Q$4:$Q$452,0)),""))</f>
        <v/>
      </c>
      <c r="P113" s="10">
        <f>IF($N113="","",IFERROR(INDEX('PLA ESTRATÈGIC'!$H$4:$H$452,MATCH($N113,'PLA ESTRATÈGIC'!$Q$4:$Q$452,0)),""))</f>
        <v/>
      </c>
      <c r="Q113" s="13" t="n"/>
      <c r="R113" s="11" t="n"/>
      <c r="S113" s="11" t="n"/>
      <c r="T113" s="11" t="n"/>
      <c r="U113" s="11" t="n"/>
      <c r="V113" s="10">
        <f>IF(COUNTA($C113,$D113,$J113,$M113)=0,"",IF(TRIM(IF($C113="","Falta l'actuació. ","")&amp;IF($D113="","Falta l'objectiu. ","")&amp;IF($J113="","Falta el tipus de despesa. ","")&amp;IF(AND($J113&lt;&gt;"",$J113&lt;&gt;"Mitjans propis",$J113&lt;&gt;"Altres",$M113=""),"Falta l'import. ","")&amp;IF(AND($J113="Contracte menor a càrrec del RAE",$K113=""),"Falta la partida RAE. ","")&amp;IF(AND($B113&lt;&gt;"",COUNTIF($B$6:$B$705,$B113)&gt;1),"Codi RAE repetit. ","")&amp;IF(AND($B113&lt;&gt;"",$J113&lt;&gt;"",$J113&lt;&gt;"Contracte menor a càrrec del RAE"),"Té codi RAE però no és de tipus RAE. ","")&amp;IF($N113="","Falta l'indicador del Pla. ","")&amp;IF($R113="","Falta el gestor. ","")&amp;IF($S113="","Falta indicar si és recurrent. ",""))="","✔",TRIM(IF($C113="","Falta l'actuació. ","")&amp;IF($D113="","Falta l'objectiu. ","")&amp;IF($J113="","Falta el tipus de despesa. ","")&amp;IF(AND($J113&lt;&gt;"",$J113&lt;&gt;"Mitjans propis",$J113&lt;&gt;"Altres",$M113=""),"Falta l'import. ","")&amp;IF(AND($J113="Contracte menor a càrrec del RAE",$K113=""),"Falta la partida RAE. ","")&amp;IF(AND($B113&lt;&gt;"",COUNTIF($B$6:$B$705,$B113)&gt;1),"Codi RAE repetit. ","")&amp;IF(AND($B113&lt;&gt;"",$J113&lt;&gt;"",$J113&lt;&gt;"Contracte menor a càrrec del RAE"),"Té codi RAE però no és de tipus RAE. ","")&amp;IF($N113="","Falta l'indicador del Pla. ","")&amp;IF($R113="","Falta el gestor. ","")&amp;IF($S113="","Falta indicar si és recurrent. ",""))))</f>
        <v/>
      </c>
    </row>
    <row r="114">
      <c r="A114" s="10">
        <f>IF($D114="","","27_"&amp;IFERROR(INDEX(Objectius!$E$2:$E$183,MATCH($D114,Objectius!$A$2:$A$183,0)),"??")&amp;"_"&amp;TEXT(COUNTIF($I$6:$I114,$I114),"00"))</f>
        <v/>
      </c>
      <c r="B114" s="11" t="n"/>
      <c r="C114" s="11" t="n"/>
      <c r="D114" s="11" t="n"/>
      <c r="E114" s="10">
        <f>IF($D114="","",IFERROR(INDEX(Objectius!$C$2:$C$183,MATCH($D114,Objectius!$A$2:$A$183,0)),"Objectiu no trobat al Pla"))</f>
        <v/>
      </c>
      <c r="F114" s="11" t="n"/>
      <c r="G114" s="11" t="n"/>
      <c r="H114" s="11" t="n"/>
      <c r="I114" s="10">
        <f>IF($D114="","",IFERROR(INDEX(Objectius!$D$2:$D$183,MATCH($D114,Objectius!$A$2:$A$183,0)),""))</f>
        <v/>
      </c>
      <c r="J114" s="11" t="n"/>
      <c r="K114" s="11" t="n"/>
      <c r="L114" s="11" t="n"/>
      <c r="M114" s="12" t="n"/>
      <c r="N114" s="11" t="n"/>
      <c r="O114" s="10">
        <f>IF($N114="","",IFERROR(INDEX('PLA ESTRATÈGIC'!$G$4:$G$452,MATCH($N114,'PLA ESTRATÈGIC'!$Q$4:$Q$452,0)),""))</f>
        <v/>
      </c>
      <c r="P114" s="10">
        <f>IF($N114="","",IFERROR(INDEX('PLA ESTRATÈGIC'!$H$4:$H$452,MATCH($N114,'PLA ESTRATÈGIC'!$Q$4:$Q$452,0)),""))</f>
        <v/>
      </c>
      <c r="Q114" s="13" t="n"/>
      <c r="R114" s="11" t="n"/>
      <c r="S114" s="11" t="n"/>
      <c r="T114" s="11" t="n"/>
      <c r="U114" s="11" t="n"/>
      <c r="V114" s="10">
        <f>IF(COUNTA($C114,$D114,$J114,$M114)=0,"",IF(TRIM(IF($C114="","Falta l'actuació. ","")&amp;IF($D114="","Falta l'objectiu. ","")&amp;IF($J114="","Falta el tipus de despesa. ","")&amp;IF(AND($J114&lt;&gt;"",$J114&lt;&gt;"Mitjans propis",$J114&lt;&gt;"Altres",$M114=""),"Falta l'import. ","")&amp;IF(AND($J114="Contracte menor a càrrec del RAE",$K114=""),"Falta la partida RAE. ","")&amp;IF(AND($B114&lt;&gt;"",COUNTIF($B$6:$B$705,$B114)&gt;1),"Codi RAE repetit. ","")&amp;IF(AND($B114&lt;&gt;"",$J114&lt;&gt;"",$J114&lt;&gt;"Contracte menor a càrrec del RAE"),"Té codi RAE però no és de tipus RAE. ","")&amp;IF($N114="","Falta l'indicador del Pla. ","")&amp;IF($R114="","Falta el gestor. ","")&amp;IF($S114="","Falta indicar si és recurrent. ",""))="","✔",TRIM(IF($C114="","Falta l'actuació. ","")&amp;IF($D114="","Falta l'objectiu. ","")&amp;IF($J114="","Falta el tipus de despesa. ","")&amp;IF(AND($J114&lt;&gt;"",$J114&lt;&gt;"Mitjans propis",$J114&lt;&gt;"Altres",$M114=""),"Falta l'import. ","")&amp;IF(AND($J114="Contracte menor a càrrec del RAE",$K114=""),"Falta la partida RAE. ","")&amp;IF(AND($B114&lt;&gt;"",COUNTIF($B$6:$B$705,$B114)&gt;1),"Codi RAE repetit. ","")&amp;IF(AND($B114&lt;&gt;"",$J114&lt;&gt;"",$J114&lt;&gt;"Contracte menor a càrrec del RAE"),"Té codi RAE però no és de tipus RAE. ","")&amp;IF($N114="","Falta l'indicador del Pla. ","")&amp;IF($R114="","Falta el gestor. ","")&amp;IF($S114="","Falta indicar si és recurrent. ",""))))</f>
        <v/>
      </c>
    </row>
    <row r="115">
      <c r="A115" s="10">
        <f>IF($D115="","","27_"&amp;IFERROR(INDEX(Objectius!$E$2:$E$183,MATCH($D115,Objectius!$A$2:$A$183,0)),"??")&amp;"_"&amp;TEXT(COUNTIF($I$6:$I115,$I115),"00"))</f>
        <v/>
      </c>
      <c r="B115" s="11" t="n"/>
      <c r="C115" s="11" t="n"/>
      <c r="D115" s="11" t="n"/>
      <c r="E115" s="10">
        <f>IF($D115="","",IFERROR(INDEX(Objectius!$C$2:$C$183,MATCH($D115,Objectius!$A$2:$A$183,0)),"Objectiu no trobat al Pla"))</f>
        <v/>
      </c>
      <c r="F115" s="11" t="n"/>
      <c r="G115" s="11" t="n"/>
      <c r="H115" s="11" t="n"/>
      <c r="I115" s="10">
        <f>IF($D115="","",IFERROR(INDEX(Objectius!$D$2:$D$183,MATCH($D115,Objectius!$A$2:$A$183,0)),""))</f>
        <v/>
      </c>
      <c r="J115" s="11" t="n"/>
      <c r="K115" s="11" t="n"/>
      <c r="L115" s="11" t="n"/>
      <c r="M115" s="12" t="n"/>
      <c r="N115" s="11" t="n"/>
      <c r="O115" s="10">
        <f>IF($N115="","",IFERROR(INDEX('PLA ESTRATÈGIC'!$G$4:$G$452,MATCH($N115,'PLA ESTRATÈGIC'!$Q$4:$Q$452,0)),""))</f>
        <v/>
      </c>
      <c r="P115" s="10">
        <f>IF($N115="","",IFERROR(INDEX('PLA ESTRATÈGIC'!$H$4:$H$452,MATCH($N115,'PLA ESTRATÈGIC'!$Q$4:$Q$452,0)),""))</f>
        <v/>
      </c>
      <c r="Q115" s="13" t="n"/>
      <c r="R115" s="11" t="n"/>
      <c r="S115" s="11" t="n"/>
      <c r="T115" s="11" t="n"/>
      <c r="U115" s="11" t="n"/>
      <c r="V115" s="10">
        <f>IF(COUNTA($C115,$D115,$J115,$M115)=0,"",IF(TRIM(IF($C115="","Falta l'actuació. ","")&amp;IF($D115="","Falta l'objectiu. ","")&amp;IF($J115="","Falta el tipus de despesa. ","")&amp;IF(AND($J115&lt;&gt;"",$J115&lt;&gt;"Mitjans propis",$J115&lt;&gt;"Altres",$M115=""),"Falta l'import. ","")&amp;IF(AND($J115="Contracte menor a càrrec del RAE",$K115=""),"Falta la partida RAE. ","")&amp;IF(AND($B115&lt;&gt;"",COUNTIF($B$6:$B$705,$B115)&gt;1),"Codi RAE repetit. ","")&amp;IF(AND($B115&lt;&gt;"",$J115&lt;&gt;"",$J115&lt;&gt;"Contracte menor a càrrec del RAE"),"Té codi RAE però no és de tipus RAE. ","")&amp;IF($N115="","Falta l'indicador del Pla. ","")&amp;IF($R115="","Falta el gestor. ","")&amp;IF($S115="","Falta indicar si és recurrent. ",""))="","✔",TRIM(IF($C115="","Falta l'actuació. ","")&amp;IF($D115="","Falta l'objectiu. ","")&amp;IF($J115="","Falta el tipus de despesa. ","")&amp;IF(AND($J115&lt;&gt;"",$J115&lt;&gt;"Mitjans propis",$J115&lt;&gt;"Altres",$M115=""),"Falta l'import. ","")&amp;IF(AND($J115="Contracte menor a càrrec del RAE",$K115=""),"Falta la partida RAE. ","")&amp;IF(AND($B115&lt;&gt;"",COUNTIF($B$6:$B$705,$B115)&gt;1),"Codi RAE repetit. ","")&amp;IF(AND($B115&lt;&gt;"",$J115&lt;&gt;"",$J115&lt;&gt;"Contracte menor a càrrec del RAE"),"Té codi RAE però no és de tipus RAE. ","")&amp;IF($N115="","Falta l'indicador del Pla. ","")&amp;IF($R115="","Falta el gestor. ","")&amp;IF($S115="","Falta indicar si és recurrent. ",""))))</f>
        <v/>
      </c>
    </row>
    <row r="116">
      <c r="A116" s="10">
        <f>IF($D116="","","27_"&amp;IFERROR(INDEX(Objectius!$E$2:$E$183,MATCH($D116,Objectius!$A$2:$A$183,0)),"??")&amp;"_"&amp;TEXT(COUNTIF($I$6:$I116,$I116),"00"))</f>
        <v/>
      </c>
      <c r="B116" s="11" t="n"/>
      <c r="C116" s="11" t="n"/>
      <c r="D116" s="11" t="n"/>
      <c r="E116" s="10">
        <f>IF($D116="","",IFERROR(INDEX(Objectius!$C$2:$C$183,MATCH($D116,Objectius!$A$2:$A$183,0)),"Objectiu no trobat al Pla"))</f>
        <v/>
      </c>
      <c r="F116" s="11" t="n"/>
      <c r="G116" s="11" t="n"/>
      <c r="H116" s="11" t="n"/>
      <c r="I116" s="10">
        <f>IF($D116="","",IFERROR(INDEX(Objectius!$D$2:$D$183,MATCH($D116,Objectius!$A$2:$A$183,0)),""))</f>
        <v/>
      </c>
      <c r="J116" s="11" t="n"/>
      <c r="K116" s="11" t="n"/>
      <c r="L116" s="11" t="n"/>
      <c r="M116" s="12" t="n"/>
      <c r="N116" s="11" t="n"/>
      <c r="O116" s="10">
        <f>IF($N116="","",IFERROR(INDEX('PLA ESTRATÈGIC'!$G$4:$G$452,MATCH($N116,'PLA ESTRATÈGIC'!$Q$4:$Q$452,0)),""))</f>
        <v/>
      </c>
      <c r="P116" s="10">
        <f>IF($N116="","",IFERROR(INDEX('PLA ESTRATÈGIC'!$H$4:$H$452,MATCH($N116,'PLA ESTRATÈGIC'!$Q$4:$Q$452,0)),""))</f>
        <v/>
      </c>
      <c r="Q116" s="13" t="n"/>
      <c r="R116" s="11" t="n"/>
      <c r="S116" s="11" t="n"/>
      <c r="T116" s="11" t="n"/>
      <c r="U116" s="11" t="n"/>
      <c r="V116" s="10">
        <f>IF(COUNTA($C116,$D116,$J116,$M116)=0,"",IF(TRIM(IF($C116="","Falta l'actuació. ","")&amp;IF($D116="","Falta l'objectiu. ","")&amp;IF($J116="","Falta el tipus de despesa. ","")&amp;IF(AND($J116&lt;&gt;"",$J116&lt;&gt;"Mitjans propis",$J116&lt;&gt;"Altres",$M116=""),"Falta l'import. ","")&amp;IF(AND($J116="Contracte menor a càrrec del RAE",$K116=""),"Falta la partida RAE. ","")&amp;IF(AND($B116&lt;&gt;"",COUNTIF($B$6:$B$705,$B116)&gt;1),"Codi RAE repetit. ","")&amp;IF(AND($B116&lt;&gt;"",$J116&lt;&gt;"",$J116&lt;&gt;"Contracte menor a càrrec del RAE"),"Té codi RAE però no és de tipus RAE. ","")&amp;IF($N116="","Falta l'indicador del Pla. ","")&amp;IF($R116="","Falta el gestor. ","")&amp;IF($S116="","Falta indicar si és recurrent. ",""))="","✔",TRIM(IF($C116="","Falta l'actuació. ","")&amp;IF($D116="","Falta l'objectiu. ","")&amp;IF($J116="","Falta el tipus de despesa. ","")&amp;IF(AND($J116&lt;&gt;"",$J116&lt;&gt;"Mitjans propis",$J116&lt;&gt;"Altres",$M116=""),"Falta l'import. ","")&amp;IF(AND($J116="Contracte menor a càrrec del RAE",$K116=""),"Falta la partida RAE. ","")&amp;IF(AND($B116&lt;&gt;"",COUNTIF($B$6:$B$705,$B116)&gt;1),"Codi RAE repetit. ","")&amp;IF(AND($B116&lt;&gt;"",$J116&lt;&gt;"",$J116&lt;&gt;"Contracte menor a càrrec del RAE"),"Té codi RAE però no és de tipus RAE. ","")&amp;IF($N116="","Falta l'indicador del Pla. ","")&amp;IF($R116="","Falta el gestor. ","")&amp;IF($S116="","Falta indicar si és recurrent. ",""))))</f>
        <v/>
      </c>
    </row>
    <row r="117">
      <c r="A117" s="10">
        <f>IF($D117="","","27_"&amp;IFERROR(INDEX(Objectius!$E$2:$E$183,MATCH($D117,Objectius!$A$2:$A$183,0)),"??")&amp;"_"&amp;TEXT(COUNTIF($I$6:$I117,$I117),"00"))</f>
        <v/>
      </c>
      <c r="B117" s="11" t="n"/>
      <c r="C117" s="11" t="n"/>
      <c r="D117" s="11" t="n"/>
      <c r="E117" s="10">
        <f>IF($D117="","",IFERROR(INDEX(Objectius!$C$2:$C$183,MATCH($D117,Objectius!$A$2:$A$183,0)),"Objectiu no trobat al Pla"))</f>
        <v/>
      </c>
      <c r="F117" s="11" t="n"/>
      <c r="G117" s="11" t="n"/>
      <c r="H117" s="11" t="n"/>
      <c r="I117" s="10">
        <f>IF($D117="","",IFERROR(INDEX(Objectius!$D$2:$D$183,MATCH($D117,Objectius!$A$2:$A$183,0)),""))</f>
        <v/>
      </c>
      <c r="J117" s="11" t="n"/>
      <c r="K117" s="11" t="n"/>
      <c r="L117" s="11" t="n"/>
      <c r="M117" s="12" t="n"/>
      <c r="N117" s="11" t="n"/>
      <c r="O117" s="10">
        <f>IF($N117="","",IFERROR(INDEX('PLA ESTRATÈGIC'!$G$4:$G$452,MATCH($N117,'PLA ESTRATÈGIC'!$Q$4:$Q$452,0)),""))</f>
        <v/>
      </c>
      <c r="P117" s="10">
        <f>IF($N117="","",IFERROR(INDEX('PLA ESTRATÈGIC'!$H$4:$H$452,MATCH($N117,'PLA ESTRATÈGIC'!$Q$4:$Q$452,0)),""))</f>
        <v/>
      </c>
      <c r="Q117" s="13" t="n"/>
      <c r="R117" s="11" t="n"/>
      <c r="S117" s="11" t="n"/>
      <c r="T117" s="11" t="n"/>
      <c r="U117" s="11" t="n"/>
      <c r="V117" s="10">
        <f>IF(COUNTA($C117,$D117,$J117,$M117)=0,"",IF(TRIM(IF($C117="","Falta l'actuació. ","")&amp;IF($D117="","Falta l'objectiu. ","")&amp;IF($J117="","Falta el tipus de despesa. ","")&amp;IF(AND($J117&lt;&gt;"",$J117&lt;&gt;"Mitjans propis",$J117&lt;&gt;"Altres",$M117=""),"Falta l'import. ","")&amp;IF(AND($J117="Contracte menor a càrrec del RAE",$K117=""),"Falta la partida RAE. ","")&amp;IF(AND($B117&lt;&gt;"",COUNTIF($B$6:$B$705,$B117)&gt;1),"Codi RAE repetit. ","")&amp;IF(AND($B117&lt;&gt;"",$J117&lt;&gt;"",$J117&lt;&gt;"Contracte menor a càrrec del RAE"),"Té codi RAE però no és de tipus RAE. ","")&amp;IF($N117="","Falta l'indicador del Pla. ","")&amp;IF($R117="","Falta el gestor. ","")&amp;IF($S117="","Falta indicar si és recurrent. ",""))="","✔",TRIM(IF($C117="","Falta l'actuació. ","")&amp;IF($D117="","Falta l'objectiu. ","")&amp;IF($J117="","Falta el tipus de despesa. ","")&amp;IF(AND($J117&lt;&gt;"",$J117&lt;&gt;"Mitjans propis",$J117&lt;&gt;"Altres",$M117=""),"Falta l'import. ","")&amp;IF(AND($J117="Contracte menor a càrrec del RAE",$K117=""),"Falta la partida RAE. ","")&amp;IF(AND($B117&lt;&gt;"",COUNTIF($B$6:$B$705,$B117)&gt;1),"Codi RAE repetit. ","")&amp;IF(AND($B117&lt;&gt;"",$J117&lt;&gt;"",$J117&lt;&gt;"Contracte menor a càrrec del RAE"),"Té codi RAE però no és de tipus RAE. ","")&amp;IF($N117="","Falta l'indicador del Pla. ","")&amp;IF($R117="","Falta el gestor. ","")&amp;IF($S117="","Falta indicar si és recurrent. ",""))))</f>
        <v/>
      </c>
    </row>
    <row r="118">
      <c r="A118" s="10">
        <f>IF($D118="","","27_"&amp;IFERROR(INDEX(Objectius!$E$2:$E$183,MATCH($D118,Objectius!$A$2:$A$183,0)),"??")&amp;"_"&amp;TEXT(COUNTIF($I$6:$I118,$I118),"00"))</f>
        <v/>
      </c>
      <c r="B118" s="11" t="n"/>
      <c r="C118" s="11" t="n"/>
      <c r="D118" s="11" t="n"/>
      <c r="E118" s="10">
        <f>IF($D118="","",IFERROR(INDEX(Objectius!$C$2:$C$183,MATCH($D118,Objectius!$A$2:$A$183,0)),"Objectiu no trobat al Pla"))</f>
        <v/>
      </c>
      <c r="F118" s="11" t="n"/>
      <c r="G118" s="11" t="n"/>
      <c r="H118" s="11" t="n"/>
      <c r="I118" s="10">
        <f>IF($D118="","",IFERROR(INDEX(Objectius!$D$2:$D$183,MATCH($D118,Objectius!$A$2:$A$183,0)),""))</f>
        <v/>
      </c>
      <c r="J118" s="11" t="n"/>
      <c r="K118" s="11" t="n"/>
      <c r="L118" s="11" t="n"/>
      <c r="M118" s="12" t="n"/>
      <c r="N118" s="11" t="n"/>
      <c r="O118" s="10">
        <f>IF($N118="","",IFERROR(INDEX('PLA ESTRATÈGIC'!$G$4:$G$452,MATCH($N118,'PLA ESTRATÈGIC'!$Q$4:$Q$452,0)),""))</f>
        <v/>
      </c>
      <c r="P118" s="10">
        <f>IF($N118="","",IFERROR(INDEX('PLA ESTRATÈGIC'!$H$4:$H$452,MATCH($N118,'PLA ESTRATÈGIC'!$Q$4:$Q$452,0)),""))</f>
        <v/>
      </c>
      <c r="Q118" s="13" t="n"/>
      <c r="R118" s="11" t="n"/>
      <c r="S118" s="11" t="n"/>
      <c r="T118" s="11" t="n"/>
      <c r="U118" s="11" t="n"/>
      <c r="V118" s="10">
        <f>IF(COUNTA($C118,$D118,$J118,$M118)=0,"",IF(TRIM(IF($C118="","Falta l'actuació. ","")&amp;IF($D118="","Falta l'objectiu. ","")&amp;IF($J118="","Falta el tipus de despesa. ","")&amp;IF(AND($J118&lt;&gt;"",$J118&lt;&gt;"Mitjans propis",$J118&lt;&gt;"Altres",$M118=""),"Falta l'import. ","")&amp;IF(AND($J118="Contracte menor a càrrec del RAE",$K118=""),"Falta la partida RAE. ","")&amp;IF(AND($B118&lt;&gt;"",COUNTIF($B$6:$B$705,$B118)&gt;1),"Codi RAE repetit. ","")&amp;IF(AND($B118&lt;&gt;"",$J118&lt;&gt;"",$J118&lt;&gt;"Contracte menor a càrrec del RAE"),"Té codi RAE però no és de tipus RAE. ","")&amp;IF($N118="","Falta l'indicador del Pla. ","")&amp;IF($R118="","Falta el gestor. ","")&amp;IF($S118="","Falta indicar si és recurrent. ",""))="","✔",TRIM(IF($C118="","Falta l'actuació. ","")&amp;IF($D118="","Falta l'objectiu. ","")&amp;IF($J118="","Falta el tipus de despesa. ","")&amp;IF(AND($J118&lt;&gt;"",$J118&lt;&gt;"Mitjans propis",$J118&lt;&gt;"Altres",$M118=""),"Falta l'import. ","")&amp;IF(AND($J118="Contracte menor a càrrec del RAE",$K118=""),"Falta la partida RAE. ","")&amp;IF(AND($B118&lt;&gt;"",COUNTIF($B$6:$B$705,$B118)&gt;1),"Codi RAE repetit. ","")&amp;IF(AND($B118&lt;&gt;"",$J118&lt;&gt;"",$J118&lt;&gt;"Contracte menor a càrrec del RAE"),"Té codi RAE però no és de tipus RAE. ","")&amp;IF($N118="","Falta l'indicador del Pla. ","")&amp;IF($R118="","Falta el gestor. ","")&amp;IF($S118="","Falta indicar si és recurrent. ",""))))</f>
        <v/>
      </c>
    </row>
    <row r="119">
      <c r="A119" s="10">
        <f>IF($D119="","","27_"&amp;IFERROR(INDEX(Objectius!$E$2:$E$183,MATCH($D119,Objectius!$A$2:$A$183,0)),"??")&amp;"_"&amp;TEXT(COUNTIF($I$6:$I119,$I119),"00"))</f>
        <v/>
      </c>
      <c r="B119" s="11" t="n"/>
      <c r="C119" s="11" t="n"/>
      <c r="D119" s="11" t="n"/>
      <c r="E119" s="10">
        <f>IF($D119="","",IFERROR(INDEX(Objectius!$C$2:$C$183,MATCH($D119,Objectius!$A$2:$A$183,0)),"Objectiu no trobat al Pla"))</f>
        <v/>
      </c>
      <c r="F119" s="11" t="n"/>
      <c r="G119" s="11" t="n"/>
      <c r="H119" s="11" t="n"/>
      <c r="I119" s="10">
        <f>IF($D119="","",IFERROR(INDEX(Objectius!$D$2:$D$183,MATCH($D119,Objectius!$A$2:$A$183,0)),""))</f>
        <v/>
      </c>
      <c r="J119" s="11" t="n"/>
      <c r="K119" s="11" t="n"/>
      <c r="L119" s="11" t="n"/>
      <c r="M119" s="12" t="n"/>
      <c r="N119" s="11" t="n"/>
      <c r="O119" s="10">
        <f>IF($N119="","",IFERROR(INDEX('PLA ESTRATÈGIC'!$G$4:$G$452,MATCH($N119,'PLA ESTRATÈGIC'!$Q$4:$Q$452,0)),""))</f>
        <v/>
      </c>
      <c r="P119" s="10">
        <f>IF($N119="","",IFERROR(INDEX('PLA ESTRATÈGIC'!$H$4:$H$452,MATCH($N119,'PLA ESTRATÈGIC'!$Q$4:$Q$452,0)),""))</f>
        <v/>
      </c>
      <c r="Q119" s="13" t="n"/>
      <c r="R119" s="11" t="n"/>
      <c r="S119" s="11" t="n"/>
      <c r="T119" s="11" t="n"/>
      <c r="U119" s="11" t="n"/>
      <c r="V119" s="10">
        <f>IF(COUNTA($C119,$D119,$J119,$M119)=0,"",IF(TRIM(IF($C119="","Falta l'actuació. ","")&amp;IF($D119="","Falta l'objectiu. ","")&amp;IF($J119="","Falta el tipus de despesa. ","")&amp;IF(AND($J119&lt;&gt;"",$J119&lt;&gt;"Mitjans propis",$J119&lt;&gt;"Altres",$M119=""),"Falta l'import. ","")&amp;IF(AND($J119="Contracte menor a càrrec del RAE",$K119=""),"Falta la partida RAE. ","")&amp;IF(AND($B119&lt;&gt;"",COUNTIF($B$6:$B$705,$B119)&gt;1),"Codi RAE repetit. ","")&amp;IF(AND($B119&lt;&gt;"",$J119&lt;&gt;"",$J119&lt;&gt;"Contracte menor a càrrec del RAE"),"Té codi RAE però no és de tipus RAE. ","")&amp;IF($N119="","Falta l'indicador del Pla. ","")&amp;IF($R119="","Falta el gestor. ","")&amp;IF($S119="","Falta indicar si és recurrent. ",""))="","✔",TRIM(IF($C119="","Falta l'actuació. ","")&amp;IF($D119="","Falta l'objectiu. ","")&amp;IF($J119="","Falta el tipus de despesa. ","")&amp;IF(AND($J119&lt;&gt;"",$J119&lt;&gt;"Mitjans propis",$J119&lt;&gt;"Altres",$M119=""),"Falta l'import. ","")&amp;IF(AND($J119="Contracte menor a càrrec del RAE",$K119=""),"Falta la partida RAE. ","")&amp;IF(AND($B119&lt;&gt;"",COUNTIF($B$6:$B$705,$B119)&gt;1),"Codi RAE repetit. ","")&amp;IF(AND($B119&lt;&gt;"",$J119&lt;&gt;"",$J119&lt;&gt;"Contracte menor a càrrec del RAE"),"Té codi RAE però no és de tipus RAE. ","")&amp;IF($N119="","Falta l'indicador del Pla. ","")&amp;IF($R119="","Falta el gestor. ","")&amp;IF($S119="","Falta indicar si és recurrent. ",""))))</f>
        <v/>
      </c>
    </row>
    <row r="120">
      <c r="A120" s="10">
        <f>IF($D120="","","27_"&amp;IFERROR(INDEX(Objectius!$E$2:$E$183,MATCH($D120,Objectius!$A$2:$A$183,0)),"??")&amp;"_"&amp;TEXT(COUNTIF($I$6:$I120,$I120),"00"))</f>
        <v/>
      </c>
      <c r="B120" s="11" t="n"/>
      <c r="C120" s="11" t="n"/>
      <c r="D120" s="11" t="n"/>
      <c r="E120" s="10">
        <f>IF($D120="","",IFERROR(INDEX(Objectius!$C$2:$C$183,MATCH($D120,Objectius!$A$2:$A$183,0)),"Objectiu no trobat al Pla"))</f>
        <v/>
      </c>
      <c r="F120" s="11" t="n"/>
      <c r="G120" s="11" t="n"/>
      <c r="H120" s="11" t="n"/>
      <c r="I120" s="10">
        <f>IF($D120="","",IFERROR(INDEX(Objectius!$D$2:$D$183,MATCH($D120,Objectius!$A$2:$A$183,0)),""))</f>
        <v/>
      </c>
      <c r="J120" s="11" t="n"/>
      <c r="K120" s="11" t="n"/>
      <c r="L120" s="11" t="n"/>
      <c r="M120" s="12" t="n"/>
      <c r="N120" s="11" t="n"/>
      <c r="O120" s="10">
        <f>IF($N120="","",IFERROR(INDEX('PLA ESTRATÈGIC'!$G$4:$G$452,MATCH($N120,'PLA ESTRATÈGIC'!$Q$4:$Q$452,0)),""))</f>
        <v/>
      </c>
      <c r="P120" s="10">
        <f>IF($N120="","",IFERROR(INDEX('PLA ESTRATÈGIC'!$H$4:$H$452,MATCH($N120,'PLA ESTRATÈGIC'!$Q$4:$Q$452,0)),""))</f>
        <v/>
      </c>
      <c r="Q120" s="13" t="n"/>
      <c r="R120" s="11" t="n"/>
      <c r="S120" s="11" t="n"/>
      <c r="T120" s="11" t="n"/>
      <c r="U120" s="11" t="n"/>
      <c r="V120" s="10">
        <f>IF(COUNTA($C120,$D120,$J120,$M120)=0,"",IF(TRIM(IF($C120="","Falta l'actuació. ","")&amp;IF($D120="","Falta l'objectiu. ","")&amp;IF($J120="","Falta el tipus de despesa. ","")&amp;IF(AND($J120&lt;&gt;"",$J120&lt;&gt;"Mitjans propis",$J120&lt;&gt;"Altres",$M120=""),"Falta l'import. ","")&amp;IF(AND($J120="Contracte menor a càrrec del RAE",$K120=""),"Falta la partida RAE. ","")&amp;IF(AND($B120&lt;&gt;"",COUNTIF($B$6:$B$705,$B120)&gt;1),"Codi RAE repetit. ","")&amp;IF(AND($B120&lt;&gt;"",$J120&lt;&gt;"",$J120&lt;&gt;"Contracte menor a càrrec del RAE"),"Té codi RAE però no és de tipus RAE. ","")&amp;IF($N120="","Falta l'indicador del Pla. ","")&amp;IF($R120="","Falta el gestor. ","")&amp;IF($S120="","Falta indicar si és recurrent. ",""))="","✔",TRIM(IF($C120="","Falta l'actuació. ","")&amp;IF($D120="","Falta l'objectiu. ","")&amp;IF($J120="","Falta el tipus de despesa. ","")&amp;IF(AND($J120&lt;&gt;"",$J120&lt;&gt;"Mitjans propis",$J120&lt;&gt;"Altres",$M120=""),"Falta l'import. ","")&amp;IF(AND($J120="Contracte menor a càrrec del RAE",$K120=""),"Falta la partida RAE. ","")&amp;IF(AND($B120&lt;&gt;"",COUNTIF($B$6:$B$705,$B120)&gt;1),"Codi RAE repetit. ","")&amp;IF(AND($B120&lt;&gt;"",$J120&lt;&gt;"",$J120&lt;&gt;"Contracte menor a càrrec del RAE"),"Té codi RAE però no és de tipus RAE. ","")&amp;IF($N120="","Falta l'indicador del Pla. ","")&amp;IF($R120="","Falta el gestor. ","")&amp;IF($S120="","Falta indicar si és recurrent. ",""))))</f>
        <v/>
      </c>
    </row>
    <row r="121">
      <c r="A121" s="10">
        <f>IF($D121="","","27_"&amp;IFERROR(INDEX(Objectius!$E$2:$E$183,MATCH($D121,Objectius!$A$2:$A$183,0)),"??")&amp;"_"&amp;TEXT(COUNTIF($I$6:$I121,$I121),"00"))</f>
        <v/>
      </c>
      <c r="B121" s="11" t="n"/>
      <c r="C121" s="11" t="n"/>
      <c r="D121" s="11" t="n"/>
      <c r="E121" s="10">
        <f>IF($D121="","",IFERROR(INDEX(Objectius!$C$2:$C$183,MATCH($D121,Objectius!$A$2:$A$183,0)),"Objectiu no trobat al Pla"))</f>
        <v/>
      </c>
      <c r="F121" s="11" t="n"/>
      <c r="G121" s="11" t="n"/>
      <c r="H121" s="11" t="n"/>
      <c r="I121" s="10">
        <f>IF($D121="","",IFERROR(INDEX(Objectius!$D$2:$D$183,MATCH($D121,Objectius!$A$2:$A$183,0)),""))</f>
        <v/>
      </c>
      <c r="J121" s="11" t="n"/>
      <c r="K121" s="11" t="n"/>
      <c r="L121" s="11" t="n"/>
      <c r="M121" s="12" t="n"/>
      <c r="N121" s="11" t="n"/>
      <c r="O121" s="10">
        <f>IF($N121="","",IFERROR(INDEX('PLA ESTRATÈGIC'!$G$4:$G$452,MATCH($N121,'PLA ESTRATÈGIC'!$Q$4:$Q$452,0)),""))</f>
        <v/>
      </c>
      <c r="P121" s="10">
        <f>IF($N121="","",IFERROR(INDEX('PLA ESTRATÈGIC'!$H$4:$H$452,MATCH($N121,'PLA ESTRATÈGIC'!$Q$4:$Q$452,0)),""))</f>
        <v/>
      </c>
      <c r="Q121" s="13" t="n"/>
      <c r="R121" s="11" t="n"/>
      <c r="S121" s="11" t="n"/>
      <c r="T121" s="11" t="n"/>
      <c r="U121" s="11" t="n"/>
      <c r="V121" s="10">
        <f>IF(COUNTA($C121,$D121,$J121,$M121)=0,"",IF(TRIM(IF($C121="","Falta l'actuació. ","")&amp;IF($D121="","Falta l'objectiu. ","")&amp;IF($J121="","Falta el tipus de despesa. ","")&amp;IF(AND($J121&lt;&gt;"",$J121&lt;&gt;"Mitjans propis",$J121&lt;&gt;"Altres",$M121=""),"Falta l'import. ","")&amp;IF(AND($J121="Contracte menor a càrrec del RAE",$K121=""),"Falta la partida RAE. ","")&amp;IF(AND($B121&lt;&gt;"",COUNTIF($B$6:$B$705,$B121)&gt;1),"Codi RAE repetit. ","")&amp;IF(AND($B121&lt;&gt;"",$J121&lt;&gt;"",$J121&lt;&gt;"Contracte menor a càrrec del RAE"),"Té codi RAE però no és de tipus RAE. ","")&amp;IF($N121="","Falta l'indicador del Pla. ","")&amp;IF($R121="","Falta el gestor. ","")&amp;IF($S121="","Falta indicar si és recurrent. ",""))="","✔",TRIM(IF($C121="","Falta l'actuació. ","")&amp;IF($D121="","Falta l'objectiu. ","")&amp;IF($J121="","Falta el tipus de despesa. ","")&amp;IF(AND($J121&lt;&gt;"",$J121&lt;&gt;"Mitjans propis",$J121&lt;&gt;"Altres",$M121=""),"Falta l'import. ","")&amp;IF(AND($J121="Contracte menor a càrrec del RAE",$K121=""),"Falta la partida RAE. ","")&amp;IF(AND($B121&lt;&gt;"",COUNTIF($B$6:$B$705,$B121)&gt;1),"Codi RAE repetit. ","")&amp;IF(AND($B121&lt;&gt;"",$J121&lt;&gt;"",$J121&lt;&gt;"Contracte menor a càrrec del RAE"),"Té codi RAE però no és de tipus RAE. ","")&amp;IF($N121="","Falta l'indicador del Pla. ","")&amp;IF($R121="","Falta el gestor. ","")&amp;IF($S121="","Falta indicar si és recurrent. ",""))))</f>
        <v/>
      </c>
    </row>
    <row r="122">
      <c r="A122" s="10">
        <f>IF($D122="","","27_"&amp;IFERROR(INDEX(Objectius!$E$2:$E$183,MATCH($D122,Objectius!$A$2:$A$183,0)),"??")&amp;"_"&amp;TEXT(COUNTIF($I$6:$I122,$I122),"00"))</f>
        <v/>
      </c>
      <c r="B122" s="11" t="n"/>
      <c r="C122" s="11" t="n"/>
      <c r="D122" s="11" t="n"/>
      <c r="E122" s="10">
        <f>IF($D122="","",IFERROR(INDEX(Objectius!$C$2:$C$183,MATCH($D122,Objectius!$A$2:$A$183,0)),"Objectiu no trobat al Pla"))</f>
        <v/>
      </c>
      <c r="F122" s="11" t="n"/>
      <c r="G122" s="11" t="n"/>
      <c r="H122" s="11" t="n"/>
      <c r="I122" s="10">
        <f>IF($D122="","",IFERROR(INDEX(Objectius!$D$2:$D$183,MATCH($D122,Objectius!$A$2:$A$183,0)),""))</f>
        <v/>
      </c>
      <c r="J122" s="11" t="n"/>
      <c r="K122" s="11" t="n"/>
      <c r="L122" s="11" t="n"/>
      <c r="M122" s="12" t="n"/>
      <c r="N122" s="11" t="n"/>
      <c r="O122" s="10">
        <f>IF($N122="","",IFERROR(INDEX('PLA ESTRATÈGIC'!$G$4:$G$452,MATCH($N122,'PLA ESTRATÈGIC'!$Q$4:$Q$452,0)),""))</f>
        <v/>
      </c>
      <c r="P122" s="10">
        <f>IF($N122="","",IFERROR(INDEX('PLA ESTRATÈGIC'!$H$4:$H$452,MATCH($N122,'PLA ESTRATÈGIC'!$Q$4:$Q$452,0)),""))</f>
        <v/>
      </c>
      <c r="Q122" s="13" t="n"/>
      <c r="R122" s="11" t="n"/>
      <c r="S122" s="11" t="n"/>
      <c r="T122" s="11" t="n"/>
      <c r="U122" s="11" t="n"/>
      <c r="V122" s="10">
        <f>IF(COUNTA($C122,$D122,$J122,$M122)=0,"",IF(TRIM(IF($C122="","Falta l'actuació. ","")&amp;IF($D122="","Falta l'objectiu. ","")&amp;IF($J122="","Falta el tipus de despesa. ","")&amp;IF(AND($J122&lt;&gt;"",$J122&lt;&gt;"Mitjans propis",$J122&lt;&gt;"Altres",$M122=""),"Falta l'import. ","")&amp;IF(AND($J122="Contracte menor a càrrec del RAE",$K122=""),"Falta la partida RAE. ","")&amp;IF(AND($B122&lt;&gt;"",COUNTIF($B$6:$B$705,$B122)&gt;1),"Codi RAE repetit. ","")&amp;IF(AND($B122&lt;&gt;"",$J122&lt;&gt;"",$J122&lt;&gt;"Contracte menor a càrrec del RAE"),"Té codi RAE però no és de tipus RAE. ","")&amp;IF($N122="","Falta l'indicador del Pla. ","")&amp;IF($R122="","Falta el gestor. ","")&amp;IF($S122="","Falta indicar si és recurrent. ",""))="","✔",TRIM(IF($C122="","Falta l'actuació. ","")&amp;IF($D122="","Falta l'objectiu. ","")&amp;IF($J122="","Falta el tipus de despesa. ","")&amp;IF(AND($J122&lt;&gt;"",$J122&lt;&gt;"Mitjans propis",$J122&lt;&gt;"Altres",$M122=""),"Falta l'import. ","")&amp;IF(AND($J122="Contracte menor a càrrec del RAE",$K122=""),"Falta la partida RAE. ","")&amp;IF(AND($B122&lt;&gt;"",COUNTIF($B$6:$B$705,$B122)&gt;1),"Codi RAE repetit. ","")&amp;IF(AND($B122&lt;&gt;"",$J122&lt;&gt;"",$J122&lt;&gt;"Contracte menor a càrrec del RAE"),"Té codi RAE però no és de tipus RAE. ","")&amp;IF($N122="","Falta l'indicador del Pla. ","")&amp;IF($R122="","Falta el gestor. ","")&amp;IF($S122="","Falta indicar si és recurrent. ",""))))</f>
        <v/>
      </c>
    </row>
    <row r="123">
      <c r="A123" s="10">
        <f>IF($D123="","","27_"&amp;IFERROR(INDEX(Objectius!$E$2:$E$183,MATCH($D123,Objectius!$A$2:$A$183,0)),"??")&amp;"_"&amp;TEXT(COUNTIF($I$6:$I123,$I123),"00"))</f>
        <v/>
      </c>
      <c r="B123" s="11" t="n"/>
      <c r="C123" s="11" t="n"/>
      <c r="D123" s="11" t="n"/>
      <c r="E123" s="10">
        <f>IF($D123="","",IFERROR(INDEX(Objectius!$C$2:$C$183,MATCH($D123,Objectius!$A$2:$A$183,0)),"Objectiu no trobat al Pla"))</f>
        <v/>
      </c>
      <c r="F123" s="11" t="n"/>
      <c r="G123" s="11" t="n"/>
      <c r="H123" s="11" t="n"/>
      <c r="I123" s="10">
        <f>IF($D123="","",IFERROR(INDEX(Objectius!$D$2:$D$183,MATCH($D123,Objectius!$A$2:$A$183,0)),""))</f>
        <v/>
      </c>
      <c r="J123" s="11" t="n"/>
      <c r="K123" s="11" t="n"/>
      <c r="L123" s="11" t="n"/>
      <c r="M123" s="12" t="n"/>
      <c r="N123" s="11" t="n"/>
      <c r="O123" s="10">
        <f>IF($N123="","",IFERROR(INDEX('PLA ESTRATÈGIC'!$G$4:$G$452,MATCH($N123,'PLA ESTRATÈGIC'!$Q$4:$Q$452,0)),""))</f>
        <v/>
      </c>
      <c r="P123" s="10">
        <f>IF($N123="","",IFERROR(INDEX('PLA ESTRATÈGIC'!$H$4:$H$452,MATCH($N123,'PLA ESTRATÈGIC'!$Q$4:$Q$452,0)),""))</f>
        <v/>
      </c>
      <c r="Q123" s="13" t="n"/>
      <c r="R123" s="11" t="n"/>
      <c r="S123" s="11" t="n"/>
      <c r="T123" s="11" t="n"/>
      <c r="U123" s="11" t="n"/>
      <c r="V123" s="10">
        <f>IF(COUNTA($C123,$D123,$J123,$M123)=0,"",IF(TRIM(IF($C123="","Falta l'actuació. ","")&amp;IF($D123="","Falta l'objectiu. ","")&amp;IF($J123="","Falta el tipus de despesa. ","")&amp;IF(AND($J123&lt;&gt;"",$J123&lt;&gt;"Mitjans propis",$J123&lt;&gt;"Altres",$M123=""),"Falta l'import. ","")&amp;IF(AND($J123="Contracte menor a càrrec del RAE",$K123=""),"Falta la partida RAE. ","")&amp;IF(AND($B123&lt;&gt;"",COUNTIF($B$6:$B$705,$B123)&gt;1),"Codi RAE repetit. ","")&amp;IF(AND($B123&lt;&gt;"",$J123&lt;&gt;"",$J123&lt;&gt;"Contracte menor a càrrec del RAE"),"Té codi RAE però no és de tipus RAE. ","")&amp;IF($N123="","Falta l'indicador del Pla. ","")&amp;IF($R123="","Falta el gestor. ","")&amp;IF($S123="","Falta indicar si és recurrent. ",""))="","✔",TRIM(IF($C123="","Falta l'actuació. ","")&amp;IF($D123="","Falta l'objectiu. ","")&amp;IF($J123="","Falta el tipus de despesa. ","")&amp;IF(AND($J123&lt;&gt;"",$J123&lt;&gt;"Mitjans propis",$J123&lt;&gt;"Altres",$M123=""),"Falta l'import. ","")&amp;IF(AND($J123="Contracte menor a càrrec del RAE",$K123=""),"Falta la partida RAE. ","")&amp;IF(AND($B123&lt;&gt;"",COUNTIF($B$6:$B$705,$B123)&gt;1),"Codi RAE repetit. ","")&amp;IF(AND($B123&lt;&gt;"",$J123&lt;&gt;"",$J123&lt;&gt;"Contracte menor a càrrec del RAE"),"Té codi RAE però no és de tipus RAE. ","")&amp;IF($N123="","Falta l'indicador del Pla. ","")&amp;IF($R123="","Falta el gestor. ","")&amp;IF($S123="","Falta indicar si és recurrent. ",""))))</f>
        <v/>
      </c>
    </row>
    <row r="124">
      <c r="A124" s="10">
        <f>IF($D124="","","27_"&amp;IFERROR(INDEX(Objectius!$E$2:$E$183,MATCH($D124,Objectius!$A$2:$A$183,0)),"??")&amp;"_"&amp;TEXT(COUNTIF($I$6:$I124,$I124),"00"))</f>
        <v/>
      </c>
      <c r="B124" s="11" t="n"/>
      <c r="C124" s="11" t="n"/>
      <c r="D124" s="11" t="n"/>
      <c r="E124" s="10">
        <f>IF($D124="","",IFERROR(INDEX(Objectius!$C$2:$C$183,MATCH($D124,Objectius!$A$2:$A$183,0)),"Objectiu no trobat al Pla"))</f>
        <v/>
      </c>
      <c r="F124" s="11" t="n"/>
      <c r="G124" s="11" t="n"/>
      <c r="H124" s="11" t="n"/>
      <c r="I124" s="10">
        <f>IF($D124="","",IFERROR(INDEX(Objectius!$D$2:$D$183,MATCH($D124,Objectius!$A$2:$A$183,0)),""))</f>
        <v/>
      </c>
      <c r="J124" s="11" t="n"/>
      <c r="K124" s="11" t="n"/>
      <c r="L124" s="11" t="n"/>
      <c r="M124" s="12" t="n"/>
      <c r="N124" s="11" t="n"/>
      <c r="O124" s="10">
        <f>IF($N124="","",IFERROR(INDEX('PLA ESTRATÈGIC'!$G$4:$G$452,MATCH($N124,'PLA ESTRATÈGIC'!$Q$4:$Q$452,0)),""))</f>
        <v/>
      </c>
      <c r="P124" s="10">
        <f>IF($N124="","",IFERROR(INDEX('PLA ESTRATÈGIC'!$H$4:$H$452,MATCH($N124,'PLA ESTRATÈGIC'!$Q$4:$Q$452,0)),""))</f>
        <v/>
      </c>
      <c r="Q124" s="13" t="n"/>
      <c r="R124" s="11" t="n"/>
      <c r="S124" s="11" t="n"/>
      <c r="T124" s="11" t="n"/>
      <c r="U124" s="11" t="n"/>
      <c r="V124" s="10">
        <f>IF(COUNTA($C124,$D124,$J124,$M124)=0,"",IF(TRIM(IF($C124="","Falta l'actuació. ","")&amp;IF($D124="","Falta l'objectiu. ","")&amp;IF($J124="","Falta el tipus de despesa. ","")&amp;IF(AND($J124&lt;&gt;"",$J124&lt;&gt;"Mitjans propis",$J124&lt;&gt;"Altres",$M124=""),"Falta l'import. ","")&amp;IF(AND($J124="Contracte menor a càrrec del RAE",$K124=""),"Falta la partida RAE. ","")&amp;IF(AND($B124&lt;&gt;"",COUNTIF($B$6:$B$705,$B124)&gt;1),"Codi RAE repetit. ","")&amp;IF(AND($B124&lt;&gt;"",$J124&lt;&gt;"",$J124&lt;&gt;"Contracte menor a càrrec del RAE"),"Té codi RAE però no és de tipus RAE. ","")&amp;IF($N124="","Falta l'indicador del Pla. ","")&amp;IF($R124="","Falta el gestor. ","")&amp;IF($S124="","Falta indicar si és recurrent. ",""))="","✔",TRIM(IF($C124="","Falta l'actuació. ","")&amp;IF($D124="","Falta l'objectiu. ","")&amp;IF($J124="","Falta el tipus de despesa. ","")&amp;IF(AND($J124&lt;&gt;"",$J124&lt;&gt;"Mitjans propis",$J124&lt;&gt;"Altres",$M124=""),"Falta l'import. ","")&amp;IF(AND($J124="Contracte menor a càrrec del RAE",$K124=""),"Falta la partida RAE. ","")&amp;IF(AND($B124&lt;&gt;"",COUNTIF($B$6:$B$705,$B124)&gt;1),"Codi RAE repetit. ","")&amp;IF(AND($B124&lt;&gt;"",$J124&lt;&gt;"",$J124&lt;&gt;"Contracte menor a càrrec del RAE"),"Té codi RAE però no és de tipus RAE. ","")&amp;IF($N124="","Falta l'indicador del Pla. ","")&amp;IF($R124="","Falta el gestor. ","")&amp;IF($S124="","Falta indicar si és recurrent. ",""))))</f>
        <v/>
      </c>
    </row>
    <row r="125">
      <c r="A125" s="10">
        <f>IF($D125="","","27_"&amp;IFERROR(INDEX(Objectius!$E$2:$E$183,MATCH($D125,Objectius!$A$2:$A$183,0)),"??")&amp;"_"&amp;TEXT(COUNTIF($I$6:$I125,$I125),"00"))</f>
        <v/>
      </c>
      <c r="B125" s="11" t="n"/>
      <c r="C125" s="11" t="n"/>
      <c r="D125" s="11" t="n"/>
      <c r="E125" s="10">
        <f>IF($D125="","",IFERROR(INDEX(Objectius!$C$2:$C$183,MATCH($D125,Objectius!$A$2:$A$183,0)),"Objectiu no trobat al Pla"))</f>
        <v/>
      </c>
      <c r="F125" s="11" t="n"/>
      <c r="G125" s="11" t="n"/>
      <c r="H125" s="11" t="n"/>
      <c r="I125" s="10">
        <f>IF($D125="","",IFERROR(INDEX(Objectius!$D$2:$D$183,MATCH($D125,Objectius!$A$2:$A$183,0)),""))</f>
        <v/>
      </c>
      <c r="J125" s="11" t="n"/>
      <c r="K125" s="11" t="n"/>
      <c r="L125" s="11" t="n"/>
      <c r="M125" s="12" t="n"/>
      <c r="N125" s="11" t="n"/>
      <c r="O125" s="10">
        <f>IF($N125="","",IFERROR(INDEX('PLA ESTRATÈGIC'!$G$4:$G$452,MATCH($N125,'PLA ESTRATÈGIC'!$Q$4:$Q$452,0)),""))</f>
        <v/>
      </c>
      <c r="P125" s="10">
        <f>IF($N125="","",IFERROR(INDEX('PLA ESTRATÈGIC'!$H$4:$H$452,MATCH($N125,'PLA ESTRATÈGIC'!$Q$4:$Q$452,0)),""))</f>
        <v/>
      </c>
      <c r="Q125" s="13" t="n"/>
      <c r="R125" s="11" t="n"/>
      <c r="S125" s="11" t="n"/>
      <c r="T125" s="11" t="n"/>
      <c r="U125" s="11" t="n"/>
      <c r="V125" s="10">
        <f>IF(COUNTA($C125,$D125,$J125,$M125)=0,"",IF(TRIM(IF($C125="","Falta l'actuació. ","")&amp;IF($D125="","Falta l'objectiu. ","")&amp;IF($J125="","Falta el tipus de despesa. ","")&amp;IF(AND($J125&lt;&gt;"",$J125&lt;&gt;"Mitjans propis",$J125&lt;&gt;"Altres",$M125=""),"Falta l'import. ","")&amp;IF(AND($J125="Contracte menor a càrrec del RAE",$K125=""),"Falta la partida RAE. ","")&amp;IF(AND($B125&lt;&gt;"",COUNTIF($B$6:$B$705,$B125)&gt;1),"Codi RAE repetit. ","")&amp;IF(AND($B125&lt;&gt;"",$J125&lt;&gt;"",$J125&lt;&gt;"Contracte menor a càrrec del RAE"),"Té codi RAE però no és de tipus RAE. ","")&amp;IF($N125="","Falta l'indicador del Pla. ","")&amp;IF($R125="","Falta el gestor. ","")&amp;IF($S125="","Falta indicar si és recurrent. ",""))="","✔",TRIM(IF($C125="","Falta l'actuació. ","")&amp;IF($D125="","Falta l'objectiu. ","")&amp;IF($J125="","Falta el tipus de despesa. ","")&amp;IF(AND($J125&lt;&gt;"",$J125&lt;&gt;"Mitjans propis",$J125&lt;&gt;"Altres",$M125=""),"Falta l'import. ","")&amp;IF(AND($J125="Contracte menor a càrrec del RAE",$K125=""),"Falta la partida RAE. ","")&amp;IF(AND($B125&lt;&gt;"",COUNTIF($B$6:$B$705,$B125)&gt;1),"Codi RAE repetit. ","")&amp;IF(AND($B125&lt;&gt;"",$J125&lt;&gt;"",$J125&lt;&gt;"Contracte menor a càrrec del RAE"),"Té codi RAE però no és de tipus RAE. ","")&amp;IF($N125="","Falta l'indicador del Pla. ","")&amp;IF($R125="","Falta el gestor. ","")&amp;IF($S125="","Falta indicar si és recurrent. ",""))))</f>
        <v/>
      </c>
    </row>
    <row r="126">
      <c r="A126" s="10">
        <f>IF($D126="","","27_"&amp;IFERROR(INDEX(Objectius!$E$2:$E$183,MATCH($D126,Objectius!$A$2:$A$183,0)),"??")&amp;"_"&amp;TEXT(COUNTIF($I$6:$I126,$I126),"00"))</f>
        <v/>
      </c>
      <c r="B126" s="11" t="n"/>
      <c r="C126" s="11" t="n"/>
      <c r="D126" s="11" t="n"/>
      <c r="E126" s="10">
        <f>IF($D126="","",IFERROR(INDEX(Objectius!$C$2:$C$183,MATCH($D126,Objectius!$A$2:$A$183,0)),"Objectiu no trobat al Pla"))</f>
        <v/>
      </c>
      <c r="F126" s="11" t="n"/>
      <c r="G126" s="11" t="n"/>
      <c r="H126" s="11" t="n"/>
      <c r="I126" s="10">
        <f>IF($D126="","",IFERROR(INDEX(Objectius!$D$2:$D$183,MATCH($D126,Objectius!$A$2:$A$183,0)),""))</f>
        <v/>
      </c>
      <c r="J126" s="11" t="n"/>
      <c r="K126" s="11" t="n"/>
      <c r="L126" s="11" t="n"/>
      <c r="M126" s="12" t="n"/>
      <c r="N126" s="11" t="n"/>
      <c r="O126" s="10">
        <f>IF($N126="","",IFERROR(INDEX('PLA ESTRATÈGIC'!$G$4:$G$452,MATCH($N126,'PLA ESTRATÈGIC'!$Q$4:$Q$452,0)),""))</f>
        <v/>
      </c>
      <c r="P126" s="10">
        <f>IF($N126="","",IFERROR(INDEX('PLA ESTRATÈGIC'!$H$4:$H$452,MATCH($N126,'PLA ESTRATÈGIC'!$Q$4:$Q$452,0)),""))</f>
        <v/>
      </c>
      <c r="Q126" s="13" t="n"/>
      <c r="R126" s="11" t="n"/>
      <c r="S126" s="11" t="n"/>
      <c r="T126" s="11" t="n"/>
      <c r="U126" s="11" t="n"/>
      <c r="V126" s="10">
        <f>IF(COUNTA($C126,$D126,$J126,$M126)=0,"",IF(TRIM(IF($C126="","Falta l'actuació. ","")&amp;IF($D126="","Falta l'objectiu. ","")&amp;IF($J126="","Falta el tipus de despesa. ","")&amp;IF(AND($J126&lt;&gt;"",$J126&lt;&gt;"Mitjans propis",$J126&lt;&gt;"Altres",$M126=""),"Falta l'import. ","")&amp;IF(AND($J126="Contracte menor a càrrec del RAE",$K126=""),"Falta la partida RAE. ","")&amp;IF(AND($B126&lt;&gt;"",COUNTIF($B$6:$B$705,$B126)&gt;1),"Codi RAE repetit. ","")&amp;IF(AND($B126&lt;&gt;"",$J126&lt;&gt;"",$J126&lt;&gt;"Contracte menor a càrrec del RAE"),"Té codi RAE però no és de tipus RAE. ","")&amp;IF($N126="","Falta l'indicador del Pla. ","")&amp;IF($R126="","Falta el gestor. ","")&amp;IF($S126="","Falta indicar si és recurrent. ",""))="","✔",TRIM(IF($C126="","Falta l'actuació. ","")&amp;IF($D126="","Falta l'objectiu. ","")&amp;IF($J126="","Falta el tipus de despesa. ","")&amp;IF(AND($J126&lt;&gt;"",$J126&lt;&gt;"Mitjans propis",$J126&lt;&gt;"Altres",$M126=""),"Falta l'import. ","")&amp;IF(AND($J126="Contracte menor a càrrec del RAE",$K126=""),"Falta la partida RAE. ","")&amp;IF(AND($B126&lt;&gt;"",COUNTIF($B$6:$B$705,$B126)&gt;1),"Codi RAE repetit. ","")&amp;IF(AND($B126&lt;&gt;"",$J126&lt;&gt;"",$J126&lt;&gt;"Contracte menor a càrrec del RAE"),"Té codi RAE però no és de tipus RAE. ","")&amp;IF($N126="","Falta l'indicador del Pla. ","")&amp;IF($R126="","Falta el gestor. ","")&amp;IF($S126="","Falta indicar si és recurrent. ",""))))</f>
        <v/>
      </c>
    </row>
    <row r="127">
      <c r="A127" s="10">
        <f>IF($D127="","","27_"&amp;IFERROR(INDEX(Objectius!$E$2:$E$183,MATCH($D127,Objectius!$A$2:$A$183,0)),"??")&amp;"_"&amp;TEXT(COUNTIF($I$6:$I127,$I127),"00"))</f>
        <v/>
      </c>
      <c r="B127" s="11" t="n"/>
      <c r="C127" s="11" t="n"/>
      <c r="D127" s="11" t="n"/>
      <c r="E127" s="10">
        <f>IF($D127="","",IFERROR(INDEX(Objectius!$C$2:$C$183,MATCH($D127,Objectius!$A$2:$A$183,0)),"Objectiu no trobat al Pla"))</f>
        <v/>
      </c>
      <c r="F127" s="11" t="n"/>
      <c r="G127" s="11" t="n"/>
      <c r="H127" s="11" t="n"/>
      <c r="I127" s="10">
        <f>IF($D127="","",IFERROR(INDEX(Objectius!$D$2:$D$183,MATCH($D127,Objectius!$A$2:$A$183,0)),""))</f>
        <v/>
      </c>
      <c r="J127" s="11" t="n"/>
      <c r="K127" s="11" t="n"/>
      <c r="L127" s="11" t="n"/>
      <c r="M127" s="12" t="n"/>
      <c r="N127" s="11" t="n"/>
      <c r="O127" s="10">
        <f>IF($N127="","",IFERROR(INDEX('PLA ESTRATÈGIC'!$G$4:$G$452,MATCH($N127,'PLA ESTRATÈGIC'!$Q$4:$Q$452,0)),""))</f>
        <v/>
      </c>
      <c r="P127" s="10">
        <f>IF($N127="","",IFERROR(INDEX('PLA ESTRATÈGIC'!$H$4:$H$452,MATCH($N127,'PLA ESTRATÈGIC'!$Q$4:$Q$452,0)),""))</f>
        <v/>
      </c>
      <c r="Q127" s="13" t="n"/>
      <c r="R127" s="11" t="n"/>
      <c r="S127" s="11" t="n"/>
      <c r="T127" s="11" t="n"/>
      <c r="U127" s="11" t="n"/>
      <c r="V127" s="10">
        <f>IF(COUNTA($C127,$D127,$J127,$M127)=0,"",IF(TRIM(IF($C127="","Falta l'actuació. ","")&amp;IF($D127="","Falta l'objectiu. ","")&amp;IF($J127="","Falta el tipus de despesa. ","")&amp;IF(AND($J127&lt;&gt;"",$J127&lt;&gt;"Mitjans propis",$J127&lt;&gt;"Altres",$M127=""),"Falta l'import. ","")&amp;IF(AND($J127="Contracte menor a càrrec del RAE",$K127=""),"Falta la partida RAE. ","")&amp;IF(AND($B127&lt;&gt;"",COUNTIF($B$6:$B$705,$B127)&gt;1),"Codi RAE repetit. ","")&amp;IF(AND($B127&lt;&gt;"",$J127&lt;&gt;"",$J127&lt;&gt;"Contracte menor a càrrec del RAE"),"Té codi RAE però no és de tipus RAE. ","")&amp;IF($N127="","Falta l'indicador del Pla. ","")&amp;IF($R127="","Falta el gestor. ","")&amp;IF($S127="","Falta indicar si és recurrent. ",""))="","✔",TRIM(IF($C127="","Falta l'actuació. ","")&amp;IF($D127="","Falta l'objectiu. ","")&amp;IF($J127="","Falta el tipus de despesa. ","")&amp;IF(AND($J127&lt;&gt;"",$J127&lt;&gt;"Mitjans propis",$J127&lt;&gt;"Altres",$M127=""),"Falta l'import. ","")&amp;IF(AND($J127="Contracte menor a càrrec del RAE",$K127=""),"Falta la partida RAE. ","")&amp;IF(AND($B127&lt;&gt;"",COUNTIF($B$6:$B$705,$B127)&gt;1),"Codi RAE repetit. ","")&amp;IF(AND($B127&lt;&gt;"",$J127&lt;&gt;"",$J127&lt;&gt;"Contracte menor a càrrec del RAE"),"Té codi RAE però no és de tipus RAE. ","")&amp;IF($N127="","Falta l'indicador del Pla. ","")&amp;IF($R127="","Falta el gestor. ","")&amp;IF($S127="","Falta indicar si és recurrent. ",""))))</f>
        <v/>
      </c>
    </row>
    <row r="128">
      <c r="A128" s="10">
        <f>IF($D128="","","27_"&amp;IFERROR(INDEX(Objectius!$E$2:$E$183,MATCH($D128,Objectius!$A$2:$A$183,0)),"??")&amp;"_"&amp;TEXT(COUNTIF($I$6:$I128,$I128),"00"))</f>
        <v/>
      </c>
      <c r="B128" s="11" t="n"/>
      <c r="C128" s="11" t="n"/>
      <c r="D128" s="11" t="n"/>
      <c r="E128" s="10">
        <f>IF($D128="","",IFERROR(INDEX(Objectius!$C$2:$C$183,MATCH($D128,Objectius!$A$2:$A$183,0)),"Objectiu no trobat al Pla"))</f>
        <v/>
      </c>
      <c r="F128" s="11" t="n"/>
      <c r="G128" s="11" t="n"/>
      <c r="H128" s="11" t="n"/>
      <c r="I128" s="10">
        <f>IF($D128="","",IFERROR(INDEX(Objectius!$D$2:$D$183,MATCH($D128,Objectius!$A$2:$A$183,0)),""))</f>
        <v/>
      </c>
      <c r="J128" s="11" t="n"/>
      <c r="K128" s="11" t="n"/>
      <c r="L128" s="11" t="n"/>
      <c r="M128" s="12" t="n"/>
      <c r="N128" s="11" t="n"/>
      <c r="O128" s="10">
        <f>IF($N128="","",IFERROR(INDEX('PLA ESTRATÈGIC'!$G$4:$G$452,MATCH($N128,'PLA ESTRATÈGIC'!$Q$4:$Q$452,0)),""))</f>
        <v/>
      </c>
      <c r="P128" s="10">
        <f>IF($N128="","",IFERROR(INDEX('PLA ESTRATÈGIC'!$H$4:$H$452,MATCH($N128,'PLA ESTRATÈGIC'!$Q$4:$Q$452,0)),""))</f>
        <v/>
      </c>
      <c r="Q128" s="13" t="n"/>
      <c r="R128" s="11" t="n"/>
      <c r="S128" s="11" t="n"/>
      <c r="T128" s="11" t="n"/>
      <c r="U128" s="11" t="n"/>
      <c r="V128" s="10">
        <f>IF(COUNTA($C128,$D128,$J128,$M128)=0,"",IF(TRIM(IF($C128="","Falta l'actuació. ","")&amp;IF($D128="","Falta l'objectiu. ","")&amp;IF($J128="","Falta el tipus de despesa. ","")&amp;IF(AND($J128&lt;&gt;"",$J128&lt;&gt;"Mitjans propis",$J128&lt;&gt;"Altres",$M128=""),"Falta l'import. ","")&amp;IF(AND($J128="Contracte menor a càrrec del RAE",$K128=""),"Falta la partida RAE. ","")&amp;IF(AND($B128&lt;&gt;"",COUNTIF($B$6:$B$705,$B128)&gt;1),"Codi RAE repetit. ","")&amp;IF(AND($B128&lt;&gt;"",$J128&lt;&gt;"",$J128&lt;&gt;"Contracte menor a càrrec del RAE"),"Té codi RAE però no és de tipus RAE. ","")&amp;IF($N128="","Falta l'indicador del Pla. ","")&amp;IF($R128="","Falta el gestor. ","")&amp;IF($S128="","Falta indicar si és recurrent. ",""))="","✔",TRIM(IF($C128="","Falta l'actuació. ","")&amp;IF($D128="","Falta l'objectiu. ","")&amp;IF($J128="","Falta el tipus de despesa. ","")&amp;IF(AND($J128&lt;&gt;"",$J128&lt;&gt;"Mitjans propis",$J128&lt;&gt;"Altres",$M128=""),"Falta l'import. ","")&amp;IF(AND($J128="Contracte menor a càrrec del RAE",$K128=""),"Falta la partida RAE. ","")&amp;IF(AND($B128&lt;&gt;"",COUNTIF($B$6:$B$705,$B128)&gt;1),"Codi RAE repetit. ","")&amp;IF(AND($B128&lt;&gt;"",$J128&lt;&gt;"",$J128&lt;&gt;"Contracte menor a càrrec del RAE"),"Té codi RAE però no és de tipus RAE. ","")&amp;IF($N128="","Falta l'indicador del Pla. ","")&amp;IF($R128="","Falta el gestor. ","")&amp;IF($S128="","Falta indicar si és recurrent. ",""))))</f>
        <v/>
      </c>
    </row>
    <row r="129">
      <c r="A129" s="10">
        <f>IF($D129="","","27_"&amp;IFERROR(INDEX(Objectius!$E$2:$E$183,MATCH($D129,Objectius!$A$2:$A$183,0)),"??")&amp;"_"&amp;TEXT(COUNTIF($I$6:$I129,$I129),"00"))</f>
        <v/>
      </c>
      <c r="B129" s="11" t="n"/>
      <c r="C129" s="11" t="n"/>
      <c r="D129" s="11" t="n"/>
      <c r="E129" s="10">
        <f>IF($D129="","",IFERROR(INDEX(Objectius!$C$2:$C$183,MATCH($D129,Objectius!$A$2:$A$183,0)),"Objectiu no trobat al Pla"))</f>
        <v/>
      </c>
      <c r="F129" s="11" t="n"/>
      <c r="G129" s="11" t="n"/>
      <c r="H129" s="11" t="n"/>
      <c r="I129" s="10">
        <f>IF($D129="","",IFERROR(INDEX(Objectius!$D$2:$D$183,MATCH($D129,Objectius!$A$2:$A$183,0)),""))</f>
        <v/>
      </c>
      <c r="J129" s="11" t="n"/>
      <c r="K129" s="11" t="n"/>
      <c r="L129" s="11" t="n"/>
      <c r="M129" s="12" t="n"/>
      <c r="N129" s="11" t="n"/>
      <c r="O129" s="10">
        <f>IF($N129="","",IFERROR(INDEX('PLA ESTRATÈGIC'!$G$4:$G$452,MATCH($N129,'PLA ESTRATÈGIC'!$Q$4:$Q$452,0)),""))</f>
        <v/>
      </c>
      <c r="P129" s="10">
        <f>IF($N129="","",IFERROR(INDEX('PLA ESTRATÈGIC'!$H$4:$H$452,MATCH($N129,'PLA ESTRATÈGIC'!$Q$4:$Q$452,0)),""))</f>
        <v/>
      </c>
      <c r="Q129" s="13" t="n"/>
      <c r="R129" s="11" t="n"/>
      <c r="S129" s="11" t="n"/>
      <c r="T129" s="11" t="n"/>
      <c r="U129" s="11" t="n"/>
      <c r="V129" s="10">
        <f>IF(COUNTA($C129,$D129,$J129,$M129)=0,"",IF(TRIM(IF($C129="","Falta l'actuació. ","")&amp;IF($D129="","Falta l'objectiu. ","")&amp;IF($J129="","Falta el tipus de despesa. ","")&amp;IF(AND($J129&lt;&gt;"",$J129&lt;&gt;"Mitjans propis",$J129&lt;&gt;"Altres",$M129=""),"Falta l'import. ","")&amp;IF(AND($J129="Contracte menor a càrrec del RAE",$K129=""),"Falta la partida RAE. ","")&amp;IF(AND($B129&lt;&gt;"",COUNTIF($B$6:$B$705,$B129)&gt;1),"Codi RAE repetit. ","")&amp;IF(AND($B129&lt;&gt;"",$J129&lt;&gt;"",$J129&lt;&gt;"Contracte menor a càrrec del RAE"),"Té codi RAE però no és de tipus RAE. ","")&amp;IF($N129="","Falta l'indicador del Pla. ","")&amp;IF($R129="","Falta el gestor. ","")&amp;IF($S129="","Falta indicar si és recurrent. ",""))="","✔",TRIM(IF($C129="","Falta l'actuació. ","")&amp;IF($D129="","Falta l'objectiu. ","")&amp;IF($J129="","Falta el tipus de despesa. ","")&amp;IF(AND($J129&lt;&gt;"",$J129&lt;&gt;"Mitjans propis",$J129&lt;&gt;"Altres",$M129=""),"Falta l'import. ","")&amp;IF(AND($J129="Contracte menor a càrrec del RAE",$K129=""),"Falta la partida RAE. ","")&amp;IF(AND($B129&lt;&gt;"",COUNTIF($B$6:$B$705,$B129)&gt;1),"Codi RAE repetit. ","")&amp;IF(AND($B129&lt;&gt;"",$J129&lt;&gt;"",$J129&lt;&gt;"Contracte menor a càrrec del RAE"),"Té codi RAE però no és de tipus RAE. ","")&amp;IF($N129="","Falta l'indicador del Pla. ","")&amp;IF($R129="","Falta el gestor. ","")&amp;IF($S129="","Falta indicar si és recurrent. ",""))))</f>
        <v/>
      </c>
    </row>
    <row r="130">
      <c r="A130" s="10">
        <f>IF($D130="","","27_"&amp;IFERROR(INDEX(Objectius!$E$2:$E$183,MATCH($D130,Objectius!$A$2:$A$183,0)),"??")&amp;"_"&amp;TEXT(COUNTIF($I$6:$I130,$I130),"00"))</f>
        <v/>
      </c>
      <c r="B130" s="11" t="n"/>
      <c r="C130" s="11" t="n"/>
      <c r="D130" s="11" t="n"/>
      <c r="E130" s="10">
        <f>IF($D130="","",IFERROR(INDEX(Objectius!$C$2:$C$183,MATCH($D130,Objectius!$A$2:$A$183,0)),"Objectiu no trobat al Pla"))</f>
        <v/>
      </c>
      <c r="F130" s="11" t="n"/>
      <c r="G130" s="11" t="n"/>
      <c r="H130" s="11" t="n"/>
      <c r="I130" s="10">
        <f>IF($D130="","",IFERROR(INDEX(Objectius!$D$2:$D$183,MATCH($D130,Objectius!$A$2:$A$183,0)),""))</f>
        <v/>
      </c>
      <c r="J130" s="11" t="n"/>
      <c r="K130" s="11" t="n"/>
      <c r="L130" s="11" t="n"/>
      <c r="M130" s="12" t="n"/>
      <c r="N130" s="11" t="n"/>
      <c r="O130" s="10">
        <f>IF($N130="","",IFERROR(INDEX('PLA ESTRATÈGIC'!$G$4:$G$452,MATCH($N130,'PLA ESTRATÈGIC'!$Q$4:$Q$452,0)),""))</f>
        <v/>
      </c>
      <c r="P130" s="10">
        <f>IF($N130="","",IFERROR(INDEX('PLA ESTRATÈGIC'!$H$4:$H$452,MATCH($N130,'PLA ESTRATÈGIC'!$Q$4:$Q$452,0)),""))</f>
        <v/>
      </c>
      <c r="Q130" s="13" t="n"/>
      <c r="R130" s="11" t="n"/>
      <c r="S130" s="11" t="n"/>
      <c r="T130" s="11" t="n"/>
      <c r="U130" s="11" t="n"/>
      <c r="V130" s="10">
        <f>IF(COUNTA($C130,$D130,$J130,$M130)=0,"",IF(TRIM(IF($C130="","Falta l'actuació. ","")&amp;IF($D130="","Falta l'objectiu. ","")&amp;IF($J130="","Falta el tipus de despesa. ","")&amp;IF(AND($J130&lt;&gt;"",$J130&lt;&gt;"Mitjans propis",$J130&lt;&gt;"Altres",$M130=""),"Falta l'import. ","")&amp;IF(AND($J130="Contracte menor a càrrec del RAE",$K130=""),"Falta la partida RAE. ","")&amp;IF(AND($B130&lt;&gt;"",COUNTIF($B$6:$B$705,$B130)&gt;1),"Codi RAE repetit. ","")&amp;IF(AND($B130&lt;&gt;"",$J130&lt;&gt;"",$J130&lt;&gt;"Contracte menor a càrrec del RAE"),"Té codi RAE però no és de tipus RAE. ","")&amp;IF($N130="","Falta l'indicador del Pla. ","")&amp;IF($R130="","Falta el gestor. ","")&amp;IF($S130="","Falta indicar si és recurrent. ",""))="","✔",TRIM(IF($C130="","Falta l'actuació. ","")&amp;IF($D130="","Falta l'objectiu. ","")&amp;IF($J130="","Falta el tipus de despesa. ","")&amp;IF(AND($J130&lt;&gt;"",$J130&lt;&gt;"Mitjans propis",$J130&lt;&gt;"Altres",$M130=""),"Falta l'import. ","")&amp;IF(AND($J130="Contracte menor a càrrec del RAE",$K130=""),"Falta la partida RAE. ","")&amp;IF(AND($B130&lt;&gt;"",COUNTIF($B$6:$B$705,$B130)&gt;1),"Codi RAE repetit. ","")&amp;IF(AND($B130&lt;&gt;"",$J130&lt;&gt;"",$J130&lt;&gt;"Contracte menor a càrrec del RAE"),"Té codi RAE però no és de tipus RAE. ","")&amp;IF($N130="","Falta l'indicador del Pla. ","")&amp;IF($R130="","Falta el gestor. ","")&amp;IF($S130="","Falta indicar si és recurrent. ",""))))</f>
        <v/>
      </c>
    </row>
    <row r="131">
      <c r="A131" s="10">
        <f>IF($D131="","","27_"&amp;IFERROR(INDEX(Objectius!$E$2:$E$183,MATCH($D131,Objectius!$A$2:$A$183,0)),"??")&amp;"_"&amp;TEXT(COUNTIF($I$6:$I131,$I131),"00"))</f>
        <v/>
      </c>
      <c r="B131" s="11" t="n"/>
      <c r="C131" s="11" t="n"/>
      <c r="D131" s="11" t="n"/>
      <c r="E131" s="10">
        <f>IF($D131="","",IFERROR(INDEX(Objectius!$C$2:$C$183,MATCH($D131,Objectius!$A$2:$A$183,0)),"Objectiu no trobat al Pla"))</f>
        <v/>
      </c>
      <c r="F131" s="11" t="n"/>
      <c r="G131" s="11" t="n"/>
      <c r="H131" s="11" t="n"/>
      <c r="I131" s="10">
        <f>IF($D131="","",IFERROR(INDEX(Objectius!$D$2:$D$183,MATCH($D131,Objectius!$A$2:$A$183,0)),""))</f>
        <v/>
      </c>
      <c r="J131" s="11" t="n"/>
      <c r="K131" s="11" t="n"/>
      <c r="L131" s="11" t="n"/>
      <c r="M131" s="12" t="n"/>
      <c r="N131" s="11" t="n"/>
      <c r="O131" s="10">
        <f>IF($N131="","",IFERROR(INDEX('PLA ESTRATÈGIC'!$G$4:$G$452,MATCH($N131,'PLA ESTRATÈGIC'!$Q$4:$Q$452,0)),""))</f>
        <v/>
      </c>
      <c r="P131" s="10">
        <f>IF($N131="","",IFERROR(INDEX('PLA ESTRATÈGIC'!$H$4:$H$452,MATCH($N131,'PLA ESTRATÈGIC'!$Q$4:$Q$452,0)),""))</f>
        <v/>
      </c>
      <c r="Q131" s="13" t="n"/>
      <c r="R131" s="11" t="n"/>
      <c r="S131" s="11" t="n"/>
      <c r="T131" s="11" t="n"/>
      <c r="U131" s="11" t="n"/>
      <c r="V131" s="10">
        <f>IF(COUNTA($C131,$D131,$J131,$M131)=0,"",IF(TRIM(IF($C131="","Falta l'actuació. ","")&amp;IF($D131="","Falta l'objectiu. ","")&amp;IF($J131="","Falta el tipus de despesa. ","")&amp;IF(AND($J131&lt;&gt;"",$J131&lt;&gt;"Mitjans propis",$J131&lt;&gt;"Altres",$M131=""),"Falta l'import. ","")&amp;IF(AND($J131="Contracte menor a càrrec del RAE",$K131=""),"Falta la partida RAE. ","")&amp;IF(AND($B131&lt;&gt;"",COUNTIF($B$6:$B$705,$B131)&gt;1),"Codi RAE repetit. ","")&amp;IF(AND($B131&lt;&gt;"",$J131&lt;&gt;"",$J131&lt;&gt;"Contracte menor a càrrec del RAE"),"Té codi RAE però no és de tipus RAE. ","")&amp;IF($N131="","Falta l'indicador del Pla. ","")&amp;IF($R131="","Falta el gestor. ","")&amp;IF($S131="","Falta indicar si és recurrent. ",""))="","✔",TRIM(IF($C131="","Falta l'actuació. ","")&amp;IF($D131="","Falta l'objectiu. ","")&amp;IF($J131="","Falta el tipus de despesa. ","")&amp;IF(AND($J131&lt;&gt;"",$J131&lt;&gt;"Mitjans propis",$J131&lt;&gt;"Altres",$M131=""),"Falta l'import. ","")&amp;IF(AND($J131="Contracte menor a càrrec del RAE",$K131=""),"Falta la partida RAE. ","")&amp;IF(AND($B131&lt;&gt;"",COUNTIF($B$6:$B$705,$B131)&gt;1),"Codi RAE repetit. ","")&amp;IF(AND($B131&lt;&gt;"",$J131&lt;&gt;"",$J131&lt;&gt;"Contracte menor a càrrec del RAE"),"Té codi RAE però no és de tipus RAE. ","")&amp;IF($N131="","Falta l'indicador del Pla. ","")&amp;IF($R131="","Falta el gestor. ","")&amp;IF($S131="","Falta indicar si és recurrent. ",""))))</f>
        <v/>
      </c>
    </row>
    <row r="132">
      <c r="A132" s="10">
        <f>IF($D132="","","27_"&amp;IFERROR(INDEX(Objectius!$E$2:$E$183,MATCH($D132,Objectius!$A$2:$A$183,0)),"??")&amp;"_"&amp;TEXT(COUNTIF($I$6:$I132,$I132),"00"))</f>
        <v/>
      </c>
      <c r="B132" s="11" t="n"/>
      <c r="C132" s="11" t="n"/>
      <c r="D132" s="11" t="n"/>
      <c r="E132" s="10">
        <f>IF($D132="","",IFERROR(INDEX(Objectius!$C$2:$C$183,MATCH($D132,Objectius!$A$2:$A$183,0)),"Objectiu no trobat al Pla"))</f>
        <v/>
      </c>
      <c r="F132" s="11" t="n"/>
      <c r="G132" s="11" t="n"/>
      <c r="H132" s="11" t="n"/>
      <c r="I132" s="10">
        <f>IF($D132="","",IFERROR(INDEX(Objectius!$D$2:$D$183,MATCH($D132,Objectius!$A$2:$A$183,0)),""))</f>
        <v/>
      </c>
      <c r="J132" s="11" t="n"/>
      <c r="K132" s="11" t="n"/>
      <c r="L132" s="11" t="n"/>
      <c r="M132" s="12" t="n"/>
      <c r="N132" s="11" t="n"/>
      <c r="O132" s="10">
        <f>IF($N132="","",IFERROR(INDEX('PLA ESTRATÈGIC'!$G$4:$G$452,MATCH($N132,'PLA ESTRATÈGIC'!$Q$4:$Q$452,0)),""))</f>
        <v/>
      </c>
      <c r="P132" s="10">
        <f>IF($N132="","",IFERROR(INDEX('PLA ESTRATÈGIC'!$H$4:$H$452,MATCH($N132,'PLA ESTRATÈGIC'!$Q$4:$Q$452,0)),""))</f>
        <v/>
      </c>
      <c r="Q132" s="13" t="n"/>
      <c r="R132" s="11" t="n"/>
      <c r="S132" s="11" t="n"/>
      <c r="T132" s="11" t="n"/>
      <c r="U132" s="11" t="n"/>
      <c r="V132" s="10">
        <f>IF(COUNTA($C132,$D132,$J132,$M132)=0,"",IF(TRIM(IF($C132="","Falta l'actuació. ","")&amp;IF($D132="","Falta l'objectiu. ","")&amp;IF($J132="","Falta el tipus de despesa. ","")&amp;IF(AND($J132&lt;&gt;"",$J132&lt;&gt;"Mitjans propis",$J132&lt;&gt;"Altres",$M132=""),"Falta l'import. ","")&amp;IF(AND($J132="Contracte menor a càrrec del RAE",$K132=""),"Falta la partida RAE. ","")&amp;IF(AND($B132&lt;&gt;"",COUNTIF($B$6:$B$705,$B132)&gt;1),"Codi RAE repetit. ","")&amp;IF(AND($B132&lt;&gt;"",$J132&lt;&gt;"",$J132&lt;&gt;"Contracte menor a càrrec del RAE"),"Té codi RAE però no és de tipus RAE. ","")&amp;IF($N132="","Falta l'indicador del Pla. ","")&amp;IF($R132="","Falta el gestor. ","")&amp;IF($S132="","Falta indicar si és recurrent. ",""))="","✔",TRIM(IF($C132="","Falta l'actuació. ","")&amp;IF($D132="","Falta l'objectiu. ","")&amp;IF($J132="","Falta el tipus de despesa. ","")&amp;IF(AND($J132&lt;&gt;"",$J132&lt;&gt;"Mitjans propis",$J132&lt;&gt;"Altres",$M132=""),"Falta l'import. ","")&amp;IF(AND($J132="Contracte menor a càrrec del RAE",$K132=""),"Falta la partida RAE. ","")&amp;IF(AND($B132&lt;&gt;"",COUNTIF($B$6:$B$705,$B132)&gt;1),"Codi RAE repetit. ","")&amp;IF(AND($B132&lt;&gt;"",$J132&lt;&gt;"",$J132&lt;&gt;"Contracte menor a càrrec del RAE"),"Té codi RAE però no és de tipus RAE. ","")&amp;IF($N132="","Falta l'indicador del Pla. ","")&amp;IF($R132="","Falta el gestor. ","")&amp;IF($S132="","Falta indicar si és recurrent. ",""))))</f>
        <v/>
      </c>
    </row>
    <row r="133">
      <c r="A133" s="10">
        <f>IF($D133="","","27_"&amp;IFERROR(INDEX(Objectius!$E$2:$E$183,MATCH($D133,Objectius!$A$2:$A$183,0)),"??")&amp;"_"&amp;TEXT(COUNTIF($I$6:$I133,$I133),"00"))</f>
        <v/>
      </c>
      <c r="B133" s="11" t="n"/>
      <c r="C133" s="11" t="n"/>
      <c r="D133" s="11" t="n"/>
      <c r="E133" s="10">
        <f>IF($D133="","",IFERROR(INDEX(Objectius!$C$2:$C$183,MATCH($D133,Objectius!$A$2:$A$183,0)),"Objectiu no trobat al Pla"))</f>
        <v/>
      </c>
      <c r="F133" s="11" t="n"/>
      <c r="G133" s="11" t="n"/>
      <c r="H133" s="11" t="n"/>
      <c r="I133" s="10">
        <f>IF($D133="","",IFERROR(INDEX(Objectius!$D$2:$D$183,MATCH($D133,Objectius!$A$2:$A$183,0)),""))</f>
        <v/>
      </c>
      <c r="J133" s="11" t="n"/>
      <c r="K133" s="11" t="n"/>
      <c r="L133" s="11" t="n"/>
      <c r="M133" s="12" t="n"/>
      <c r="N133" s="11" t="n"/>
      <c r="O133" s="10">
        <f>IF($N133="","",IFERROR(INDEX('PLA ESTRATÈGIC'!$G$4:$G$452,MATCH($N133,'PLA ESTRATÈGIC'!$Q$4:$Q$452,0)),""))</f>
        <v/>
      </c>
      <c r="P133" s="10">
        <f>IF($N133="","",IFERROR(INDEX('PLA ESTRATÈGIC'!$H$4:$H$452,MATCH($N133,'PLA ESTRATÈGIC'!$Q$4:$Q$452,0)),""))</f>
        <v/>
      </c>
      <c r="Q133" s="13" t="n"/>
      <c r="R133" s="11" t="n"/>
      <c r="S133" s="11" t="n"/>
      <c r="T133" s="11" t="n"/>
      <c r="U133" s="11" t="n"/>
      <c r="V133" s="10">
        <f>IF(COUNTA($C133,$D133,$J133,$M133)=0,"",IF(TRIM(IF($C133="","Falta l'actuació. ","")&amp;IF($D133="","Falta l'objectiu. ","")&amp;IF($J133="","Falta el tipus de despesa. ","")&amp;IF(AND($J133&lt;&gt;"",$J133&lt;&gt;"Mitjans propis",$J133&lt;&gt;"Altres",$M133=""),"Falta l'import. ","")&amp;IF(AND($J133="Contracte menor a càrrec del RAE",$K133=""),"Falta la partida RAE. ","")&amp;IF(AND($B133&lt;&gt;"",COUNTIF($B$6:$B$705,$B133)&gt;1),"Codi RAE repetit. ","")&amp;IF(AND($B133&lt;&gt;"",$J133&lt;&gt;"",$J133&lt;&gt;"Contracte menor a càrrec del RAE"),"Té codi RAE però no és de tipus RAE. ","")&amp;IF($N133="","Falta l'indicador del Pla. ","")&amp;IF($R133="","Falta el gestor. ","")&amp;IF($S133="","Falta indicar si és recurrent. ",""))="","✔",TRIM(IF($C133="","Falta l'actuació. ","")&amp;IF($D133="","Falta l'objectiu. ","")&amp;IF($J133="","Falta el tipus de despesa. ","")&amp;IF(AND($J133&lt;&gt;"",$J133&lt;&gt;"Mitjans propis",$J133&lt;&gt;"Altres",$M133=""),"Falta l'import. ","")&amp;IF(AND($J133="Contracte menor a càrrec del RAE",$K133=""),"Falta la partida RAE. ","")&amp;IF(AND($B133&lt;&gt;"",COUNTIF($B$6:$B$705,$B133)&gt;1),"Codi RAE repetit. ","")&amp;IF(AND($B133&lt;&gt;"",$J133&lt;&gt;"",$J133&lt;&gt;"Contracte menor a càrrec del RAE"),"Té codi RAE però no és de tipus RAE. ","")&amp;IF($N133="","Falta l'indicador del Pla. ","")&amp;IF($R133="","Falta el gestor. ","")&amp;IF($S133="","Falta indicar si és recurrent. ",""))))</f>
        <v/>
      </c>
    </row>
    <row r="134">
      <c r="A134" s="10">
        <f>IF($D134="","","27_"&amp;IFERROR(INDEX(Objectius!$E$2:$E$183,MATCH($D134,Objectius!$A$2:$A$183,0)),"??")&amp;"_"&amp;TEXT(COUNTIF($I$6:$I134,$I134),"00"))</f>
        <v/>
      </c>
      <c r="B134" s="11" t="n"/>
      <c r="C134" s="11" t="n"/>
      <c r="D134" s="11" t="n"/>
      <c r="E134" s="10">
        <f>IF($D134="","",IFERROR(INDEX(Objectius!$C$2:$C$183,MATCH($D134,Objectius!$A$2:$A$183,0)),"Objectiu no trobat al Pla"))</f>
        <v/>
      </c>
      <c r="F134" s="11" t="n"/>
      <c r="G134" s="11" t="n"/>
      <c r="H134" s="11" t="n"/>
      <c r="I134" s="10">
        <f>IF($D134="","",IFERROR(INDEX(Objectius!$D$2:$D$183,MATCH($D134,Objectius!$A$2:$A$183,0)),""))</f>
        <v/>
      </c>
      <c r="J134" s="11" t="n"/>
      <c r="K134" s="11" t="n"/>
      <c r="L134" s="11" t="n"/>
      <c r="M134" s="12" t="n"/>
      <c r="N134" s="11" t="n"/>
      <c r="O134" s="10">
        <f>IF($N134="","",IFERROR(INDEX('PLA ESTRATÈGIC'!$G$4:$G$452,MATCH($N134,'PLA ESTRATÈGIC'!$Q$4:$Q$452,0)),""))</f>
        <v/>
      </c>
      <c r="P134" s="10">
        <f>IF($N134="","",IFERROR(INDEX('PLA ESTRATÈGIC'!$H$4:$H$452,MATCH($N134,'PLA ESTRATÈGIC'!$Q$4:$Q$452,0)),""))</f>
        <v/>
      </c>
      <c r="Q134" s="13" t="n"/>
      <c r="R134" s="11" t="n"/>
      <c r="S134" s="11" t="n"/>
      <c r="T134" s="11" t="n"/>
      <c r="U134" s="11" t="n"/>
      <c r="V134" s="10">
        <f>IF(COUNTA($C134,$D134,$J134,$M134)=0,"",IF(TRIM(IF($C134="","Falta l'actuació. ","")&amp;IF($D134="","Falta l'objectiu. ","")&amp;IF($J134="","Falta el tipus de despesa. ","")&amp;IF(AND($J134&lt;&gt;"",$J134&lt;&gt;"Mitjans propis",$J134&lt;&gt;"Altres",$M134=""),"Falta l'import. ","")&amp;IF(AND($J134="Contracte menor a càrrec del RAE",$K134=""),"Falta la partida RAE. ","")&amp;IF(AND($B134&lt;&gt;"",COUNTIF($B$6:$B$705,$B134)&gt;1),"Codi RAE repetit. ","")&amp;IF(AND($B134&lt;&gt;"",$J134&lt;&gt;"",$J134&lt;&gt;"Contracte menor a càrrec del RAE"),"Té codi RAE però no és de tipus RAE. ","")&amp;IF($N134="","Falta l'indicador del Pla. ","")&amp;IF($R134="","Falta el gestor. ","")&amp;IF($S134="","Falta indicar si és recurrent. ",""))="","✔",TRIM(IF($C134="","Falta l'actuació. ","")&amp;IF($D134="","Falta l'objectiu. ","")&amp;IF($J134="","Falta el tipus de despesa. ","")&amp;IF(AND($J134&lt;&gt;"",$J134&lt;&gt;"Mitjans propis",$J134&lt;&gt;"Altres",$M134=""),"Falta l'import. ","")&amp;IF(AND($J134="Contracte menor a càrrec del RAE",$K134=""),"Falta la partida RAE. ","")&amp;IF(AND($B134&lt;&gt;"",COUNTIF($B$6:$B$705,$B134)&gt;1),"Codi RAE repetit. ","")&amp;IF(AND($B134&lt;&gt;"",$J134&lt;&gt;"",$J134&lt;&gt;"Contracte menor a càrrec del RAE"),"Té codi RAE però no és de tipus RAE. ","")&amp;IF($N134="","Falta l'indicador del Pla. ","")&amp;IF($R134="","Falta el gestor. ","")&amp;IF($S134="","Falta indicar si és recurrent. ",""))))</f>
        <v/>
      </c>
    </row>
    <row r="135">
      <c r="A135" s="10">
        <f>IF($D135="","","27_"&amp;IFERROR(INDEX(Objectius!$E$2:$E$183,MATCH($D135,Objectius!$A$2:$A$183,0)),"??")&amp;"_"&amp;TEXT(COUNTIF($I$6:$I135,$I135),"00"))</f>
        <v/>
      </c>
      <c r="B135" s="11" t="n"/>
      <c r="C135" s="11" t="n"/>
      <c r="D135" s="11" t="n"/>
      <c r="E135" s="10">
        <f>IF($D135="","",IFERROR(INDEX(Objectius!$C$2:$C$183,MATCH($D135,Objectius!$A$2:$A$183,0)),"Objectiu no trobat al Pla"))</f>
        <v/>
      </c>
      <c r="F135" s="11" t="n"/>
      <c r="G135" s="11" t="n"/>
      <c r="H135" s="11" t="n"/>
      <c r="I135" s="10">
        <f>IF($D135="","",IFERROR(INDEX(Objectius!$D$2:$D$183,MATCH($D135,Objectius!$A$2:$A$183,0)),""))</f>
        <v/>
      </c>
      <c r="J135" s="11" t="n"/>
      <c r="K135" s="11" t="n"/>
      <c r="L135" s="11" t="n"/>
      <c r="M135" s="12" t="n"/>
      <c r="N135" s="11" t="n"/>
      <c r="O135" s="10">
        <f>IF($N135="","",IFERROR(INDEX('PLA ESTRATÈGIC'!$G$4:$G$452,MATCH($N135,'PLA ESTRATÈGIC'!$Q$4:$Q$452,0)),""))</f>
        <v/>
      </c>
      <c r="P135" s="10">
        <f>IF($N135="","",IFERROR(INDEX('PLA ESTRATÈGIC'!$H$4:$H$452,MATCH($N135,'PLA ESTRATÈGIC'!$Q$4:$Q$452,0)),""))</f>
        <v/>
      </c>
      <c r="Q135" s="13" t="n"/>
      <c r="R135" s="11" t="n"/>
      <c r="S135" s="11" t="n"/>
      <c r="T135" s="11" t="n"/>
      <c r="U135" s="11" t="n"/>
      <c r="V135" s="10">
        <f>IF(COUNTA($C135,$D135,$J135,$M135)=0,"",IF(TRIM(IF($C135="","Falta l'actuació. ","")&amp;IF($D135="","Falta l'objectiu. ","")&amp;IF($J135="","Falta el tipus de despesa. ","")&amp;IF(AND($J135&lt;&gt;"",$J135&lt;&gt;"Mitjans propis",$J135&lt;&gt;"Altres",$M135=""),"Falta l'import. ","")&amp;IF(AND($J135="Contracte menor a càrrec del RAE",$K135=""),"Falta la partida RAE. ","")&amp;IF(AND($B135&lt;&gt;"",COUNTIF($B$6:$B$705,$B135)&gt;1),"Codi RAE repetit. ","")&amp;IF(AND($B135&lt;&gt;"",$J135&lt;&gt;"",$J135&lt;&gt;"Contracte menor a càrrec del RAE"),"Té codi RAE però no és de tipus RAE. ","")&amp;IF($N135="","Falta l'indicador del Pla. ","")&amp;IF($R135="","Falta el gestor. ","")&amp;IF($S135="","Falta indicar si és recurrent. ",""))="","✔",TRIM(IF($C135="","Falta l'actuació. ","")&amp;IF($D135="","Falta l'objectiu. ","")&amp;IF($J135="","Falta el tipus de despesa. ","")&amp;IF(AND($J135&lt;&gt;"",$J135&lt;&gt;"Mitjans propis",$J135&lt;&gt;"Altres",$M135=""),"Falta l'import. ","")&amp;IF(AND($J135="Contracte menor a càrrec del RAE",$K135=""),"Falta la partida RAE. ","")&amp;IF(AND($B135&lt;&gt;"",COUNTIF($B$6:$B$705,$B135)&gt;1),"Codi RAE repetit. ","")&amp;IF(AND($B135&lt;&gt;"",$J135&lt;&gt;"",$J135&lt;&gt;"Contracte menor a càrrec del RAE"),"Té codi RAE però no és de tipus RAE. ","")&amp;IF($N135="","Falta l'indicador del Pla. ","")&amp;IF($R135="","Falta el gestor. ","")&amp;IF($S135="","Falta indicar si és recurrent. ",""))))</f>
        <v/>
      </c>
    </row>
    <row r="136">
      <c r="A136" s="10">
        <f>IF($D136="","","27_"&amp;IFERROR(INDEX(Objectius!$E$2:$E$183,MATCH($D136,Objectius!$A$2:$A$183,0)),"??")&amp;"_"&amp;TEXT(COUNTIF($I$6:$I136,$I136),"00"))</f>
        <v/>
      </c>
      <c r="B136" s="11" t="n"/>
      <c r="C136" s="11" t="n"/>
      <c r="D136" s="11" t="n"/>
      <c r="E136" s="10">
        <f>IF($D136="","",IFERROR(INDEX(Objectius!$C$2:$C$183,MATCH($D136,Objectius!$A$2:$A$183,0)),"Objectiu no trobat al Pla"))</f>
        <v/>
      </c>
      <c r="F136" s="11" t="n"/>
      <c r="G136" s="11" t="n"/>
      <c r="H136" s="11" t="n"/>
      <c r="I136" s="10">
        <f>IF($D136="","",IFERROR(INDEX(Objectius!$D$2:$D$183,MATCH($D136,Objectius!$A$2:$A$183,0)),""))</f>
        <v/>
      </c>
      <c r="J136" s="11" t="n"/>
      <c r="K136" s="11" t="n"/>
      <c r="L136" s="11" t="n"/>
      <c r="M136" s="12" t="n"/>
      <c r="N136" s="11" t="n"/>
      <c r="O136" s="10">
        <f>IF($N136="","",IFERROR(INDEX('PLA ESTRATÈGIC'!$G$4:$G$452,MATCH($N136,'PLA ESTRATÈGIC'!$Q$4:$Q$452,0)),""))</f>
        <v/>
      </c>
      <c r="P136" s="10">
        <f>IF($N136="","",IFERROR(INDEX('PLA ESTRATÈGIC'!$H$4:$H$452,MATCH($N136,'PLA ESTRATÈGIC'!$Q$4:$Q$452,0)),""))</f>
        <v/>
      </c>
      <c r="Q136" s="13" t="n"/>
      <c r="R136" s="11" t="n"/>
      <c r="S136" s="11" t="n"/>
      <c r="T136" s="11" t="n"/>
      <c r="U136" s="11" t="n"/>
      <c r="V136" s="10">
        <f>IF(COUNTA($C136,$D136,$J136,$M136)=0,"",IF(TRIM(IF($C136="","Falta l'actuació. ","")&amp;IF($D136="","Falta l'objectiu. ","")&amp;IF($J136="","Falta el tipus de despesa. ","")&amp;IF(AND($J136&lt;&gt;"",$J136&lt;&gt;"Mitjans propis",$J136&lt;&gt;"Altres",$M136=""),"Falta l'import. ","")&amp;IF(AND($J136="Contracte menor a càrrec del RAE",$K136=""),"Falta la partida RAE. ","")&amp;IF(AND($B136&lt;&gt;"",COUNTIF($B$6:$B$705,$B136)&gt;1),"Codi RAE repetit. ","")&amp;IF(AND($B136&lt;&gt;"",$J136&lt;&gt;"",$J136&lt;&gt;"Contracte menor a càrrec del RAE"),"Té codi RAE però no és de tipus RAE. ","")&amp;IF($N136="","Falta l'indicador del Pla. ","")&amp;IF($R136="","Falta el gestor. ","")&amp;IF($S136="","Falta indicar si és recurrent. ",""))="","✔",TRIM(IF($C136="","Falta l'actuació. ","")&amp;IF($D136="","Falta l'objectiu. ","")&amp;IF($J136="","Falta el tipus de despesa. ","")&amp;IF(AND($J136&lt;&gt;"",$J136&lt;&gt;"Mitjans propis",$J136&lt;&gt;"Altres",$M136=""),"Falta l'import. ","")&amp;IF(AND($J136="Contracte menor a càrrec del RAE",$K136=""),"Falta la partida RAE. ","")&amp;IF(AND($B136&lt;&gt;"",COUNTIF($B$6:$B$705,$B136)&gt;1),"Codi RAE repetit. ","")&amp;IF(AND($B136&lt;&gt;"",$J136&lt;&gt;"",$J136&lt;&gt;"Contracte menor a càrrec del RAE"),"Té codi RAE però no és de tipus RAE. ","")&amp;IF($N136="","Falta l'indicador del Pla. ","")&amp;IF($R136="","Falta el gestor. ","")&amp;IF($S136="","Falta indicar si és recurrent. ",""))))</f>
        <v/>
      </c>
    </row>
    <row r="137">
      <c r="A137" s="10">
        <f>IF($D137="","","27_"&amp;IFERROR(INDEX(Objectius!$E$2:$E$183,MATCH($D137,Objectius!$A$2:$A$183,0)),"??")&amp;"_"&amp;TEXT(COUNTIF($I$6:$I137,$I137),"00"))</f>
        <v/>
      </c>
      <c r="B137" s="11" t="n"/>
      <c r="C137" s="11" t="n"/>
      <c r="D137" s="11" t="n"/>
      <c r="E137" s="10">
        <f>IF($D137="","",IFERROR(INDEX(Objectius!$C$2:$C$183,MATCH($D137,Objectius!$A$2:$A$183,0)),"Objectiu no trobat al Pla"))</f>
        <v/>
      </c>
      <c r="F137" s="11" t="n"/>
      <c r="G137" s="11" t="n"/>
      <c r="H137" s="11" t="n"/>
      <c r="I137" s="10">
        <f>IF($D137="","",IFERROR(INDEX(Objectius!$D$2:$D$183,MATCH($D137,Objectius!$A$2:$A$183,0)),""))</f>
        <v/>
      </c>
      <c r="J137" s="11" t="n"/>
      <c r="K137" s="11" t="n"/>
      <c r="L137" s="11" t="n"/>
      <c r="M137" s="12" t="n"/>
      <c r="N137" s="11" t="n"/>
      <c r="O137" s="10">
        <f>IF($N137="","",IFERROR(INDEX('PLA ESTRATÈGIC'!$G$4:$G$452,MATCH($N137,'PLA ESTRATÈGIC'!$Q$4:$Q$452,0)),""))</f>
        <v/>
      </c>
      <c r="P137" s="10">
        <f>IF($N137="","",IFERROR(INDEX('PLA ESTRATÈGIC'!$H$4:$H$452,MATCH($N137,'PLA ESTRATÈGIC'!$Q$4:$Q$452,0)),""))</f>
        <v/>
      </c>
      <c r="Q137" s="13" t="n"/>
      <c r="R137" s="11" t="n"/>
      <c r="S137" s="11" t="n"/>
      <c r="T137" s="11" t="n"/>
      <c r="U137" s="11" t="n"/>
      <c r="V137" s="10">
        <f>IF(COUNTA($C137,$D137,$J137,$M137)=0,"",IF(TRIM(IF($C137="","Falta l'actuació. ","")&amp;IF($D137="","Falta l'objectiu. ","")&amp;IF($J137="","Falta el tipus de despesa. ","")&amp;IF(AND($J137&lt;&gt;"",$J137&lt;&gt;"Mitjans propis",$J137&lt;&gt;"Altres",$M137=""),"Falta l'import. ","")&amp;IF(AND($J137="Contracte menor a càrrec del RAE",$K137=""),"Falta la partida RAE. ","")&amp;IF(AND($B137&lt;&gt;"",COUNTIF($B$6:$B$705,$B137)&gt;1),"Codi RAE repetit. ","")&amp;IF(AND($B137&lt;&gt;"",$J137&lt;&gt;"",$J137&lt;&gt;"Contracte menor a càrrec del RAE"),"Té codi RAE però no és de tipus RAE. ","")&amp;IF($N137="","Falta l'indicador del Pla. ","")&amp;IF($R137="","Falta el gestor. ","")&amp;IF($S137="","Falta indicar si és recurrent. ",""))="","✔",TRIM(IF($C137="","Falta l'actuació. ","")&amp;IF($D137="","Falta l'objectiu. ","")&amp;IF($J137="","Falta el tipus de despesa. ","")&amp;IF(AND($J137&lt;&gt;"",$J137&lt;&gt;"Mitjans propis",$J137&lt;&gt;"Altres",$M137=""),"Falta l'import. ","")&amp;IF(AND($J137="Contracte menor a càrrec del RAE",$K137=""),"Falta la partida RAE. ","")&amp;IF(AND($B137&lt;&gt;"",COUNTIF($B$6:$B$705,$B137)&gt;1),"Codi RAE repetit. ","")&amp;IF(AND($B137&lt;&gt;"",$J137&lt;&gt;"",$J137&lt;&gt;"Contracte menor a càrrec del RAE"),"Té codi RAE però no és de tipus RAE. ","")&amp;IF($N137="","Falta l'indicador del Pla. ","")&amp;IF($R137="","Falta el gestor. ","")&amp;IF($S137="","Falta indicar si és recurrent. ",""))))</f>
        <v/>
      </c>
    </row>
    <row r="138">
      <c r="A138" s="10">
        <f>IF($D138="","","27_"&amp;IFERROR(INDEX(Objectius!$E$2:$E$183,MATCH($D138,Objectius!$A$2:$A$183,0)),"??")&amp;"_"&amp;TEXT(COUNTIF($I$6:$I138,$I138),"00"))</f>
        <v/>
      </c>
      <c r="B138" s="11" t="n"/>
      <c r="C138" s="11" t="n"/>
      <c r="D138" s="11" t="n"/>
      <c r="E138" s="10">
        <f>IF($D138="","",IFERROR(INDEX(Objectius!$C$2:$C$183,MATCH($D138,Objectius!$A$2:$A$183,0)),"Objectiu no trobat al Pla"))</f>
        <v/>
      </c>
      <c r="F138" s="11" t="n"/>
      <c r="G138" s="11" t="n"/>
      <c r="H138" s="11" t="n"/>
      <c r="I138" s="10">
        <f>IF($D138="","",IFERROR(INDEX(Objectius!$D$2:$D$183,MATCH($D138,Objectius!$A$2:$A$183,0)),""))</f>
        <v/>
      </c>
      <c r="J138" s="11" t="n"/>
      <c r="K138" s="11" t="n"/>
      <c r="L138" s="11" t="n"/>
      <c r="M138" s="12" t="n"/>
      <c r="N138" s="11" t="n"/>
      <c r="O138" s="10">
        <f>IF($N138="","",IFERROR(INDEX('PLA ESTRATÈGIC'!$G$4:$G$452,MATCH($N138,'PLA ESTRATÈGIC'!$Q$4:$Q$452,0)),""))</f>
        <v/>
      </c>
      <c r="P138" s="10">
        <f>IF($N138="","",IFERROR(INDEX('PLA ESTRATÈGIC'!$H$4:$H$452,MATCH($N138,'PLA ESTRATÈGIC'!$Q$4:$Q$452,0)),""))</f>
        <v/>
      </c>
      <c r="Q138" s="13" t="n"/>
      <c r="R138" s="11" t="n"/>
      <c r="S138" s="11" t="n"/>
      <c r="T138" s="11" t="n"/>
      <c r="U138" s="11" t="n"/>
      <c r="V138" s="10">
        <f>IF(COUNTA($C138,$D138,$J138,$M138)=0,"",IF(TRIM(IF($C138="","Falta l'actuació. ","")&amp;IF($D138="","Falta l'objectiu. ","")&amp;IF($J138="","Falta el tipus de despesa. ","")&amp;IF(AND($J138&lt;&gt;"",$J138&lt;&gt;"Mitjans propis",$J138&lt;&gt;"Altres",$M138=""),"Falta l'import. ","")&amp;IF(AND($J138="Contracte menor a càrrec del RAE",$K138=""),"Falta la partida RAE. ","")&amp;IF(AND($B138&lt;&gt;"",COUNTIF($B$6:$B$705,$B138)&gt;1),"Codi RAE repetit. ","")&amp;IF(AND($B138&lt;&gt;"",$J138&lt;&gt;"",$J138&lt;&gt;"Contracte menor a càrrec del RAE"),"Té codi RAE però no és de tipus RAE. ","")&amp;IF($N138="","Falta l'indicador del Pla. ","")&amp;IF($R138="","Falta el gestor. ","")&amp;IF($S138="","Falta indicar si és recurrent. ",""))="","✔",TRIM(IF($C138="","Falta l'actuació. ","")&amp;IF($D138="","Falta l'objectiu. ","")&amp;IF($J138="","Falta el tipus de despesa. ","")&amp;IF(AND($J138&lt;&gt;"",$J138&lt;&gt;"Mitjans propis",$J138&lt;&gt;"Altres",$M138=""),"Falta l'import. ","")&amp;IF(AND($J138="Contracte menor a càrrec del RAE",$K138=""),"Falta la partida RAE. ","")&amp;IF(AND($B138&lt;&gt;"",COUNTIF($B$6:$B$705,$B138)&gt;1),"Codi RAE repetit. ","")&amp;IF(AND($B138&lt;&gt;"",$J138&lt;&gt;"",$J138&lt;&gt;"Contracte menor a càrrec del RAE"),"Té codi RAE però no és de tipus RAE. ","")&amp;IF($N138="","Falta l'indicador del Pla. ","")&amp;IF($R138="","Falta el gestor. ","")&amp;IF($S138="","Falta indicar si és recurrent. ",""))))</f>
        <v/>
      </c>
    </row>
    <row r="139">
      <c r="A139" s="10">
        <f>IF($D139="","","27_"&amp;IFERROR(INDEX(Objectius!$E$2:$E$183,MATCH($D139,Objectius!$A$2:$A$183,0)),"??")&amp;"_"&amp;TEXT(COUNTIF($I$6:$I139,$I139),"00"))</f>
        <v/>
      </c>
      <c r="B139" s="11" t="n"/>
      <c r="C139" s="11" t="n"/>
      <c r="D139" s="11" t="n"/>
      <c r="E139" s="10">
        <f>IF($D139="","",IFERROR(INDEX(Objectius!$C$2:$C$183,MATCH($D139,Objectius!$A$2:$A$183,0)),"Objectiu no trobat al Pla"))</f>
        <v/>
      </c>
      <c r="F139" s="11" t="n"/>
      <c r="G139" s="11" t="n"/>
      <c r="H139" s="11" t="n"/>
      <c r="I139" s="10">
        <f>IF($D139="","",IFERROR(INDEX(Objectius!$D$2:$D$183,MATCH($D139,Objectius!$A$2:$A$183,0)),""))</f>
        <v/>
      </c>
      <c r="J139" s="11" t="n"/>
      <c r="K139" s="11" t="n"/>
      <c r="L139" s="11" t="n"/>
      <c r="M139" s="12" t="n"/>
      <c r="N139" s="11" t="n"/>
      <c r="O139" s="10">
        <f>IF($N139="","",IFERROR(INDEX('PLA ESTRATÈGIC'!$G$4:$G$452,MATCH($N139,'PLA ESTRATÈGIC'!$Q$4:$Q$452,0)),""))</f>
        <v/>
      </c>
      <c r="P139" s="10">
        <f>IF($N139="","",IFERROR(INDEX('PLA ESTRATÈGIC'!$H$4:$H$452,MATCH($N139,'PLA ESTRATÈGIC'!$Q$4:$Q$452,0)),""))</f>
        <v/>
      </c>
      <c r="Q139" s="13" t="n"/>
      <c r="R139" s="11" t="n"/>
      <c r="S139" s="11" t="n"/>
      <c r="T139" s="11" t="n"/>
      <c r="U139" s="11" t="n"/>
      <c r="V139" s="10">
        <f>IF(COUNTA($C139,$D139,$J139,$M139)=0,"",IF(TRIM(IF($C139="","Falta l'actuació. ","")&amp;IF($D139="","Falta l'objectiu. ","")&amp;IF($J139="","Falta el tipus de despesa. ","")&amp;IF(AND($J139&lt;&gt;"",$J139&lt;&gt;"Mitjans propis",$J139&lt;&gt;"Altres",$M139=""),"Falta l'import. ","")&amp;IF(AND($J139="Contracte menor a càrrec del RAE",$K139=""),"Falta la partida RAE. ","")&amp;IF(AND($B139&lt;&gt;"",COUNTIF($B$6:$B$705,$B139)&gt;1),"Codi RAE repetit. ","")&amp;IF(AND($B139&lt;&gt;"",$J139&lt;&gt;"",$J139&lt;&gt;"Contracte menor a càrrec del RAE"),"Té codi RAE però no és de tipus RAE. ","")&amp;IF($N139="","Falta l'indicador del Pla. ","")&amp;IF($R139="","Falta el gestor. ","")&amp;IF($S139="","Falta indicar si és recurrent. ",""))="","✔",TRIM(IF($C139="","Falta l'actuació. ","")&amp;IF($D139="","Falta l'objectiu. ","")&amp;IF($J139="","Falta el tipus de despesa. ","")&amp;IF(AND($J139&lt;&gt;"",$J139&lt;&gt;"Mitjans propis",$J139&lt;&gt;"Altres",$M139=""),"Falta l'import. ","")&amp;IF(AND($J139="Contracte menor a càrrec del RAE",$K139=""),"Falta la partida RAE. ","")&amp;IF(AND($B139&lt;&gt;"",COUNTIF($B$6:$B$705,$B139)&gt;1),"Codi RAE repetit. ","")&amp;IF(AND($B139&lt;&gt;"",$J139&lt;&gt;"",$J139&lt;&gt;"Contracte menor a càrrec del RAE"),"Té codi RAE però no és de tipus RAE. ","")&amp;IF($N139="","Falta l'indicador del Pla. ","")&amp;IF($R139="","Falta el gestor. ","")&amp;IF($S139="","Falta indicar si és recurrent. ",""))))</f>
        <v/>
      </c>
    </row>
    <row r="140">
      <c r="A140" s="10">
        <f>IF($D140="","","27_"&amp;IFERROR(INDEX(Objectius!$E$2:$E$183,MATCH($D140,Objectius!$A$2:$A$183,0)),"??")&amp;"_"&amp;TEXT(COUNTIF($I$6:$I140,$I140),"00"))</f>
        <v/>
      </c>
      <c r="B140" s="11" t="n"/>
      <c r="C140" s="11" t="n"/>
      <c r="D140" s="11" t="n"/>
      <c r="E140" s="10">
        <f>IF($D140="","",IFERROR(INDEX(Objectius!$C$2:$C$183,MATCH($D140,Objectius!$A$2:$A$183,0)),"Objectiu no trobat al Pla"))</f>
        <v/>
      </c>
      <c r="F140" s="11" t="n"/>
      <c r="G140" s="11" t="n"/>
      <c r="H140" s="11" t="n"/>
      <c r="I140" s="10">
        <f>IF($D140="","",IFERROR(INDEX(Objectius!$D$2:$D$183,MATCH($D140,Objectius!$A$2:$A$183,0)),""))</f>
        <v/>
      </c>
      <c r="J140" s="11" t="n"/>
      <c r="K140" s="11" t="n"/>
      <c r="L140" s="11" t="n"/>
      <c r="M140" s="12" t="n"/>
      <c r="N140" s="11" t="n"/>
      <c r="O140" s="10">
        <f>IF($N140="","",IFERROR(INDEX('PLA ESTRATÈGIC'!$G$4:$G$452,MATCH($N140,'PLA ESTRATÈGIC'!$Q$4:$Q$452,0)),""))</f>
        <v/>
      </c>
      <c r="P140" s="10">
        <f>IF($N140="","",IFERROR(INDEX('PLA ESTRATÈGIC'!$H$4:$H$452,MATCH($N140,'PLA ESTRATÈGIC'!$Q$4:$Q$452,0)),""))</f>
        <v/>
      </c>
      <c r="Q140" s="13" t="n"/>
      <c r="R140" s="11" t="n"/>
      <c r="S140" s="11" t="n"/>
      <c r="T140" s="11" t="n"/>
      <c r="U140" s="11" t="n"/>
      <c r="V140" s="10">
        <f>IF(COUNTA($C140,$D140,$J140,$M140)=0,"",IF(TRIM(IF($C140="","Falta l'actuació. ","")&amp;IF($D140="","Falta l'objectiu. ","")&amp;IF($J140="","Falta el tipus de despesa. ","")&amp;IF(AND($J140&lt;&gt;"",$J140&lt;&gt;"Mitjans propis",$J140&lt;&gt;"Altres",$M140=""),"Falta l'import. ","")&amp;IF(AND($J140="Contracte menor a càrrec del RAE",$K140=""),"Falta la partida RAE. ","")&amp;IF(AND($B140&lt;&gt;"",COUNTIF($B$6:$B$705,$B140)&gt;1),"Codi RAE repetit. ","")&amp;IF(AND($B140&lt;&gt;"",$J140&lt;&gt;"",$J140&lt;&gt;"Contracte menor a càrrec del RAE"),"Té codi RAE però no és de tipus RAE. ","")&amp;IF($N140="","Falta l'indicador del Pla. ","")&amp;IF($R140="","Falta el gestor. ","")&amp;IF($S140="","Falta indicar si és recurrent. ",""))="","✔",TRIM(IF($C140="","Falta l'actuació. ","")&amp;IF($D140="","Falta l'objectiu. ","")&amp;IF($J140="","Falta el tipus de despesa. ","")&amp;IF(AND($J140&lt;&gt;"",$J140&lt;&gt;"Mitjans propis",$J140&lt;&gt;"Altres",$M140=""),"Falta l'import. ","")&amp;IF(AND($J140="Contracte menor a càrrec del RAE",$K140=""),"Falta la partida RAE. ","")&amp;IF(AND($B140&lt;&gt;"",COUNTIF($B$6:$B$705,$B140)&gt;1),"Codi RAE repetit. ","")&amp;IF(AND($B140&lt;&gt;"",$J140&lt;&gt;"",$J140&lt;&gt;"Contracte menor a càrrec del RAE"),"Té codi RAE però no és de tipus RAE. ","")&amp;IF($N140="","Falta l'indicador del Pla. ","")&amp;IF($R140="","Falta el gestor. ","")&amp;IF($S140="","Falta indicar si és recurrent. ",""))))</f>
        <v/>
      </c>
    </row>
    <row r="141">
      <c r="A141" s="10">
        <f>IF($D141="","","27_"&amp;IFERROR(INDEX(Objectius!$E$2:$E$183,MATCH($D141,Objectius!$A$2:$A$183,0)),"??")&amp;"_"&amp;TEXT(COUNTIF($I$6:$I141,$I141),"00"))</f>
        <v/>
      </c>
      <c r="B141" s="11" t="n"/>
      <c r="C141" s="11" t="n"/>
      <c r="D141" s="11" t="n"/>
      <c r="E141" s="10">
        <f>IF($D141="","",IFERROR(INDEX(Objectius!$C$2:$C$183,MATCH($D141,Objectius!$A$2:$A$183,0)),"Objectiu no trobat al Pla"))</f>
        <v/>
      </c>
      <c r="F141" s="11" t="n"/>
      <c r="G141" s="11" t="n"/>
      <c r="H141" s="11" t="n"/>
      <c r="I141" s="10">
        <f>IF($D141="","",IFERROR(INDEX(Objectius!$D$2:$D$183,MATCH($D141,Objectius!$A$2:$A$183,0)),""))</f>
        <v/>
      </c>
      <c r="J141" s="11" t="n"/>
      <c r="K141" s="11" t="n"/>
      <c r="L141" s="11" t="n"/>
      <c r="M141" s="12" t="n"/>
      <c r="N141" s="11" t="n"/>
      <c r="O141" s="10">
        <f>IF($N141="","",IFERROR(INDEX('PLA ESTRATÈGIC'!$G$4:$G$452,MATCH($N141,'PLA ESTRATÈGIC'!$Q$4:$Q$452,0)),""))</f>
        <v/>
      </c>
      <c r="P141" s="10">
        <f>IF($N141="","",IFERROR(INDEX('PLA ESTRATÈGIC'!$H$4:$H$452,MATCH($N141,'PLA ESTRATÈGIC'!$Q$4:$Q$452,0)),""))</f>
        <v/>
      </c>
      <c r="Q141" s="13" t="n"/>
      <c r="R141" s="11" t="n"/>
      <c r="S141" s="11" t="n"/>
      <c r="T141" s="11" t="n"/>
      <c r="U141" s="11" t="n"/>
      <c r="V141" s="10">
        <f>IF(COUNTA($C141,$D141,$J141,$M141)=0,"",IF(TRIM(IF($C141="","Falta l'actuació. ","")&amp;IF($D141="","Falta l'objectiu. ","")&amp;IF($J141="","Falta el tipus de despesa. ","")&amp;IF(AND($J141&lt;&gt;"",$J141&lt;&gt;"Mitjans propis",$J141&lt;&gt;"Altres",$M141=""),"Falta l'import. ","")&amp;IF(AND($J141="Contracte menor a càrrec del RAE",$K141=""),"Falta la partida RAE. ","")&amp;IF(AND($B141&lt;&gt;"",COUNTIF($B$6:$B$705,$B141)&gt;1),"Codi RAE repetit. ","")&amp;IF(AND($B141&lt;&gt;"",$J141&lt;&gt;"",$J141&lt;&gt;"Contracte menor a càrrec del RAE"),"Té codi RAE però no és de tipus RAE. ","")&amp;IF($N141="","Falta l'indicador del Pla. ","")&amp;IF($R141="","Falta el gestor. ","")&amp;IF($S141="","Falta indicar si és recurrent. ",""))="","✔",TRIM(IF($C141="","Falta l'actuació. ","")&amp;IF($D141="","Falta l'objectiu. ","")&amp;IF($J141="","Falta el tipus de despesa. ","")&amp;IF(AND($J141&lt;&gt;"",$J141&lt;&gt;"Mitjans propis",$J141&lt;&gt;"Altres",$M141=""),"Falta l'import. ","")&amp;IF(AND($J141="Contracte menor a càrrec del RAE",$K141=""),"Falta la partida RAE. ","")&amp;IF(AND($B141&lt;&gt;"",COUNTIF($B$6:$B$705,$B141)&gt;1),"Codi RAE repetit. ","")&amp;IF(AND($B141&lt;&gt;"",$J141&lt;&gt;"",$J141&lt;&gt;"Contracte menor a càrrec del RAE"),"Té codi RAE però no és de tipus RAE. ","")&amp;IF($N141="","Falta l'indicador del Pla. ","")&amp;IF($R141="","Falta el gestor. ","")&amp;IF($S141="","Falta indicar si és recurrent. ",""))))</f>
        <v/>
      </c>
    </row>
    <row r="142">
      <c r="A142" s="10">
        <f>IF($D142="","","27_"&amp;IFERROR(INDEX(Objectius!$E$2:$E$183,MATCH($D142,Objectius!$A$2:$A$183,0)),"??")&amp;"_"&amp;TEXT(COUNTIF($I$6:$I142,$I142),"00"))</f>
        <v/>
      </c>
      <c r="B142" s="11" t="n"/>
      <c r="C142" s="11" t="n"/>
      <c r="D142" s="11" t="n"/>
      <c r="E142" s="10">
        <f>IF($D142="","",IFERROR(INDEX(Objectius!$C$2:$C$183,MATCH($D142,Objectius!$A$2:$A$183,0)),"Objectiu no trobat al Pla"))</f>
        <v/>
      </c>
      <c r="F142" s="11" t="n"/>
      <c r="G142" s="11" t="n"/>
      <c r="H142" s="11" t="n"/>
      <c r="I142" s="10">
        <f>IF($D142="","",IFERROR(INDEX(Objectius!$D$2:$D$183,MATCH($D142,Objectius!$A$2:$A$183,0)),""))</f>
        <v/>
      </c>
      <c r="J142" s="11" t="n"/>
      <c r="K142" s="11" t="n"/>
      <c r="L142" s="11" t="n"/>
      <c r="M142" s="12" t="n"/>
      <c r="N142" s="11" t="n"/>
      <c r="O142" s="10">
        <f>IF($N142="","",IFERROR(INDEX('PLA ESTRATÈGIC'!$G$4:$G$452,MATCH($N142,'PLA ESTRATÈGIC'!$Q$4:$Q$452,0)),""))</f>
        <v/>
      </c>
      <c r="P142" s="10">
        <f>IF($N142="","",IFERROR(INDEX('PLA ESTRATÈGIC'!$H$4:$H$452,MATCH($N142,'PLA ESTRATÈGIC'!$Q$4:$Q$452,0)),""))</f>
        <v/>
      </c>
      <c r="Q142" s="13" t="n"/>
      <c r="R142" s="11" t="n"/>
      <c r="S142" s="11" t="n"/>
      <c r="T142" s="11" t="n"/>
      <c r="U142" s="11" t="n"/>
      <c r="V142" s="10">
        <f>IF(COUNTA($C142,$D142,$J142,$M142)=0,"",IF(TRIM(IF($C142="","Falta l'actuació. ","")&amp;IF($D142="","Falta l'objectiu. ","")&amp;IF($J142="","Falta el tipus de despesa. ","")&amp;IF(AND($J142&lt;&gt;"",$J142&lt;&gt;"Mitjans propis",$J142&lt;&gt;"Altres",$M142=""),"Falta l'import. ","")&amp;IF(AND($J142="Contracte menor a càrrec del RAE",$K142=""),"Falta la partida RAE. ","")&amp;IF(AND($B142&lt;&gt;"",COUNTIF($B$6:$B$705,$B142)&gt;1),"Codi RAE repetit. ","")&amp;IF(AND($B142&lt;&gt;"",$J142&lt;&gt;"",$J142&lt;&gt;"Contracte menor a càrrec del RAE"),"Té codi RAE però no és de tipus RAE. ","")&amp;IF($N142="","Falta l'indicador del Pla. ","")&amp;IF($R142="","Falta el gestor. ","")&amp;IF($S142="","Falta indicar si és recurrent. ",""))="","✔",TRIM(IF($C142="","Falta l'actuació. ","")&amp;IF($D142="","Falta l'objectiu. ","")&amp;IF($J142="","Falta el tipus de despesa. ","")&amp;IF(AND($J142&lt;&gt;"",$J142&lt;&gt;"Mitjans propis",$J142&lt;&gt;"Altres",$M142=""),"Falta l'import. ","")&amp;IF(AND($J142="Contracte menor a càrrec del RAE",$K142=""),"Falta la partida RAE. ","")&amp;IF(AND($B142&lt;&gt;"",COUNTIF($B$6:$B$705,$B142)&gt;1),"Codi RAE repetit. ","")&amp;IF(AND($B142&lt;&gt;"",$J142&lt;&gt;"",$J142&lt;&gt;"Contracte menor a càrrec del RAE"),"Té codi RAE però no és de tipus RAE. ","")&amp;IF($N142="","Falta l'indicador del Pla. ","")&amp;IF($R142="","Falta el gestor. ","")&amp;IF($S142="","Falta indicar si és recurrent. ",""))))</f>
        <v/>
      </c>
    </row>
    <row r="143">
      <c r="A143" s="10">
        <f>IF($D143="","","27_"&amp;IFERROR(INDEX(Objectius!$E$2:$E$183,MATCH($D143,Objectius!$A$2:$A$183,0)),"??")&amp;"_"&amp;TEXT(COUNTIF($I$6:$I143,$I143),"00"))</f>
        <v/>
      </c>
      <c r="B143" s="11" t="n"/>
      <c r="C143" s="11" t="n"/>
      <c r="D143" s="11" t="n"/>
      <c r="E143" s="10">
        <f>IF($D143="","",IFERROR(INDEX(Objectius!$C$2:$C$183,MATCH($D143,Objectius!$A$2:$A$183,0)),"Objectiu no trobat al Pla"))</f>
        <v/>
      </c>
      <c r="F143" s="11" t="n"/>
      <c r="G143" s="11" t="n"/>
      <c r="H143" s="11" t="n"/>
      <c r="I143" s="10">
        <f>IF($D143="","",IFERROR(INDEX(Objectius!$D$2:$D$183,MATCH($D143,Objectius!$A$2:$A$183,0)),""))</f>
        <v/>
      </c>
      <c r="J143" s="11" t="n"/>
      <c r="K143" s="11" t="n"/>
      <c r="L143" s="11" t="n"/>
      <c r="M143" s="12" t="n"/>
      <c r="N143" s="11" t="n"/>
      <c r="O143" s="10">
        <f>IF($N143="","",IFERROR(INDEX('PLA ESTRATÈGIC'!$G$4:$G$452,MATCH($N143,'PLA ESTRATÈGIC'!$Q$4:$Q$452,0)),""))</f>
        <v/>
      </c>
      <c r="P143" s="10">
        <f>IF($N143="","",IFERROR(INDEX('PLA ESTRATÈGIC'!$H$4:$H$452,MATCH($N143,'PLA ESTRATÈGIC'!$Q$4:$Q$452,0)),""))</f>
        <v/>
      </c>
      <c r="Q143" s="13" t="n"/>
      <c r="R143" s="11" t="n"/>
      <c r="S143" s="11" t="n"/>
      <c r="T143" s="11" t="n"/>
      <c r="U143" s="11" t="n"/>
      <c r="V143" s="10">
        <f>IF(COUNTA($C143,$D143,$J143,$M143)=0,"",IF(TRIM(IF($C143="","Falta l'actuació. ","")&amp;IF($D143="","Falta l'objectiu. ","")&amp;IF($J143="","Falta el tipus de despesa. ","")&amp;IF(AND($J143&lt;&gt;"",$J143&lt;&gt;"Mitjans propis",$J143&lt;&gt;"Altres",$M143=""),"Falta l'import. ","")&amp;IF(AND($J143="Contracte menor a càrrec del RAE",$K143=""),"Falta la partida RAE. ","")&amp;IF(AND($B143&lt;&gt;"",COUNTIF($B$6:$B$705,$B143)&gt;1),"Codi RAE repetit. ","")&amp;IF(AND($B143&lt;&gt;"",$J143&lt;&gt;"",$J143&lt;&gt;"Contracte menor a càrrec del RAE"),"Té codi RAE però no és de tipus RAE. ","")&amp;IF($N143="","Falta l'indicador del Pla. ","")&amp;IF($R143="","Falta el gestor. ","")&amp;IF($S143="","Falta indicar si és recurrent. ",""))="","✔",TRIM(IF($C143="","Falta l'actuació. ","")&amp;IF($D143="","Falta l'objectiu. ","")&amp;IF($J143="","Falta el tipus de despesa. ","")&amp;IF(AND($J143&lt;&gt;"",$J143&lt;&gt;"Mitjans propis",$J143&lt;&gt;"Altres",$M143=""),"Falta l'import. ","")&amp;IF(AND($J143="Contracte menor a càrrec del RAE",$K143=""),"Falta la partida RAE. ","")&amp;IF(AND($B143&lt;&gt;"",COUNTIF($B$6:$B$705,$B143)&gt;1),"Codi RAE repetit. ","")&amp;IF(AND($B143&lt;&gt;"",$J143&lt;&gt;"",$J143&lt;&gt;"Contracte menor a càrrec del RAE"),"Té codi RAE però no és de tipus RAE. ","")&amp;IF($N143="","Falta l'indicador del Pla. ","")&amp;IF($R143="","Falta el gestor. ","")&amp;IF($S143="","Falta indicar si és recurrent. ",""))))</f>
        <v/>
      </c>
    </row>
    <row r="144">
      <c r="A144" s="10">
        <f>IF($D144="","","27_"&amp;IFERROR(INDEX(Objectius!$E$2:$E$183,MATCH($D144,Objectius!$A$2:$A$183,0)),"??")&amp;"_"&amp;TEXT(COUNTIF($I$6:$I144,$I144),"00"))</f>
        <v/>
      </c>
      <c r="B144" s="11" t="n"/>
      <c r="C144" s="11" t="n"/>
      <c r="D144" s="11" t="n"/>
      <c r="E144" s="10">
        <f>IF($D144="","",IFERROR(INDEX(Objectius!$C$2:$C$183,MATCH($D144,Objectius!$A$2:$A$183,0)),"Objectiu no trobat al Pla"))</f>
        <v/>
      </c>
      <c r="F144" s="11" t="n"/>
      <c r="G144" s="11" t="n"/>
      <c r="H144" s="11" t="n"/>
      <c r="I144" s="10">
        <f>IF($D144="","",IFERROR(INDEX(Objectius!$D$2:$D$183,MATCH($D144,Objectius!$A$2:$A$183,0)),""))</f>
        <v/>
      </c>
      <c r="J144" s="11" t="n"/>
      <c r="K144" s="11" t="n"/>
      <c r="L144" s="11" t="n"/>
      <c r="M144" s="12" t="n"/>
      <c r="N144" s="11" t="n"/>
      <c r="O144" s="10">
        <f>IF($N144="","",IFERROR(INDEX('PLA ESTRATÈGIC'!$G$4:$G$452,MATCH($N144,'PLA ESTRATÈGIC'!$Q$4:$Q$452,0)),""))</f>
        <v/>
      </c>
      <c r="P144" s="10">
        <f>IF($N144="","",IFERROR(INDEX('PLA ESTRATÈGIC'!$H$4:$H$452,MATCH($N144,'PLA ESTRATÈGIC'!$Q$4:$Q$452,0)),""))</f>
        <v/>
      </c>
      <c r="Q144" s="13" t="n"/>
      <c r="R144" s="11" t="n"/>
      <c r="S144" s="11" t="n"/>
      <c r="T144" s="11" t="n"/>
      <c r="U144" s="11" t="n"/>
      <c r="V144" s="10">
        <f>IF(COUNTA($C144,$D144,$J144,$M144)=0,"",IF(TRIM(IF($C144="","Falta l'actuació. ","")&amp;IF($D144="","Falta l'objectiu. ","")&amp;IF($J144="","Falta el tipus de despesa. ","")&amp;IF(AND($J144&lt;&gt;"",$J144&lt;&gt;"Mitjans propis",$J144&lt;&gt;"Altres",$M144=""),"Falta l'import. ","")&amp;IF(AND($J144="Contracte menor a càrrec del RAE",$K144=""),"Falta la partida RAE. ","")&amp;IF(AND($B144&lt;&gt;"",COUNTIF($B$6:$B$705,$B144)&gt;1),"Codi RAE repetit. ","")&amp;IF(AND($B144&lt;&gt;"",$J144&lt;&gt;"",$J144&lt;&gt;"Contracte menor a càrrec del RAE"),"Té codi RAE però no és de tipus RAE. ","")&amp;IF($N144="","Falta l'indicador del Pla. ","")&amp;IF($R144="","Falta el gestor. ","")&amp;IF($S144="","Falta indicar si és recurrent. ",""))="","✔",TRIM(IF($C144="","Falta l'actuació. ","")&amp;IF($D144="","Falta l'objectiu. ","")&amp;IF($J144="","Falta el tipus de despesa. ","")&amp;IF(AND($J144&lt;&gt;"",$J144&lt;&gt;"Mitjans propis",$J144&lt;&gt;"Altres",$M144=""),"Falta l'import. ","")&amp;IF(AND($J144="Contracte menor a càrrec del RAE",$K144=""),"Falta la partida RAE. ","")&amp;IF(AND($B144&lt;&gt;"",COUNTIF($B$6:$B$705,$B144)&gt;1),"Codi RAE repetit. ","")&amp;IF(AND($B144&lt;&gt;"",$J144&lt;&gt;"",$J144&lt;&gt;"Contracte menor a càrrec del RAE"),"Té codi RAE però no és de tipus RAE. ","")&amp;IF($N144="","Falta l'indicador del Pla. ","")&amp;IF($R144="","Falta el gestor. ","")&amp;IF($S144="","Falta indicar si és recurrent. ",""))))</f>
        <v/>
      </c>
    </row>
    <row r="145">
      <c r="A145" s="10">
        <f>IF($D145="","","27_"&amp;IFERROR(INDEX(Objectius!$E$2:$E$183,MATCH($D145,Objectius!$A$2:$A$183,0)),"??")&amp;"_"&amp;TEXT(COUNTIF($I$6:$I145,$I145),"00"))</f>
        <v/>
      </c>
      <c r="B145" s="11" t="n"/>
      <c r="C145" s="11" t="n"/>
      <c r="D145" s="11" t="n"/>
      <c r="E145" s="10">
        <f>IF($D145="","",IFERROR(INDEX(Objectius!$C$2:$C$183,MATCH($D145,Objectius!$A$2:$A$183,0)),"Objectiu no trobat al Pla"))</f>
        <v/>
      </c>
      <c r="F145" s="11" t="n"/>
      <c r="G145" s="11" t="n"/>
      <c r="H145" s="11" t="n"/>
      <c r="I145" s="10">
        <f>IF($D145="","",IFERROR(INDEX(Objectius!$D$2:$D$183,MATCH($D145,Objectius!$A$2:$A$183,0)),""))</f>
        <v/>
      </c>
      <c r="J145" s="11" t="n"/>
      <c r="K145" s="11" t="n"/>
      <c r="L145" s="11" t="n"/>
      <c r="M145" s="12" t="n"/>
      <c r="N145" s="11" t="n"/>
      <c r="O145" s="10">
        <f>IF($N145="","",IFERROR(INDEX('PLA ESTRATÈGIC'!$G$4:$G$452,MATCH($N145,'PLA ESTRATÈGIC'!$Q$4:$Q$452,0)),""))</f>
        <v/>
      </c>
      <c r="P145" s="10">
        <f>IF($N145="","",IFERROR(INDEX('PLA ESTRATÈGIC'!$H$4:$H$452,MATCH($N145,'PLA ESTRATÈGIC'!$Q$4:$Q$452,0)),""))</f>
        <v/>
      </c>
      <c r="Q145" s="13" t="n"/>
      <c r="R145" s="11" t="n"/>
      <c r="S145" s="11" t="n"/>
      <c r="T145" s="11" t="n"/>
      <c r="U145" s="11" t="n"/>
      <c r="V145" s="10">
        <f>IF(COUNTA($C145,$D145,$J145,$M145)=0,"",IF(TRIM(IF($C145="","Falta l'actuació. ","")&amp;IF($D145="","Falta l'objectiu. ","")&amp;IF($J145="","Falta el tipus de despesa. ","")&amp;IF(AND($J145&lt;&gt;"",$J145&lt;&gt;"Mitjans propis",$J145&lt;&gt;"Altres",$M145=""),"Falta l'import. ","")&amp;IF(AND($J145="Contracte menor a càrrec del RAE",$K145=""),"Falta la partida RAE. ","")&amp;IF(AND($B145&lt;&gt;"",COUNTIF($B$6:$B$705,$B145)&gt;1),"Codi RAE repetit. ","")&amp;IF(AND($B145&lt;&gt;"",$J145&lt;&gt;"",$J145&lt;&gt;"Contracte menor a càrrec del RAE"),"Té codi RAE però no és de tipus RAE. ","")&amp;IF($N145="","Falta l'indicador del Pla. ","")&amp;IF($R145="","Falta el gestor. ","")&amp;IF($S145="","Falta indicar si és recurrent. ",""))="","✔",TRIM(IF($C145="","Falta l'actuació. ","")&amp;IF($D145="","Falta l'objectiu. ","")&amp;IF($J145="","Falta el tipus de despesa. ","")&amp;IF(AND($J145&lt;&gt;"",$J145&lt;&gt;"Mitjans propis",$J145&lt;&gt;"Altres",$M145=""),"Falta l'import. ","")&amp;IF(AND($J145="Contracte menor a càrrec del RAE",$K145=""),"Falta la partida RAE. ","")&amp;IF(AND($B145&lt;&gt;"",COUNTIF($B$6:$B$705,$B145)&gt;1),"Codi RAE repetit. ","")&amp;IF(AND($B145&lt;&gt;"",$J145&lt;&gt;"",$J145&lt;&gt;"Contracte menor a càrrec del RAE"),"Té codi RAE però no és de tipus RAE. ","")&amp;IF($N145="","Falta l'indicador del Pla. ","")&amp;IF($R145="","Falta el gestor. ","")&amp;IF($S145="","Falta indicar si és recurrent. ",""))))</f>
        <v/>
      </c>
    </row>
    <row r="146">
      <c r="A146" s="10">
        <f>IF($D146="","","27_"&amp;IFERROR(INDEX(Objectius!$E$2:$E$183,MATCH($D146,Objectius!$A$2:$A$183,0)),"??")&amp;"_"&amp;TEXT(COUNTIF($I$6:$I146,$I146),"00"))</f>
        <v/>
      </c>
      <c r="B146" s="11" t="n"/>
      <c r="C146" s="11" t="n"/>
      <c r="D146" s="11" t="n"/>
      <c r="E146" s="10">
        <f>IF($D146="","",IFERROR(INDEX(Objectius!$C$2:$C$183,MATCH($D146,Objectius!$A$2:$A$183,0)),"Objectiu no trobat al Pla"))</f>
        <v/>
      </c>
      <c r="F146" s="11" t="n"/>
      <c r="G146" s="11" t="n"/>
      <c r="H146" s="11" t="n"/>
      <c r="I146" s="10">
        <f>IF($D146="","",IFERROR(INDEX(Objectius!$D$2:$D$183,MATCH($D146,Objectius!$A$2:$A$183,0)),""))</f>
        <v/>
      </c>
      <c r="J146" s="11" t="n"/>
      <c r="K146" s="11" t="n"/>
      <c r="L146" s="11" t="n"/>
      <c r="M146" s="12" t="n"/>
      <c r="N146" s="11" t="n"/>
      <c r="O146" s="10">
        <f>IF($N146="","",IFERROR(INDEX('PLA ESTRATÈGIC'!$G$4:$G$452,MATCH($N146,'PLA ESTRATÈGIC'!$Q$4:$Q$452,0)),""))</f>
        <v/>
      </c>
      <c r="P146" s="10">
        <f>IF($N146="","",IFERROR(INDEX('PLA ESTRATÈGIC'!$H$4:$H$452,MATCH($N146,'PLA ESTRATÈGIC'!$Q$4:$Q$452,0)),""))</f>
        <v/>
      </c>
      <c r="Q146" s="13" t="n"/>
      <c r="R146" s="11" t="n"/>
      <c r="S146" s="11" t="n"/>
      <c r="T146" s="11" t="n"/>
      <c r="U146" s="11" t="n"/>
      <c r="V146" s="10">
        <f>IF(COUNTA($C146,$D146,$J146,$M146)=0,"",IF(TRIM(IF($C146="","Falta l'actuació. ","")&amp;IF($D146="","Falta l'objectiu. ","")&amp;IF($J146="","Falta el tipus de despesa. ","")&amp;IF(AND($J146&lt;&gt;"",$J146&lt;&gt;"Mitjans propis",$J146&lt;&gt;"Altres",$M146=""),"Falta l'import. ","")&amp;IF(AND($J146="Contracte menor a càrrec del RAE",$K146=""),"Falta la partida RAE. ","")&amp;IF(AND($B146&lt;&gt;"",COUNTIF($B$6:$B$705,$B146)&gt;1),"Codi RAE repetit. ","")&amp;IF(AND($B146&lt;&gt;"",$J146&lt;&gt;"",$J146&lt;&gt;"Contracte menor a càrrec del RAE"),"Té codi RAE però no és de tipus RAE. ","")&amp;IF($N146="","Falta l'indicador del Pla. ","")&amp;IF($R146="","Falta el gestor. ","")&amp;IF($S146="","Falta indicar si és recurrent. ",""))="","✔",TRIM(IF($C146="","Falta l'actuació. ","")&amp;IF($D146="","Falta l'objectiu. ","")&amp;IF($J146="","Falta el tipus de despesa. ","")&amp;IF(AND($J146&lt;&gt;"",$J146&lt;&gt;"Mitjans propis",$J146&lt;&gt;"Altres",$M146=""),"Falta l'import. ","")&amp;IF(AND($J146="Contracte menor a càrrec del RAE",$K146=""),"Falta la partida RAE. ","")&amp;IF(AND($B146&lt;&gt;"",COUNTIF($B$6:$B$705,$B146)&gt;1),"Codi RAE repetit. ","")&amp;IF(AND($B146&lt;&gt;"",$J146&lt;&gt;"",$J146&lt;&gt;"Contracte menor a càrrec del RAE"),"Té codi RAE però no és de tipus RAE. ","")&amp;IF($N146="","Falta l'indicador del Pla. ","")&amp;IF($R146="","Falta el gestor. ","")&amp;IF($S146="","Falta indicar si és recurrent. ",""))))</f>
        <v/>
      </c>
    </row>
    <row r="147">
      <c r="A147" s="10">
        <f>IF($D147="","","27_"&amp;IFERROR(INDEX(Objectius!$E$2:$E$183,MATCH($D147,Objectius!$A$2:$A$183,0)),"??")&amp;"_"&amp;TEXT(COUNTIF($I$6:$I147,$I147),"00"))</f>
        <v/>
      </c>
      <c r="B147" s="11" t="n"/>
      <c r="C147" s="11" t="n"/>
      <c r="D147" s="11" t="n"/>
      <c r="E147" s="10">
        <f>IF($D147="","",IFERROR(INDEX(Objectius!$C$2:$C$183,MATCH($D147,Objectius!$A$2:$A$183,0)),"Objectiu no trobat al Pla"))</f>
        <v/>
      </c>
      <c r="F147" s="11" t="n"/>
      <c r="G147" s="11" t="n"/>
      <c r="H147" s="11" t="n"/>
      <c r="I147" s="10">
        <f>IF($D147="","",IFERROR(INDEX(Objectius!$D$2:$D$183,MATCH($D147,Objectius!$A$2:$A$183,0)),""))</f>
        <v/>
      </c>
      <c r="J147" s="11" t="n"/>
      <c r="K147" s="11" t="n"/>
      <c r="L147" s="11" t="n"/>
      <c r="M147" s="12" t="n"/>
      <c r="N147" s="11" t="n"/>
      <c r="O147" s="10">
        <f>IF($N147="","",IFERROR(INDEX('PLA ESTRATÈGIC'!$G$4:$G$452,MATCH($N147,'PLA ESTRATÈGIC'!$Q$4:$Q$452,0)),""))</f>
        <v/>
      </c>
      <c r="P147" s="10">
        <f>IF($N147="","",IFERROR(INDEX('PLA ESTRATÈGIC'!$H$4:$H$452,MATCH($N147,'PLA ESTRATÈGIC'!$Q$4:$Q$452,0)),""))</f>
        <v/>
      </c>
      <c r="Q147" s="13" t="n"/>
      <c r="R147" s="11" t="n"/>
      <c r="S147" s="11" t="n"/>
      <c r="T147" s="11" t="n"/>
      <c r="U147" s="11" t="n"/>
      <c r="V147" s="10">
        <f>IF(COUNTA($C147,$D147,$J147,$M147)=0,"",IF(TRIM(IF($C147="","Falta l'actuació. ","")&amp;IF($D147="","Falta l'objectiu. ","")&amp;IF($J147="","Falta el tipus de despesa. ","")&amp;IF(AND($J147&lt;&gt;"",$J147&lt;&gt;"Mitjans propis",$J147&lt;&gt;"Altres",$M147=""),"Falta l'import. ","")&amp;IF(AND($J147="Contracte menor a càrrec del RAE",$K147=""),"Falta la partida RAE. ","")&amp;IF(AND($B147&lt;&gt;"",COUNTIF($B$6:$B$705,$B147)&gt;1),"Codi RAE repetit. ","")&amp;IF(AND($B147&lt;&gt;"",$J147&lt;&gt;"",$J147&lt;&gt;"Contracte menor a càrrec del RAE"),"Té codi RAE però no és de tipus RAE. ","")&amp;IF($N147="","Falta l'indicador del Pla. ","")&amp;IF($R147="","Falta el gestor. ","")&amp;IF($S147="","Falta indicar si és recurrent. ",""))="","✔",TRIM(IF($C147="","Falta l'actuació. ","")&amp;IF($D147="","Falta l'objectiu. ","")&amp;IF($J147="","Falta el tipus de despesa. ","")&amp;IF(AND($J147&lt;&gt;"",$J147&lt;&gt;"Mitjans propis",$J147&lt;&gt;"Altres",$M147=""),"Falta l'import. ","")&amp;IF(AND($J147="Contracte menor a càrrec del RAE",$K147=""),"Falta la partida RAE. ","")&amp;IF(AND($B147&lt;&gt;"",COUNTIF($B$6:$B$705,$B147)&gt;1),"Codi RAE repetit. ","")&amp;IF(AND($B147&lt;&gt;"",$J147&lt;&gt;"",$J147&lt;&gt;"Contracte menor a càrrec del RAE"),"Té codi RAE però no és de tipus RAE. ","")&amp;IF($N147="","Falta l'indicador del Pla. ","")&amp;IF($R147="","Falta el gestor. ","")&amp;IF($S147="","Falta indicar si és recurrent. ",""))))</f>
        <v/>
      </c>
    </row>
    <row r="148">
      <c r="A148" s="10">
        <f>IF($D148="","","27_"&amp;IFERROR(INDEX(Objectius!$E$2:$E$183,MATCH($D148,Objectius!$A$2:$A$183,0)),"??")&amp;"_"&amp;TEXT(COUNTIF($I$6:$I148,$I148),"00"))</f>
        <v/>
      </c>
      <c r="B148" s="11" t="n"/>
      <c r="C148" s="11" t="n"/>
      <c r="D148" s="11" t="n"/>
      <c r="E148" s="10">
        <f>IF($D148="","",IFERROR(INDEX(Objectius!$C$2:$C$183,MATCH($D148,Objectius!$A$2:$A$183,0)),"Objectiu no trobat al Pla"))</f>
        <v/>
      </c>
      <c r="F148" s="11" t="n"/>
      <c r="G148" s="11" t="n"/>
      <c r="H148" s="11" t="n"/>
      <c r="I148" s="10">
        <f>IF($D148="","",IFERROR(INDEX(Objectius!$D$2:$D$183,MATCH($D148,Objectius!$A$2:$A$183,0)),""))</f>
        <v/>
      </c>
      <c r="J148" s="11" t="n"/>
      <c r="K148" s="11" t="n"/>
      <c r="L148" s="11" t="n"/>
      <c r="M148" s="12" t="n"/>
      <c r="N148" s="11" t="n"/>
      <c r="O148" s="10">
        <f>IF($N148="","",IFERROR(INDEX('PLA ESTRATÈGIC'!$G$4:$G$452,MATCH($N148,'PLA ESTRATÈGIC'!$Q$4:$Q$452,0)),""))</f>
        <v/>
      </c>
      <c r="P148" s="10">
        <f>IF($N148="","",IFERROR(INDEX('PLA ESTRATÈGIC'!$H$4:$H$452,MATCH($N148,'PLA ESTRATÈGIC'!$Q$4:$Q$452,0)),""))</f>
        <v/>
      </c>
      <c r="Q148" s="13" t="n"/>
      <c r="R148" s="11" t="n"/>
      <c r="S148" s="11" t="n"/>
      <c r="T148" s="11" t="n"/>
      <c r="U148" s="11" t="n"/>
      <c r="V148" s="10">
        <f>IF(COUNTA($C148,$D148,$J148,$M148)=0,"",IF(TRIM(IF($C148="","Falta l'actuació. ","")&amp;IF($D148="","Falta l'objectiu. ","")&amp;IF($J148="","Falta el tipus de despesa. ","")&amp;IF(AND($J148&lt;&gt;"",$J148&lt;&gt;"Mitjans propis",$J148&lt;&gt;"Altres",$M148=""),"Falta l'import. ","")&amp;IF(AND($J148="Contracte menor a càrrec del RAE",$K148=""),"Falta la partida RAE. ","")&amp;IF(AND($B148&lt;&gt;"",COUNTIF($B$6:$B$705,$B148)&gt;1),"Codi RAE repetit. ","")&amp;IF(AND($B148&lt;&gt;"",$J148&lt;&gt;"",$J148&lt;&gt;"Contracte menor a càrrec del RAE"),"Té codi RAE però no és de tipus RAE. ","")&amp;IF($N148="","Falta l'indicador del Pla. ","")&amp;IF($R148="","Falta el gestor. ","")&amp;IF($S148="","Falta indicar si és recurrent. ",""))="","✔",TRIM(IF($C148="","Falta l'actuació. ","")&amp;IF($D148="","Falta l'objectiu. ","")&amp;IF($J148="","Falta el tipus de despesa. ","")&amp;IF(AND($J148&lt;&gt;"",$J148&lt;&gt;"Mitjans propis",$J148&lt;&gt;"Altres",$M148=""),"Falta l'import. ","")&amp;IF(AND($J148="Contracte menor a càrrec del RAE",$K148=""),"Falta la partida RAE. ","")&amp;IF(AND($B148&lt;&gt;"",COUNTIF($B$6:$B$705,$B148)&gt;1),"Codi RAE repetit. ","")&amp;IF(AND($B148&lt;&gt;"",$J148&lt;&gt;"",$J148&lt;&gt;"Contracte menor a càrrec del RAE"),"Té codi RAE però no és de tipus RAE. ","")&amp;IF($N148="","Falta l'indicador del Pla. ","")&amp;IF($R148="","Falta el gestor. ","")&amp;IF($S148="","Falta indicar si és recurrent. ",""))))</f>
        <v/>
      </c>
    </row>
    <row r="149">
      <c r="A149" s="10">
        <f>IF($D149="","","27_"&amp;IFERROR(INDEX(Objectius!$E$2:$E$183,MATCH($D149,Objectius!$A$2:$A$183,0)),"??")&amp;"_"&amp;TEXT(COUNTIF($I$6:$I149,$I149),"00"))</f>
        <v/>
      </c>
      <c r="B149" s="11" t="n"/>
      <c r="C149" s="11" t="n"/>
      <c r="D149" s="11" t="n"/>
      <c r="E149" s="10">
        <f>IF($D149="","",IFERROR(INDEX(Objectius!$C$2:$C$183,MATCH($D149,Objectius!$A$2:$A$183,0)),"Objectiu no trobat al Pla"))</f>
        <v/>
      </c>
      <c r="F149" s="11" t="n"/>
      <c r="G149" s="11" t="n"/>
      <c r="H149" s="11" t="n"/>
      <c r="I149" s="10">
        <f>IF($D149="","",IFERROR(INDEX(Objectius!$D$2:$D$183,MATCH($D149,Objectius!$A$2:$A$183,0)),""))</f>
        <v/>
      </c>
      <c r="J149" s="11" t="n"/>
      <c r="K149" s="11" t="n"/>
      <c r="L149" s="11" t="n"/>
      <c r="M149" s="12" t="n"/>
      <c r="N149" s="11" t="n"/>
      <c r="O149" s="10">
        <f>IF($N149="","",IFERROR(INDEX('PLA ESTRATÈGIC'!$G$4:$G$452,MATCH($N149,'PLA ESTRATÈGIC'!$Q$4:$Q$452,0)),""))</f>
        <v/>
      </c>
      <c r="P149" s="10">
        <f>IF($N149="","",IFERROR(INDEX('PLA ESTRATÈGIC'!$H$4:$H$452,MATCH($N149,'PLA ESTRATÈGIC'!$Q$4:$Q$452,0)),""))</f>
        <v/>
      </c>
      <c r="Q149" s="13" t="n"/>
      <c r="R149" s="11" t="n"/>
      <c r="S149" s="11" t="n"/>
      <c r="T149" s="11" t="n"/>
      <c r="U149" s="11" t="n"/>
      <c r="V149" s="10">
        <f>IF(COUNTA($C149,$D149,$J149,$M149)=0,"",IF(TRIM(IF($C149="","Falta l'actuació. ","")&amp;IF($D149="","Falta l'objectiu. ","")&amp;IF($J149="","Falta el tipus de despesa. ","")&amp;IF(AND($J149&lt;&gt;"",$J149&lt;&gt;"Mitjans propis",$J149&lt;&gt;"Altres",$M149=""),"Falta l'import. ","")&amp;IF(AND($J149="Contracte menor a càrrec del RAE",$K149=""),"Falta la partida RAE. ","")&amp;IF(AND($B149&lt;&gt;"",COUNTIF($B$6:$B$705,$B149)&gt;1),"Codi RAE repetit. ","")&amp;IF(AND($B149&lt;&gt;"",$J149&lt;&gt;"",$J149&lt;&gt;"Contracte menor a càrrec del RAE"),"Té codi RAE però no és de tipus RAE. ","")&amp;IF($N149="","Falta l'indicador del Pla. ","")&amp;IF($R149="","Falta el gestor. ","")&amp;IF($S149="","Falta indicar si és recurrent. ",""))="","✔",TRIM(IF($C149="","Falta l'actuació. ","")&amp;IF($D149="","Falta l'objectiu. ","")&amp;IF($J149="","Falta el tipus de despesa. ","")&amp;IF(AND($J149&lt;&gt;"",$J149&lt;&gt;"Mitjans propis",$J149&lt;&gt;"Altres",$M149=""),"Falta l'import. ","")&amp;IF(AND($J149="Contracte menor a càrrec del RAE",$K149=""),"Falta la partida RAE. ","")&amp;IF(AND($B149&lt;&gt;"",COUNTIF($B$6:$B$705,$B149)&gt;1),"Codi RAE repetit. ","")&amp;IF(AND($B149&lt;&gt;"",$J149&lt;&gt;"",$J149&lt;&gt;"Contracte menor a càrrec del RAE"),"Té codi RAE però no és de tipus RAE. ","")&amp;IF($N149="","Falta l'indicador del Pla. ","")&amp;IF($R149="","Falta el gestor. ","")&amp;IF($S149="","Falta indicar si és recurrent. ",""))))</f>
        <v/>
      </c>
    </row>
    <row r="150">
      <c r="A150" s="10">
        <f>IF($D150="","","27_"&amp;IFERROR(INDEX(Objectius!$E$2:$E$183,MATCH($D150,Objectius!$A$2:$A$183,0)),"??")&amp;"_"&amp;TEXT(COUNTIF($I$6:$I150,$I150),"00"))</f>
        <v/>
      </c>
      <c r="B150" s="11" t="n"/>
      <c r="C150" s="11" t="n"/>
      <c r="D150" s="11" t="n"/>
      <c r="E150" s="10">
        <f>IF($D150="","",IFERROR(INDEX(Objectius!$C$2:$C$183,MATCH($D150,Objectius!$A$2:$A$183,0)),"Objectiu no trobat al Pla"))</f>
        <v/>
      </c>
      <c r="F150" s="11" t="n"/>
      <c r="G150" s="11" t="n"/>
      <c r="H150" s="11" t="n"/>
      <c r="I150" s="10">
        <f>IF($D150="","",IFERROR(INDEX(Objectius!$D$2:$D$183,MATCH($D150,Objectius!$A$2:$A$183,0)),""))</f>
        <v/>
      </c>
      <c r="J150" s="11" t="n"/>
      <c r="K150" s="11" t="n"/>
      <c r="L150" s="11" t="n"/>
      <c r="M150" s="12" t="n"/>
      <c r="N150" s="11" t="n"/>
      <c r="O150" s="10">
        <f>IF($N150="","",IFERROR(INDEX('PLA ESTRATÈGIC'!$G$4:$G$452,MATCH($N150,'PLA ESTRATÈGIC'!$Q$4:$Q$452,0)),""))</f>
        <v/>
      </c>
      <c r="P150" s="10">
        <f>IF($N150="","",IFERROR(INDEX('PLA ESTRATÈGIC'!$H$4:$H$452,MATCH($N150,'PLA ESTRATÈGIC'!$Q$4:$Q$452,0)),""))</f>
        <v/>
      </c>
      <c r="Q150" s="13" t="n"/>
      <c r="R150" s="11" t="n"/>
      <c r="S150" s="11" t="n"/>
      <c r="T150" s="11" t="n"/>
      <c r="U150" s="11" t="n"/>
      <c r="V150" s="10">
        <f>IF(COUNTA($C150,$D150,$J150,$M150)=0,"",IF(TRIM(IF($C150="","Falta l'actuació. ","")&amp;IF($D150="","Falta l'objectiu. ","")&amp;IF($J150="","Falta el tipus de despesa. ","")&amp;IF(AND($J150&lt;&gt;"",$J150&lt;&gt;"Mitjans propis",$J150&lt;&gt;"Altres",$M150=""),"Falta l'import. ","")&amp;IF(AND($J150="Contracte menor a càrrec del RAE",$K150=""),"Falta la partida RAE. ","")&amp;IF(AND($B150&lt;&gt;"",COUNTIF($B$6:$B$705,$B150)&gt;1),"Codi RAE repetit. ","")&amp;IF(AND($B150&lt;&gt;"",$J150&lt;&gt;"",$J150&lt;&gt;"Contracte menor a càrrec del RAE"),"Té codi RAE però no és de tipus RAE. ","")&amp;IF($N150="","Falta l'indicador del Pla. ","")&amp;IF($R150="","Falta el gestor. ","")&amp;IF($S150="","Falta indicar si és recurrent. ",""))="","✔",TRIM(IF($C150="","Falta l'actuació. ","")&amp;IF($D150="","Falta l'objectiu. ","")&amp;IF($J150="","Falta el tipus de despesa. ","")&amp;IF(AND($J150&lt;&gt;"",$J150&lt;&gt;"Mitjans propis",$J150&lt;&gt;"Altres",$M150=""),"Falta l'import. ","")&amp;IF(AND($J150="Contracte menor a càrrec del RAE",$K150=""),"Falta la partida RAE. ","")&amp;IF(AND($B150&lt;&gt;"",COUNTIF($B$6:$B$705,$B150)&gt;1),"Codi RAE repetit. ","")&amp;IF(AND($B150&lt;&gt;"",$J150&lt;&gt;"",$J150&lt;&gt;"Contracte menor a càrrec del RAE"),"Té codi RAE però no és de tipus RAE. ","")&amp;IF($N150="","Falta l'indicador del Pla. ","")&amp;IF($R150="","Falta el gestor. ","")&amp;IF($S150="","Falta indicar si és recurrent. ",""))))</f>
        <v/>
      </c>
    </row>
    <row r="151">
      <c r="A151" s="10">
        <f>IF($D151="","","27_"&amp;IFERROR(INDEX(Objectius!$E$2:$E$183,MATCH($D151,Objectius!$A$2:$A$183,0)),"??")&amp;"_"&amp;TEXT(COUNTIF($I$6:$I151,$I151),"00"))</f>
        <v/>
      </c>
      <c r="B151" s="11" t="n"/>
      <c r="C151" s="11" t="n"/>
      <c r="D151" s="11" t="n"/>
      <c r="E151" s="10">
        <f>IF($D151="","",IFERROR(INDEX(Objectius!$C$2:$C$183,MATCH($D151,Objectius!$A$2:$A$183,0)),"Objectiu no trobat al Pla"))</f>
        <v/>
      </c>
      <c r="F151" s="11" t="n"/>
      <c r="G151" s="11" t="n"/>
      <c r="H151" s="11" t="n"/>
      <c r="I151" s="10">
        <f>IF($D151="","",IFERROR(INDEX(Objectius!$D$2:$D$183,MATCH($D151,Objectius!$A$2:$A$183,0)),""))</f>
        <v/>
      </c>
      <c r="J151" s="11" t="n"/>
      <c r="K151" s="11" t="n"/>
      <c r="L151" s="11" t="n"/>
      <c r="M151" s="12" t="n"/>
      <c r="N151" s="11" t="n"/>
      <c r="O151" s="10">
        <f>IF($N151="","",IFERROR(INDEX('PLA ESTRATÈGIC'!$G$4:$G$452,MATCH($N151,'PLA ESTRATÈGIC'!$Q$4:$Q$452,0)),""))</f>
        <v/>
      </c>
      <c r="P151" s="10">
        <f>IF($N151="","",IFERROR(INDEX('PLA ESTRATÈGIC'!$H$4:$H$452,MATCH($N151,'PLA ESTRATÈGIC'!$Q$4:$Q$452,0)),""))</f>
        <v/>
      </c>
      <c r="Q151" s="13" t="n"/>
      <c r="R151" s="11" t="n"/>
      <c r="S151" s="11" t="n"/>
      <c r="T151" s="11" t="n"/>
      <c r="U151" s="11" t="n"/>
      <c r="V151" s="10">
        <f>IF(COUNTA($C151,$D151,$J151,$M151)=0,"",IF(TRIM(IF($C151="","Falta l'actuació. ","")&amp;IF($D151="","Falta l'objectiu. ","")&amp;IF($J151="","Falta el tipus de despesa. ","")&amp;IF(AND($J151&lt;&gt;"",$J151&lt;&gt;"Mitjans propis",$J151&lt;&gt;"Altres",$M151=""),"Falta l'import. ","")&amp;IF(AND($J151="Contracte menor a càrrec del RAE",$K151=""),"Falta la partida RAE. ","")&amp;IF(AND($B151&lt;&gt;"",COUNTIF($B$6:$B$705,$B151)&gt;1),"Codi RAE repetit. ","")&amp;IF(AND($B151&lt;&gt;"",$J151&lt;&gt;"",$J151&lt;&gt;"Contracte menor a càrrec del RAE"),"Té codi RAE però no és de tipus RAE. ","")&amp;IF($N151="","Falta l'indicador del Pla. ","")&amp;IF($R151="","Falta el gestor. ","")&amp;IF($S151="","Falta indicar si és recurrent. ",""))="","✔",TRIM(IF($C151="","Falta l'actuació. ","")&amp;IF($D151="","Falta l'objectiu. ","")&amp;IF($J151="","Falta el tipus de despesa. ","")&amp;IF(AND($J151&lt;&gt;"",$J151&lt;&gt;"Mitjans propis",$J151&lt;&gt;"Altres",$M151=""),"Falta l'import. ","")&amp;IF(AND($J151="Contracte menor a càrrec del RAE",$K151=""),"Falta la partida RAE. ","")&amp;IF(AND($B151&lt;&gt;"",COUNTIF($B$6:$B$705,$B151)&gt;1),"Codi RAE repetit. ","")&amp;IF(AND($B151&lt;&gt;"",$J151&lt;&gt;"",$J151&lt;&gt;"Contracte menor a càrrec del RAE"),"Té codi RAE però no és de tipus RAE. ","")&amp;IF($N151="","Falta l'indicador del Pla. ","")&amp;IF($R151="","Falta el gestor. ","")&amp;IF($S151="","Falta indicar si és recurrent. ",""))))</f>
        <v/>
      </c>
    </row>
    <row r="152">
      <c r="A152" s="10">
        <f>IF($D152="","","27_"&amp;IFERROR(INDEX(Objectius!$E$2:$E$183,MATCH($D152,Objectius!$A$2:$A$183,0)),"??")&amp;"_"&amp;TEXT(COUNTIF($I$6:$I152,$I152),"00"))</f>
        <v/>
      </c>
      <c r="B152" s="11" t="n"/>
      <c r="C152" s="11" t="n"/>
      <c r="D152" s="11" t="n"/>
      <c r="E152" s="10">
        <f>IF($D152="","",IFERROR(INDEX(Objectius!$C$2:$C$183,MATCH($D152,Objectius!$A$2:$A$183,0)),"Objectiu no trobat al Pla"))</f>
        <v/>
      </c>
      <c r="F152" s="11" t="n"/>
      <c r="G152" s="11" t="n"/>
      <c r="H152" s="11" t="n"/>
      <c r="I152" s="10">
        <f>IF($D152="","",IFERROR(INDEX(Objectius!$D$2:$D$183,MATCH($D152,Objectius!$A$2:$A$183,0)),""))</f>
        <v/>
      </c>
      <c r="J152" s="11" t="n"/>
      <c r="K152" s="11" t="n"/>
      <c r="L152" s="11" t="n"/>
      <c r="M152" s="12" t="n"/>
      <c r="N152" s="11" t="n"/>
      <c r="O152" s="10">
        <f>IF($N152="","",IFERROR(INDEX('PLA ESTRATÈGIC'!$G$4:$G$452,MATCH($N152,'PLA ESTRATÈGIC'!$Q$4:$Q$452,0)),""))</f>
        <v/>
      </c>
      <c r="P152" s="10">
        <f>IF($N152="","",IFERROR(INDEX('PLA ESTRATÈGIC'!$H$4:$H$452,MATCH($N152,'PLA ESTRATÈGIC'!$Q$4:$Q$452,0)),""))</f>
        <v/>
      </c>
      <c r="Q152" s="13" t="n"/>
      <c r="R152" s="11" t="n"/>
      <c r="S152" s="11" t="n"/>
      <c r="T152" s="11" t="n"/>
      <c r="U152" s="11" t="n"/>
      <c r="V152" s="10">
        <f>IF(COUNTA($C152,$D152,$J152,$M152)=0,"",IF(TRIM(IF($C152="","Falta l'actuació. ","")&amp;IF($D152="","Falta l'objectiu. ","")&amp;IF($J152="","Falta el tipus de despesa. ","")&amp;IF(AND($J152&lt;&gt;"",$J152&lt;&gt;"Mitjans propis",$J152&lt;&gt;"Altres",$M152=""),"Falta l'import. ","")&amp;IF(AND($J152="Contracte menor a càrrec del RAE",$K152=""),"Falta la partida RAE. ","")&amp;IF(AND($B152&lt;&gt;"",COUNTIF($B$6:$B$705,$B152)&gt;1),"Codi RAE repetit. ","")&amp;IF(AND($B152&lt;&gt;"",$J152&lt;&gt;"",$J152&lt;&gt;"Contracte menor a càrrec del RAE"),"Té codi RAE però no és de tipus RAE. ","")&amp;IF($N152="","Falta l'indicador del Pla. ","")&amp;IF($R152="","Falta el gestor. ","")&amp;IF($S152="","Falta indicar si és recurrent. ",""))="","✔",TRIM(IF($C152="","Falta l'actuació. ","")&amp;IF($D152="","Falta l'objectiu. ","")&amp;IF($J152="","Falta el tipus de despesa. ","")&amp;IF(AND($J152&lt;&gt;"",$J152&lt;&gt;"Mitjans propis",$J152&lt;&gt;"Altres",$M152=""),"Falta l'import. ","")&amp;IF(AND($J152="Contracte menor a càrrec del RAE",$K152=""),"Falta la partida RAE. ","")&amp;IF(AND($B152&lt;&gt;"",COUNTIF($B$6:$B$705,$B152)&gt;1),"Codi RAE repetit. ","")&amp;IF(AND($B152&lt;&gt;"",$J152&lt;&gt;"",$J152&lt;&gt;"Contracte menor a càrrec del RAE"),"Té codi RAE però no és de tipus RAE. ","")&amp;IF($N152="","Falta l'indicador del Pla. ","")&amp;IF($R152="","Falta el gestor. ","")&amp;IF($S152="","Falta indicar si és recurrent. ",""))))</f>
        <v/>
      </c>
    </row>
    <row r="153">
      <c r="A153" s="10">
        <f>IF($D153="","","27_"&amp;IFERROR(INDEX(Objectius!$E$2:$E$183,MATCH($D153,Objectius!$A$2:$A$183,0)),"??")&amp;"_"&amp;TEXT(COUNTIF($I$6:$I153,$I153),"00"))</f>
        <v/>
      </c>
      <c r="B153" s="11" t="n"/>
      <c r="C153" s="11" t="n"/>
      <c r="D153" s="11" t="n"/>
      <c r="E153" s="10">
        <f>IF($D153="","",IFERROR(INDEX(Objectius!$C$2:$C$183,MATCH($D153,Objectius!$A$2:$A$183,0)),"Objectiu no trobat al Pla"))</f>
        <v/>
      </c>
      <c r="F153" s="11" t="n"/>
      <c r="G153" s="11" t="n"/>
      <c r="H153" s="11" t="n"/>
      <c r="I153" s="10">
        <f>IF($D153="","",IFERROR(INDEX(Objectius!$D$2:$D$183,MATCH($D153,Objectius!$A$2:$A$183,0)),""))</f>
        <v/>
      </c>
      <c r="J153" s="11" t="n"/>
      <c r="K153" s="11" t="n"/>
      <c r="L153" s="11" t="n"/>
      <c r="M153" s="12" t="n"/>
      <c r="N153" s="11" t="n"/>
      <c r="O153" s="10">
        <f>IF($N153="","",IFERROR(INDEX('PLA ESTRATÈGIC'!$G$4:$G$452,MATCH($N153,'PLA ESTRATÈGIC'!$Q$4:$Q$452,0)),""))</f>
        <v/>
      </c>
      <c r="P153" s="10">
        <f>IF($N153="","",IFERROR(INDEX('PLA ESTRATÈGIC'!$H$4:$H$452,MATCH($N153,'PLA ESTRATÈGIC'!$Q$4:$Q$452,0)),""))</f>
        <v/>
      </c>
      <c r="Q153" s="13" t="n"/>
      <c r="R153" s="11" t="n"/>
      <c r="S153" s="11" t="n"/>
      <c r="T153" s="11" t="n"/>
      <c r="U153" s="11" t="n"/>
      <c r="V153" s="10">
        <f>IF(COUNTA($C153,$D153,$J153,$M153)=0,"",IF(TRIM(IF($C153="","Falta l'actuació. ","")&amp;IF($D153="","Falta l'objectiu. ","")&amp;IF($J153="","Falta el tipus de despesa. ","")&amp;IF(AND($J153&lt;&gt;"",$J153&lt;&gt;"Mitjans propis",$J153&lt;&gt;"Altres",$M153=""),"Falta l'import. ","")&amp;IF(AND($J153="Contracte menor a càrrec del RAE",$K153=""),"Falta la partida RAE. ","")&amp;IF(AND($B153&lt;&gt;"",COUNTIF($B$6:$B$705,$B153)&gt;1),"Codi RAE repetit. ","")&amp;IF(AND($B153&lt;&gt;"",$J153&lt;&gt;"",$J153&lt;&gt;"Contracte menor a càrrec del RAE"),"Té codi RAE però no és de tipus RAE. ","")&amp;IF($N153="","Falta l'indicador del Pla. ","")&amp;IF($R153="","Falta el gestor. ","")&amp;IF($S153="","Falta indicar si és recurrent. ",""))="","✔",TRIM(IF($C153="","Falta l'actuació. ","")&amp;IF($D153="","Falta l'objectiu. ","")&amp;IF($J153="","Falta el tipus de despesa. ","")&amp;IF(AND($J153&lt;&gt;"",$J153&lt;&gt;"Mitjans propis",$J153&lt;&gt;"Altres",$M153=""),"Falta l'import. ","")&amp;IF(AND($J153="Contracte menor a càrrec del RAE",$K153=""),"Falta la partida RAE. ","")&amp;IF(AND($B153&lt;&gt;"",COUNTIF($B$6:$B$705,$B153)&gt;1),"Codi RAE repetit. ","")&amp;IF(AND($B153&lt;&gt;"",$J153&lt;&gt;"",$J153&lt;&gt;"Contracte menor a càrrec del RAE"),"Té codi RAE però no és de tipus RAE. ","")&amp;IF($N153="","Falta l'indicador del Pla. ","")&amp;IF($R153="","Falta el gestor. ","")&amp;IF($S153="","Falta indicar si és recurrent. ",""))))</f>
        <v/>
      </c>
    </row>
    <row r="154">
      <c r="A154" s="10">
        <f>IF($D154="","","27_"&amp;IFERROR(INDEX(Objectius!$E$2:$E$183,MATCH($D154,Objectius!$A$2:$A$183,0)),"??")&amp;"_"&amp;TEXT(COUNTIF($I$6:$I154,$I154),"00"))</f>
        <v/>
      </c>
      <c r="B154" s="11" t="n"/>
      <c r="C154" s="11" t="n"/>
      <c r="D154" s="11" t="n"/>
      <c r="E154" s="10">
        <f>IF($D154="","",IFERROR(INDEX(Objectius!$C$2:$C$183,MATCH($D154,Objectius!$A$2:$A$183,0)),"Objectiu no trobat al Pla"))</f>
        <v/>
      </c>
      <c r="F154" s="11" t="n"/>
      <c r="G154" s="11" t="n"/>
      <c r="H154" s="11" t="n"/>
      <c r="I154" s="10">
        <f>IF($D154="","",IFERROR(INDEX(Objectius!$D$2:$D$183,MATCH($D154,Objectius!$A$2:$A$183,0)),""))</f>
        <v/>
      </c>
      <c r="J154" s="11" t="n"/>
      <c r="K154" s="11" t="n"/>
      <c r="L154" s="11" t="n"/>
      <c r="M154" s="12" t="n"/>
      <c r="N154" s="11" t="n"/>
      <c r="O154" s="10">
        <f>IF($N154="","",IFERROR(INDEX('PLA ESTRATÈGIC'!$G$4:$G$452,MATCH($N154,'PLA ESTRATÈGIC'!$Q$4:$Q$452,0)),""))</f>
        <v/>
      </c>
      <c r="P154" s="10">
        <f>IF($N154="","",IFERROR(INDEX('PLA ESTRATÈGIC'!$H$4:$H$452,MATCH($N154,'PLA ESTRATÈGIC'!$Q$4:$Q$452,0)),""))</f>
        <v/>
      </c>
      <c r="Q154" s="13" t="n"/>
      <c r="R154" s="11" t="n"/>
      <c r="S154" s="11" t="n"/>
      <c r="T154" s="11" t="n"/>
      <c r="U154" s="11" t="n"/>
      <c r="V154" s="10">
        <f>IF(COUNTA($C154,$D154,$J154,$M154)=0,"",IF(TRIM(IF($C154="","Falta l'actuació. ","")&amp;IF($D154="","Falta l'objectiu. ","")&amp;IF($J154="","Falta el tipus de despesa. ","")&amp;IF(AND($J154&lt;&gt;"",$J154&lt;&gt;"Mitjans propis",$J154&lt;&gt;"Altres",$M154=""),"Falta l'import. ","")&amp;IF(AND($J154="Contracte menor a càrrec del RAE",$K154=""),"Falta la partida RAE. ","")&amp;IF(AND($B154&lt;&gt;"",COUNTIF($B$6:$B$705,$B154)&gt;1),"Codi RAE repetit. ","")&amp;IF(AND($B154&lt;&gt;"",$J154&lt;&gt;"",$J154&lt;&gt;"Contracte menor a càrrec del RAE"),"Té codi RAE però no és de tipus RAE. ","")&amp;IF($N154="","Falta l'indicador del Pla. ","")&amp;IF($R154="","Falta el gestor. ","")&amp;IF($S154="","Falta indicar si és recurrent. ",""))="","✔",TRIM(IF($C154="","Falta l'actuació. ","")&amp;IF($D154="","Falta l'objectiu. ","")&amp;IF($J154="","Falta el tipus de despesa. ","")&amp;IF(AND($J154&lt;&gt;"",$J154&lt;&gt;"Mitjans propis",$J154&lt;&gt;"Altres",$M154=""),"Falta l'import. ","")&amp;IF(AND($J154="Contracte menor a càrrec del RAE",$K154=""),"Falta la partida RAE. ","")&amp;IF(AND($B154&lt;&gt;"",COUNTIF($B$6:$B$705,$B154)&gt;1),"Codi RAE repetit. ","")&amp;IF(AND($B154&lt;&gt;"",$J154&lt;&gt;"",$J154&lt;&gt;"Contracte menor a càrrec del RAE"),"Té codi RAE però no és de tipus RAE. ","")&amp;IF($N154="","Falta l'indicador del Pla. ","")&amp;IF($R154="","Falta el gestor. ","")&amp;IF($S154="","Falta indicar si és recurrent. ",""))))</f>
        <v/>
      </c>
    </row>
    <row r="155">
      <c r="A155" s="10">
        <f>IF($D155="","","27_"&amp;IFERROR(INDEX(Objectius!$E$2:$E$183,MATCH($D155,Objectius!$A$2:$A$183,0)),"??")&amp;"_"&amp;TEXT(COUNTIF($I$6:$I155,$I155),"00"))</f>
        <v/>
      </c>
      <c r="B155" s="11" t="n"/>
      <c r="C155" s="11" t="n"/>
      <c r="D155" s="11" t="n"/>
      <c r="E155" s="10">
        <f>IF($D155="","",IFERROR(INDEX(Objectius!$C$2:$C$183,MATCH($D155,Objectius!$A$2:$A$183,0)),"Objectiu no trobat al Pla"))</f>
        <v/>
      </c>
      <c r="F155" s="11" t="n"/>
      <c r="G155" s="11" t="n"/>
      <c r="H155" s="11" t="n"/>
      <c r="I155" s="10">
        <f>IF($D155="","",IFERROR(INDEX(Objectius!$D$2:$D$183,MATCH($D155,Objectius!$A$2:$A$183,0)),""))</f>
        <v/>
      </c>
      <c r="J155" s="11" t="n"/>
      <c r="K155" s="11" t="n"/>
      <c r="L155" s="11" t="n"/>
      <c r="M155" s="12" t="n"/>
      <c r="N155" s="11" t="n"/>
      <c r="O155" s="10">
        <f>IF($N155="","",IFERROR(INDEX('PLA ESTRATÈGIC'!$G$4:$G$452,MATCH($N155,'PLA ESTRATÈGIC'!$Q$4:$Q$452,0)),""))</f>
        <v/>
      </c>
      <c r="P155" s="10">
        <f>IF($N155="","",IFERROR(INDEX('PLA ESTRATÈGIC'!$H$4:$H$452,MATCH($N155,'PLA ESTRATÈGIC'!$Q$4:$Q$452,0)),""))</f>
        <v/>
      </c>
      <c r="Q155" s="13" t="n"/>
      <c r="R155" s="11" t="n"/>
      <c r="S155" s="11" t="n"/>
      <c r="T155" s="11" t="n"/>
      <c r="U155" s="11" t="n"/>
      <c r="V155" s="10">
        <f>IF(COUNTA($C155,$D155,$J155,$M155)=0,"",IF(TRIM(IF($C155="","Falta l'actuació. ","")&amp;IF($D155="","Falta l'objectiu. ","")&amp;IF($J155="","Falta el tipus de despesa. ","")&amp;IF(AND($J155&lt;&gt;"",$J155&lt;&gt;"Mitjans propis",$J155&lt;&gt;"Altres",$M155=""),"Falta l'import. ","")&amp;IF(AND($J155="Contracte menor a càrrec del RAE",$K155=""),"Falta la partida RAE. ","")&amp;IF(AND($B155&lt;&gt;"",COUNTIF($B$6:$B$705,$B155)&gt;1),"Codi RAE repetit. ","")&amp;IF(AND($B155&lt;&gt;"",$J155&lt;&gt;"",$J155&lt;&gt;"Contracte menor a càrrec del RAE"),"Té codi RAE però no és de tipus RAE. ","")&amp;IF($N155="","Falta l'indicador del Pla. ","")&amp;IF($R155="","Falta el gestor. ","")&amp;IF($S155="","Falta indicar si és recurrent. ",""))="","✔",TRIM(IF($C155="","Falta l'actuació. ","")&amp;IF($D155="","Falta l'objectiu. ","")&amp;IF($J155="","Falta el tipus de despesa. ","")&amp;IF(AND($J155&lt;&gt;"",$J155&lt;&gt;"Mitjans propis",$J155&lt;&gt;"Altres",$M155=""),"Falta l'import. ","")&amp;IF(AND($J155="Contracte menor a càrrec del RAE",$K155=""),"Falta la partida RAE. ","")&amp;IF(AND($B155&lt;&gt;"",COUNTIF($B$6:$B$705,$B155)&gt;1),"Codi RAE repetit. ","")&amp;IF(AND($B155&lt;&gt;"",$J155&lt;&gt;"",$J155&lt;&gt;"Contracte menor a càrrec del RAE"),"Té codi RAE però no és de tipus RAE. ","")&amp;IF($N155="","Falta l'indicador del Pla. ","")&amp;IF($R155="","Falta el gestor. ","")&amp;IF($S155="","Falta indicar si és recurrent. ",""))))</f>
        <v/>
      </c>
    </row>
    <row r="156">
      <c r="A156" s="10">
        <f>IF($D156="","","27_"&amp;IFERROR(INDEX(Objectius!$E$2:$E$183,MATCH($D156,Objectius!$A$2:$A$183,0)),"??")&amp;"_"&amp;TEXT(COUNTIF($I$6:$I156,$I156),"00"))</f>
        <v/>
      </c>
      <c r="B156" s="11" t="n"/>
      <c r="C156" s="11" t="n"/>
      <c r="D156" s="11" t="n"/>
      <c r="E156" s="10">
        <f>IF($D156="","",IFERROR(INDEX(Objectius!$C$2:$C$183,MATCH($D156,Objectius!$A$2:$A$183,0)),"Objectiu no trobat al Pla"))</f>
        <v/>
      </c>
      <c r="F156" s="11" t="n"/>
      <c r="G156" s="11" t="n"/>
      <c r="H156" s="11" t="n"/>
      <c r="I156" s="10">
        <f>IF($D156="","",IFERROR(INDEX(Objectius!$D$2:$D$183,MATCH($D156,Objectius!$A$2:$A$183,0)),""))</f>
        <v/>
      </c>
      <c r="J156" s="11" t="n"/>
      <c r="K156" s="11" t="n"/>
      <c r="L156" s="11" t="n"/>
      <c r="M156" s="12" t="n"/>
      <c r="N156" s="11" t="n"/>
      <c r="O156" s="10">
        <f>IF($N156="","",IFERROR(INDEX('PLA ESTRATÈGIC'!$G$4:$G$452,MATCH($N156,'PLA ESTRATÈGIC'!$Q$4:$Q$452,0)),""))</f>
        <v/>
      </c>
      <c r="P156" s="10">
        <f>IF($N156="","",IFERROR(INDEX('PLA ESTRATÈGIC'!$H$4:$H$452,MATCH($N156,'PLA ESTRATÈGIC'!$Q$4:$Q$452,0)),""))</f>
        <v/>
      </c>
      <c r="Q156" s="13" t="n"/>
      <c r="R156" s="11" t="n"/>
      <c r="S156" s="11" t="n"/>
      <c r="T156" s="11" t="n"/>
      <c r="U156" s="11" t="n"/>
      <c r="V156" s="10">
        <f>IF(COUNTA($C156,$D156,$J156,$M156)=0,"",IF(TRIM(IF($C156="","Falta l'actuació. ","")&amp;IF($D156="","Falta l'objectiu. ","")&amp;IF($J156="","Falta el tipus de despesa. ","")&amp;IF(AND($J156&lt;&gt;"",$J156&lt;&gt;"Mitjans propis",$J156&lt;&gt;"Altres",$M156=""),"Falta l'import. ","")&amp;IF(AND($J156="Contracte menor a càrrec del RAE",$K156=""),"Falta la partida RAE. ","")&amp;IF(AND($B156&lt;&gt;"",COUNTIF($B$6:$B$705,$B156)&gt;1),"Codi RAE repetit. ","")&amp;IF(AND($B156&lt;&gt;"",$J156&lt;&gt;"",$J156&lt;&gt;"Contracte menor a càrrec del RAE"),"Té codi RAE però no és de tipus RAE. ","")&amp;IF($N156="","Falta l'indicador del Pla. ","")&amp;IF($R156="","Falta el gestor. ","")&amp;IF($S156="","Falta indicar si és recurrent. ",""))="","✔",TRIM(IF($C156="","Falta l'actuació. ","")&amp;IF($D156="","Falta l'objectiu. ","")&amp;IF($J156="","Falta el tipus de despesa. ","")&amp;IF(AND($J156&lt;&gt;"",$J156&lt;&gt;"Mitjans propis",$J156&lt;&gt;"Altres",$M156=""),"Falta l'import. ","")&amp;IF(AND($J156="Contracte menor a càrrec del RAE",$K156=""),"Falta la partida RAE. ","")&amp;IF(AND($B156&lt;&gt;"",COUNTIF($B$6:$B$705,$B156)&gt;1),"Codi RAE repetit. ","")&amp;IF(AND($B156&lt;&gt;"",$J156&lt;&gt;"",$J156&lt;&gt;"Contracte menor a càrrec del RAE"),"Té codi RAE però no és de tipus RAE. ","")&amp;IF($N156="","Falta l'indicador del Pla. ","")&amp;IF($R156="","Falta el gestor. ","")&amp;IF($S156="","Falta indicar si és recurrent. ",""))))</f>
        <v/>
      </c>
    </row>
    <row r="157">
      <c r="A157" s="10">
        <f>IF($D157="","","27_"&amp;IFERROR(INDEX(Objectius!$E$2:$E$183,MATCH($D157,Objectius!$A$2:$A$183,0)),"??")&amp;"_"&amp;TEXT(COUNTIF($I$6:$I157,$I157),"00"))</f>
        <v/>
      </c>
      <c r="B157" s="11" t="n"/>
      <c r="C157" s="11" t="n"/>
      <c r="D157" s="11" t="n"/>
      <c r="E157" s="10">
        <f>IF($D157="","",IFERROR(INDEX(Objectius!$C$2:$C$183,MATCH($D157,Objectius!$A$2:$A$183,0)),"Objectiu no trobat al Pla"))</f>
        <v/>
      </c>
      <c r="F157" s="11" t="n"/>
      <c r="G157" s="11" t="n"/>
      <c r="H157" s="11" t="n"/>
      <c r="I157" s="10">
        <f>IF($D157="","",IFERROR(INDEX(Objectius!$D$2:$D$183,MATCH($D157,Objectius!$A$2:$A$183,0)),""))</f>
        <v/>
      </c>
      <c r="J157" s="11" t="n"/>
      <c r="K157" s="11" t="n"/>
      <c r="L157" s="11" t="n"/>
      <c r="M157" s="12" t="n"/>
      <c r="N157" s="11" t="n"/>
      <c r="O157" s="10">
        <f>IF($N157="","",IFERROR(INDEX('PLA ESTRATÈGIC'!$G$4:$G$452,MATCH($N157,'PLA ESTRATÈGIC'!$Q$4:$Q$452,0)),""))</f>
        <v/>
      </c>
      <c r="P157" s="10">
        <f>IF($N157="","",IFERROR(INDEX('PLA ESTRATÈGIC'!$H$4:$H$452,MATCH($N157,'PLA ESTRATÈGIC'!$Q$4:$Q$452,0)),""))</f>
        <v/>
      </c>
      <c r="Q157" s="13" t="n"/>
      <c r="R157" s="11" t="n"/>
      <c r="S157" s="11" t="n"/>
      <c r="T157" s="11" t="n"/>
      <c r="U157" s="11" t="n"/>
      <c r="V157" s="10">
        <f>IF(COUNTA($C157,$D157,$J157,$M157)=0,"",IF(TRIM(IF($C157="","Falta l'actuació. ","")&amp;IF($D157="","Falta l'objectiu. ","")&amp;IF($J157="","Falta el tipus de despesa. ","")&amp;IF(AND($J157&lt;&gt;"",$J157&lt;&gt;"Mitjans propis",$J157&lt;&gt;"Altres",$M157=""),"Falta l'import. ","")&amp;IF(AND($J157="Contracte menor a càrrec del RAE",$K157=""),"Falta la partida RAE. ","")&amp;IF(AND($B157&lt;&gt;"",COUNTIF($B$6:$B$705,$B157)&gt;1),"Codi RAE repetit. ","")&amp;IF(AND($B157&lt;&gt;"",$J157&lt;&gt;"",$J157&lt;&gt;"Contracte menor a càrrec del RAE"),"Té codi RAE però no és de tipus RAE. ","")&amp;IF($N157="","Falta l'indicador del Pla. ","")&amp;IF($R157="","Falta el gestor. ","")&amp;IF($S157="","Falta indicar si és recurrent. ",""))="","✔",TRIM(IF($C157="","Falta l'actuació. ","")&amp;IF($D157="","Falta l'objectiu. ","")&amp;IF($J157="","Falta el tipus de despesa. ","")&amp;IF(AND($J157&lt;&gt;"",$J157&lt;&gt;"Mitjans propis",$J157&lt;&gt;"Altres",$M157=""),"Falta l'import. ","")&amp;IF(AND($J157="Contracte menor a càrrec del RAE",$K157=""),"Falta la partida RAE. ","")&amp;IF(AND($B157&lt;&gt;"",COUNTIF($B$6:$B$705,$B157)&gt;1),"Codi RAE repetit. ","")&amp;IF(AND($B157&lt;&gt;"",$J157&lt;&gt;"",$J157&lt;&gt;"Contracte menor a càrrec del RAE"),"Té codi RAE però no és de tipus RAE. ","")&amp;IF($N157="","Falta l'indicador del Pla. ","")&amp;IF($R157="","Falta el gestor. ","")&amp;IF($S157="","Falta indicar si és recurrent. ",""))))</f>
        <v/>
      </c>
    </row>
    <row r="158">
      <c r="A158" s="10">
        <f>IF($D158="","","27_"&amp;IFERROR(INDEX(Objectius!$E$2:$E$183,MATCH($D158,Objectius!$A$2:$A$183,0)),"??")&amp;"_"&amp;TEXT(COUNTIF($I$6:$I158,$I158),"00"))</f>
        <v/>
      </c>
      <c r="B158" s="11" t="n"/>
      <c r="C158" s="11" t="n"/>
      <c r="D158" s="11" t="n"/>
      <c r="E158" s="10">
        <f>IF($D158="","",IFERROR(INDEX(Objectius!$C$2:$C$183,MATCH($D158,Objectius!$A$2:$A$183,0)),"Objectiu no trobat al Pla"))</f>
        <v/>
      </c>
      <c r="F158" s="11" t="n"/>
      <c r="G158" s="11" t="n"/>
      <c r="H158" s="11" t="n"/>
      <c r="I158" s="10">
        <f>IF($D158="","",IFERROR(INDEX(Objectius!$D$2:$D$183,MATCH($D158,Objectius!$A$2:$A$183,0)),""))</f>
        <v/>
      </c>
      <c r="J158" s="11" t="n"/>
      <c r="K158" s="11" t="n"/>
      <c r="L158" s="11" t="n"/>
      <c r="M158" s="12" t="n"/>
      <c r="N158" s="11" t="n"/>
      <c r="O158" s="10">
        <f>IF($N158="","",IFERROR(INDEX('PLA ESTRATÈGIC'!$G$4:$G$452,MATCH($N158,'PLA ESTRATÈGIC'!$Q$4:$Q$452,0)),""))</f>
        <v/>
      </c>
      <c r="P158" s="10">
        <f>IF($N158="","",IFERROR(INDEX('PLA ESTRATÈGIC'!$H$4:$H$452,MATCH($N158,'PLA ESTRATÈGIC'!$Q$4:$Q$452,0)),""))</f>
        <v/>
      </c>
      <c r="Q158" s="13" t="n"/>
      <c r="R158" s="11" t="n"/>
      <c r="S158" s="11" t="n"/>
      <c r="T158" s="11" t="n"/>
      <c r="U158" s="11" t="n"/>
      <c r="V158" s="10">
        <f>IF(COUNTA($C158,$D158,$J158,$M158)=0,"",IF(TRIM(IF($C158="","Falta l'actuació. ","")&amp;IF($D158="","Falta l'objectiu. ","")&amp;IF($J158="","Falta el tipus de despesa. ","")&amp;IF(AND($J158&lt;&gt;"",$J158&lt;&gt;"Mitjans propis",$J158&lt;&gt;"Altres",$M158=""),"Falta l'import. ","")&amp;IF(AND($J158="Contracte menor a càrrec del RAE",$K158=""),"Falta la partida RAE. ","")&amp;IF(AND($B158&lt;&gt;"",COUNTIF($B$6:$B$705,$B158)&gt;1),"Codi RAE repetit. ","")&amp;IF(AND($B158&lt;&gt;"",$J158&lt;&gt;"",$J158&lt;&gt;"Contracte menor a càrrec del RAE"),"Té codi RAE però no és de tipus RAE. ","")&amp;IF($N158="","Falta l'indicador del Pla. ","")&amp;IF($R158="","Falta el gestor. ","")&amp;IF($S158="","Falta indicar si és recurrent. ",""))="","✔",TRIM(IF($C158="","Falta l'actuació. ","")&amp;IF($D158="","Falta l'objectiu. ","")&amp;IF($J158="","Falta el tipus de despesa. ","")&amp;IF(AND($J158&lt;&gt;"",$J158&lt;&gt;"Mitjans propis",$J158&lt;&gt;"Altres",$M158=""),"Falta l'import. ","")&amp;IF(AND($J158="Contracte menor a càrrec del RAE",$K158=""),"Falta la partida RAE. ","")&amp;IF(AND($B158&lt;&gt;"",COUNTIF($B$6:$B$705,$B158)&gt;1),"Codi RAE repetit. ","")&amp;IF(AND($B158&lt;&gt;"",$J158&lt;&gt;"",$J158&lt;&gt;"Contracte menor a càrrec del RAE"),"Té codi RAE però no és de tipus RAE. ","")&amp;IF($N158="","Falta l'indicador del Pla. ","")&amp;IF($R158="","Falta el gestor. ","")&amp;IF($S158="","Falta indicar si és recurrent. ",""))))</f>
        <v/>
      </c>
    </row>
    <row r="159">
      <c r="A159" s="10">
        <f>IF($D159="","","27_"&amp;IFERROR(INDEX(Objectius!$E$2:$E$183,MATCH($D159,Objectius!$A$2:$A$183,0)),"??")&amp;"_"&amp;TEXT(COUNTIF($I$6:$I159,$I159),"00"))</f>
        <v/>
      </c>
      <c r="B159" s="11" t="n"/>
      <c r="C159" s="11" t="n"/>
      <c r="D159" s="11" t="n"/>
      <c r="E159" s="10">
        <f>IF($D159="","",IFERROR(INDEX(Objectius!$C$2:$C$183,MATCH($D159,Objectius!$A$2:$A$183,0)),"Objectiu no trobat al Pla"))</f>
        <v/>
      </c>
      <c r="F159" s="11" t="n"/>
      <c r="G159" s="11" t="n"/>
      <c r="H159" s="11" t="n"/>
      <c r="I159" s="10">
        <f>IF($D159="","",IFERROR(INDEX(Objectius!$D$2:$D$183,MATCH($D159,Objectius!$A$2:$A$183,0)),""))</f>
        <v/>
      </c>
      <c r="J159" s="11" t="n"/>
      <c r="K159" s="11" t="n"/>
      <c r="L159" s="11" t="n"/>
      <c r="M159" s="12" t="n"/>
      <c r="N159" s="11" t="n"/>
      <c r="O159" s="10">
        <f>IF($N159="","",IFERROR(INDEX('PLA ESTRATÈGIC'!$G$4:$G$452,MATCH($N159,'PLA ESTRATÈGIC'!$Q$4:$Q$452,0)),""))</f>
        <v/>
      </c>
      <c r="P159" s="10">
        <f>IF($N159="","",IFERROR(INDEX('PLA ESTRATÈGIC'!$H$4:$H$452,MATCH($N159,'PLA ESTRATÈGIC'!$Q$4:$Q$452,0)),""))</f>
        <v/>
      </c>
      <c r="Q159" s="13" t="n"/>
      <c r="R159" s="11" t="n"/>
      <c r="S159" s="11" t="n"/>
      <c r="T159" s="11" t="n"/>
      <c r="U159" s="11" t="n"/>
      <c r="V159" s="10">
        <f>IF(COUNTA($C159,$D159,$J159,$M159)=0,"",IF(TRIM(IF($C159="","Falta l'actuació. ","")&amp;IF($D159="","Falta l'objectiu. ","")&amp;IF($J159="","Falta el tipus de despesa. ","")&amp;IF(AND($J159&lt;&gt;"",$J159&lt;&gt;"Mitjans propis",$J159&lt;&gt;"Altres",$M159=""),"Falta l'import. ","")&amp;IF(AND($J159="Contracte menor a càrrec del RAE",$K159=""),"Falta la partida RAE. ","")&amp;IF(AND($B159&lt;&gt;"",COUNTIF($B$6:$B$705,$B159)&gt;1),"Codi RAE repetit. ","")&amp;IF(AND($B159&lt;&gt;"",$J159&lt;&gt;"",$J159&lt;&gt;"Contracte menor a càrrec del RAE"),"Té codi RAE però no és de tipus RAE. ","")&amp;IF($N159="","Falta l'indicador del Pla. ","")&amp;IF($R159="","Falta el gestor. ","")&amp;IF($S159="","Falta indicar si és recurrent. ",""))="","✔",TRIM(IF($C159="","Falta l'actuació. ","")&amp;IF($D159="","Falta l'objectiu. ","")&amp;IF($J159="","Falta el tipus de despesa. ","")&amp;IF(AND($J159&lt;&gt;"",$J159&lt;&gt;"Mitjans propis",$J159&lt;&gt;"Altres",$M159=""),"Falta l'import. ","")&amp;IF(AND($J159="Contracte menor a càrrec del RAE",$K159=""),"Falta la partida RAE. ","")&amp;IF(AND($B159&lt;&gt;"",COUNTIF($B$6:$B$705,$B159)&gt;1),"Codi RAE repetit. ","")&amp;IF(AND($B159&lt;&gt;"",$J159&lt;&gt;"",$J159&lt;&gt;"Contracte menor a càrrec del RAE"),"Té codi RAE però no és de tipus RAE. ","")&amp;IF($N159="","Falta l'indicador del Pla. ","")&amp;IF($R159="","Falta el gestor. ","")&amp;IF($S159="","Falta indicar si és recurrent. ",""))))</f>
        <v/>
      </c>
    </row>
    <row r="160">
      <c r="A160" s="10">
        <f>IF($D160="","","27_"&amp;IFERROR(INDEX(Objectius!$E$2:$E$183,MATCH($D160,Objectius!$A$2:$A$183,0)),"??")&amp;"_"&amp;TEXT(COUNTIF($I$6:$I160,$I160),"00"))</f>
        <v/>
      </c>
      <c r="B160" s="11" t="n"/>
      <c r="C160" s="11" t="n"/>
      <c r="D160" s="11" t="n"/>
      <c r="E160" s="10">
        <f>IF($D160="","",IFERROR(INDEX(Objectius!$C$2:$C$183,MATCH($D160,Objectius!$A$2:$A$183,0)),"Objectiu no trobat al Pla"))</f>
        <v/>
      </c>
      <c r="F160" s="11" t="n"/>
      <c r="G160" s="11" t="n"/>
      <c r="H160" s="11" t="n"/>
      <c r="I160" s="10">
        <f>IF($D160="","",IFERROR(INDEX(Objectius!$D$2:$D$183,MATCH($D160,Objectius!$A$2:$A$183,0)),""))</f>
        <v/>
      </c>
      <c r="J160" s="11" t="n"/>
      <c r="K160" s="11" t="n"/>
      <c r="L160" s="11" t="n"/>
      <c r="M160" s="12" t="n"/>
      <c r="N160" s="11" t="n"/>
      <c r="O160" s="10">
        <f>IF($N160="","",IFERROR(INDEX('PLA ESTRATÈGIC'!$G$4:$G$452,MATCH($N160,'PLA ESTRATÈGIC'!$Q$4:$Q$452,0)),""))</f>
        <v/>
      </c>
      <c r="P160" s="10">
        <f>IF($N160="","",IFERROR(INDEX('PLA ESTRATÈGIC'!$H$4:$H$452,MATCH($N160,'PLA ESTRATÈGIC'!$Q$4:$Q$452,0)),""))</f>
        <v/>
      </c>
      <c r="Q160" s="13" t="n"/>
      <c r="R160" s="11" t="n"/>
      <c r="S160" s="11" t="n"/>
      <c r="T160" s="11" t="n"/>
      <c r="U160" s="11" t="n"/>
      <c r="V160" s="10">
        <f>IF(COUNTA($C160,$D160,$J160,$M160)=0,"",IF(TRIM(IF($C160="","Falta l'actuació. ","")&amp;IF($D160="","Falta l'objectiu. ","")&amp;IF($J160="","Falta el tipus de despesa. ","")&amp;IF(AND($J160&lt;&gt;"",$J160&lt;&gt;"Mitjans propis",$J160&lt;&gt;"Altres",$M160=""),"Falta l'import. ","")&amp;IF(AND($J160="Contracte menor a càrrec del RAE",$K160=""),"Falta la partida RAE. ","")&amp;IF(AND($B160&lt;&gt;"",COUNTIF($B$6:$B$705,$B160)&gt;1),"Codi RAE repetit. ","")&amp;IF(AND($B160&lt;&gt;"",$J160&lt;&gt;"",$J160&lt;&gt;"Contracte menor a càrrec del RAE"),"Té codi RAE però no és de tipus RAE. ","")&amp;IF($N160="","Falta l'indicador del Pla. ","")&amp;IF($R160="","Falta el gestor. ","")&amp;IF($S160="","Falta indicar si és recurrent. ",""))="","✔",TRIM(IF($C160="","Falta l'actuació. ","")&amp;IF($D160="","Falta l'objectiu. ","")&amp;IF($J160="","Falta el tipus de despesa. ","")&amp;IF(AND($J160&lt;&gt;"",$J160&lt;&gt;"Mitjans propis",$J160&lt;&gt;"Altres",$M160=""),"Falta l'import. ","")&amp;IF(AND($J160="Contracte menor a càrrec del RAE",$K160=""),"Falta la partida RAE. ","")&amp;IF(AND($B160&lt;&gt;"",COUNTIF($B$6:$B$705,$B160)&gt;1),"Codi RAE repetit. ","")&amp;IF(AND($B160&lt;&gt;"",$J160&lt;&gt;"",$J160&lt;&gt;"Contracte menor a càrrec del RAE"),"Té codi RAE però no és de tipus RAE. ","")&amp;IF($N160="","Falta l'indicador del Pla. ","")&amp;IF($R160="","Falta el gestor. ","")&amp;IF($S160="","Falta indicar si és recurrent. ",""))))</f>
        <v/>
      </c>
    </row>
    <row r="161">
      <c r="A161" s="10">
        <f>IF($D161="","","27_"&amp;IFERROR(INDEX(Objectius!$E$2:$E$183,MATCH($D161,Objectius!$A$2:$A$183,0)),"??")&amp;"_"&amp;TEXT(COUNTIF($I$6:$I161,$I161),"00"))</f>
        <v/>
      </c>
      <c r="B161" s="11" t="n"/>
      <c r="C161" s="11" t="n"/>
      <c r="D161" s="11" t="n"/>
      <c r="E161" s="10">
        <f>IF($D161="","",IFERROR(INDEX(Objectius!$C$2:$C$183,MATCH($D161,Objectius!$A$2:$A$183,0)),"Objectiu no trobat al Pla"))</f>
        <v/>
      </c>
      <c r="F161" s="11" t="n"/>
      <c r="G161" s="11" t="n"/>
      <c r="H161" s="11" t="n"/>
      <c r="I161" s="10">
        <f>IF($D161="","",IFERROR(INDEX(Objectius!$D$2:$D$183,MATCH($D161,Objectius!$A$2:$A$183,0)),""))</f>
        <v/>
      </c>
      <c r="J161" s="11" t="n"/>
      <c r="K161" s="11" t="n"/>
      <c r="L161" s="11" t="n"/>
      <c r="M161" s="12" t="n"/>
      <c r="N161" s="11" t="n"/>
      <c r="O161" s="10">
        <f>IF($N161="","",IFERROR(INDEX('PLA ESTRATÈGIC'!$G$4:$G$452,MATCH($N161,'PLA ESTRATÈGIC'!$Q$4:$Q$452,0)),""))</f>
        <v/>
      </c>
      <c r="P161" s="10">
        <f>IF($N161="","",IFERROR(INDEX('PLA ESTRATÈGIC'!$H$4:$H$452,MATCH($N161,'PLA ESTRATÈGIC'!$Q$4:$Q$452,0)),""))</f>
        <v/>
      </c>
      <c r="Q161" s="13" t="n"/>
      <c r="R161" s="11" t="n"/>
      <c r="S161" s="11" t="n"/>
      <c r="T161" s="11" t="n"/>
      <c r="U161" s="11" t="n"/>
      <c r="V161" s="10">
        <f>IF(COUNTA($C161,$D161,$J161,$M161)=0,"",IF(TRIM(IF($C161="","Falta l'actuació. ","")&amp;IF($D161="","Falta l'objectiu. ","")&amp;IF($J161="","Falta el tipus de despesa. ","")&amp;IF(AND($J161&lt;&gt;"",$J161&lt;&gt;"Mitjans propis",$J161&lt;&gt;"Altres",$M161=""),"Falta l'import. ","")&amp;IF(AND($J161="Contracte menor a càrrec del RAE",$K161=""),"Falta la partida RAE. ","")&amp;IF(AND($B161&lt;&gt;"",COUNTIF($B$6:$B$705,$B161)&gt;1),"Codi RAE repetit. ","")&amp;IF(AND($B161&lt;&gt;"",$J161&lt;&gt;"",$J161&lt;&gt;"Contracte menor a càrrec del RAE"),"Té codi RAE però no és de tipus RAE. ","")&amp;IF($N161="","Falta l'indicador del Pla. ","")&amp;IF($R161="","Falta el gestor. ","")&amp;IF($S161="","Falta indicar si és recurrent. ",""))="","✔",TRIM(IF($C161="","Falta l'actuació. ","")&amp;IF($D161="","Falta l'objectiu. ","")&amp;IF($J161="","Falta el tipus de despesa. ","")&amp;IF(AND($J161&lt;&gt;"",$J161&lt;&gt;"Mitjans propis",$J161&lt;&gt;"Altres",$M161=""),"Falta l'import. ","")&amp;IF(AND($J161="Contracte menor a càrrec del RAE",$K161=""),"Falta la partida RAE. ","")&amp;IF(AND($B161&lt;&gt;"",COUNTIF($B$6:$B$705,$B161)&gt;1),"Codi RAE repetit. ","")&amp;IF(AND($B161&lt;&gt;"",$J161&lt;&gt;"",$J161&lt;&gt;"Contracte menor a càrrec del RAE"),"Té codi RAE però no és de tipus RAE. ","")&amp;IF($N161="","Falta l'indicador del Pla. ","")&amp;IF($R161="","Falta el gestor. ","")&amp;IF($S161="","Falta indicar si és recurrent. ",""))))</f>
        <v/>
      </c>
    </row>
    <row r="162">
      <c r="A162" s="10">
        <f>IF($D162="","","27_"&amp;IFERROR(INDEX(Objectius!$E$2:$E$183,MATCH($D162,Objectius!$A$2:$A$183,0)),"??")&amp;"_"&amp;TEXT(COUNTIF($I$6:$I162,$I162),"00"))</f>
        <v/>
      </c>
      <c r="B162" s="11" t="n"/>
      <c r="C162" s="11" t="n"/>
      <c r="D162" s="11" t="n"/>
      <c r="E162" s="10">
        <f>IF($D162="","",IFERROR(INDEX(Objectius!$C$2:$C$183,MATCH($D162,Objectius!$A$2:$A$183,0)),"Objectiu no trobat al Pla"))</f>
        <v/>
      </c>
      <c r="F162" s="11" t="n"/>
      <c r="G162" s="11" t="n"/>
      <c r="H162" s="11" t="n"/>
      <c r="I162" s="10">
        <f>IF($D162="","",IFERROR(INDEX(Objectius!$D$2:$D$183,MATCH($D162,Objectius!$A$2:$A$183,0)),""))</f>
        <v/>
      </c>
      <c r="J162" s="11" t="n"/>
      <c r="K162" s="11" t="n"/>
      <c r="L162" s="11" t="n"/>
      <c r="M162" s="12" t="n"/>
      <c r="N162" s="11" t="n"/>
      <c r="O162" s="10">
        <f>IF($N162="","",IFERROR(INDEX('PLA ESTRATÈGIC'!$G$4:$G$452,MATCH($N162,'PLA ESTRATÈGIC'!$Q$4:$Q$452,0)),""))</f>
        <v/>
      </c>
      <c r="P162" s="10">
        <f>IF($N162="","",IFERROR(INDEX('PLA ESTRATÈGIC'!$H$4:$H$452,MATCH($N162,'PLA ESTRATÈGIC'!$Q$4:$Q$452,0)),""))</f>
        <v/>
      </c>
      <c r="Q162" s="13" t="n"/>
      <c r="R162" s="11" t="n"/>
      <c r="S162" s="11" t="n"/>
      <c r="T162" s="11" t="n"/>
      <c r="U162" s="11" t="n"/>
      <c r="V162" s="10">
        <f>IF(COUNTA($C162,$D162,$J162,$M162)=0,"",IF(TRIM(IF($C162="","Falta l'actuació. ","")&amp;IF($D162="","Falta l'objectiu. ","")&amp;IF($J162="","Falta el tipus de despesa. ","")&amp;IF(AND($J162&lt;&gt;"",$J162&lt;&gt;"Mitjans propis",$J162&lt;&gt;"Altres",$M162=""),"Falta l'import. ","")&amp;IF(AND($J162="Contracte menor a càrrec del RAE",$K162=""),"Falta la partida RAE. ","")&amp;IF(AND($B162&lt;&gt;"",COUNTIF($B$6:$B$705,$B162)&gt;1),"Codi RAE repetit. ","")&amp;IF(AND($B162&lt;&gt;"",$J162&lt;&gt;"",$J162&lt;&gt;"Contracte menor a càrrec del RAE"),"Té codi RAE però no és de tipus RAE. ","")&amp;IF($N162="","Falta l'indicador del Pla. ","")&amp;IF($R162="","Falta el gestor. ","")&amp;IF($S162="","Falta indicar si és recurrent. ",""))="","✔",TRIM(IF($C162="","Falta l'actuació. ","")&amp;IF($D162="","Falta l'objectiu. ","")&amp;IF($J162="","Falta el tipus de despesa. ","")&amp;IF(AND($J162&lt;&gt;"",$J162&lt;&gt;"Mitjans propis",$J162&lt;&gt;"Altres",$M162=""),"Falta l'import. ","")&amp;IF(AND($J162="Contracte menor a càrrec del RAE",$K162=""),"Falta la partida RAE. ","")&amp;IF(AND($B162&lt;&gt;"",COUNTIF($B$6:$B$705,$B162)&gt;1),"Codi RAE repetit. ","")&amp;IF(AND($B162&lt;&gt;"",$J162&lt;&gt;"",$J162&lt;&gt;"Contracte menor a càrrec del RAE"),"Té codi RAE però no és de tipus RAE. ","")&amp;IF($N162="","Falta l'indicador del Pla. ","")&amp;IF($R162="","Falta el gestor. ","")&amp;IF($S162="","Falta indicar si és recurrent. ",""))))</f>
        <v/>
      </c>
    </row>
    <row r="163">
      <c r="A163" s="10">
        <f>IF($D163="","","27_"&amp;IFERROR(INDEX(Objectius!$E$2:$E$183,MATCH($D163,Objectius!$A$2:$A$183,0)),"??")&amp;"_"&amp;TEXT(COUNTIF($I$6:$I163,$I163),"00"))</f>
        <v/>
      </c>
      <c r="B163" s="11" t="n"/>
      <c r="C163" s="11" t="n"/>
      <c r="D163" s="11" t="n"/>
      <c r="E163" s="10">
        <f>IF($D163="","",IFERROR(INDEX(Objectius!$C$2:$C$183,MATCH($D163,Objectius!$A$2:$A$183,0)),"Objectiu no trobat al Pla"))</f>
        <v/>
      </c>
      <c r="F163" s="11" t="n"/>
      <c r="G163" s="11" t="n"/>
      <c r="H163" s="11" t="n"/>
      <c r="I163" s="10">
        <f>IF($D163="","",IFERROR(INDEX(Objectius!$D$2:$D$183,MATCH($D163,Objectius!$A$2:$A$183,0)),""))</f>
        <v/>
      </c>
      <c r="J163" s="11" t="n"/>
      <c r="K163" s="11" t="n"/>
      <c r="L163" s="11" t="n"/>
      <c r="M163" s="12" t="n"/>
      <c r="N163" s="11" t="n"/>
      <c r="O163" s="10">
        <f>IF($N163="","",IFERROR(INDEX('PLA ESTRATÈGIC'!$G$4:$G$452,MATCH($N163,'PLA ESTRATÈGIC'!$Q$4:$Q$452,0)),""))</f>
        <v/>
      </c>
      <c r="P163" s="10">
        <f>IF($N163="","",IFERROR(INDEX('PLA ESTRATÈGIC'!$H$4:$H$452,MATCH($N163,'PLA ESTRATÈGIC'!$Q$4:$Q$452,0)),""))</f>
        <v/>
      </c>
      <c r="Q163" s="13" t="n"/>
      <c r="R163" s="11" t="n"/>
      <c r="S163" s="11" t="n"/>
      <c r="T163" s="11" t="n"/>
      <c r="U163" s="11" t="n"/>
      <c r="V163" s="10">
        <f>IF(COUNTA($C163,$D163,$J163,$M163)=0,"",IF(TRIM(IF($C163="","Falta l'actuació. ","")&amp;IF($D163="","Falta l'objectiu. ","")&amp;IF($J163="","Falta el tipus de despesa. ","")&amp;IF(AND($J163&lt;&gt;"",$J163&lt;&gt;"Mitjans propis",$J163&lt;&gt;"Altres",$M163=""),"Falta l'import. ","")&amp;IF(AND($J163="Contracte menor a càrrec del RAE",$K163=""),"Falta la partida RAE. ","")&amp;IF(AND($B163&lt;&gt;"",COUNTIF($B$6:$B$705,$B163)&gt;1),"Codi RAE repetit. ","")&amp;IF(AND($B163&lt;&gt;"",$J163&lt;&gt;"",$J163&lt;&gt;"Contracte menor a càrrec del RAE"),"Té codi RAE però no és de tipus RAE. ","")&amp;IF($N163="","Falta l'indicador del Pla. ","")&amp;IF($R163="","Falta el gestor. ","")&amp;IF($S163="","Falta indicar si és recurrent. ",""))="","✔",TRIM(IF($C163="","Falta l'actuació. ","")&amp;IF($D163="","Falta l'objectiu. ","")&amp;IF($J163="","Falta el tipus de despesa. ","")&amp;IF(AND($J163&lt;&gt;"",$J163&lt;&gt;"Mitjans propis",$J163&lt;&gt;"Altres",$M163=""),"Falta l'import. ","")&amp;IF(AND($J163="Contracte menor a càrrec del RAE",$K163=""),"Falta la partida RAE. ","")&amp;IF(AND($B163&lt;&gt;"",COUNTIF($B$6:$B$705,$B163)&gt;1),"Codi RAE repetit. ","")&amp;IF(AND($B163&lt;&gt;"",$J163&lt;&gt;"",$J163&lt;&gt;"Contracte menor a càrrec del RAE"),"Té codi RAE però no és de tipus RAE. ","")&amp;IF($N163="","Falta l'indicador del Pla. ","")&amp;IF($R163="","Falta el gestor. ","")&amp;IF($S163="","Falta indicar si és recurrent. ",""))))</f>
        <v/>
      </c>
    </row>
    <row r="164">
      <c r="A164" s="10">
        <f>IF($D164="","","27_"&amp;IFERROR(INDEX(Objectius!$E$2:$E$183,MATCH($D164,Objectius!$A$2:$A$183,0)),"??")&amp;"_"&amp;TEXT(COUNTIF($I$6:$I164,$I164),"00"))</f>
        <v/>
      </c>
      <c r="B164" s="11" t="n"/>
      <c r="C164" s="11" t="n"/>
      <c r="D164" s="11" t="n"/>
      <c r="E164" s="10">
        <f>IF($D164="","",IFERROR(INDEX(Objectius!$C$2:$C$183,MATCH($D164,Objectius!$A$2:$A$183,0)),"Objectiu no trobat al Pla"))</f>
        <v/>
      </c>
      <c r="F164" s="11" t="n"/>
      <c r="G164" s="11" t="n"/>
      <c r="H164" s="11" t="n"/>
      <c r="I164" s="10">
        <f>IF($D164="","",IFERROR(INDEX(Objectius!$D$2:$D$183,MATCH($D164,Objectius!$A$2:$A$183,0)),""))</f>
        <v/>
      </c>
      <c r="J164" s="11" t="n"/>
      <c r="K164" s="11" t="n"/>
      <c r="L164" s="11" t="n"/>
      <c r="M164" s="12" t="n"/>
      <c r="N164" s="11" t="n"/>
      <c r="O164" s="10">
        <f>IF($N164="","",IFERROR(INDEX('PLA ESTRATÈGIC'!$G$4:$G$452,MATCH($N164,'PLA ESTRATÈGIC'!$Q$4:$Q$452,0)),""))</f>
        <v/>
      </c>
      <c r="P164" s="10">
        <f>IF($N164="","",IFERROR(INDEX('PLA ESTRATÈGIC'!$H$4:$H$452,MATCH($N164,'PLA ESTRATÈGIC'!$Q$4:$Q$452,0)),""))</f>
        <v/>
      </c>
      <c r="Q164" s="13" t="n"/>
      <c r="R164" s="11" t="n"/>
      <c r="S164" s="11" t="n"/>
      <c r="T164" s="11" t="n"/>
      <c r="U164" s="11" t="n"/>
      <c r="V164" s="10">
        <f>IF(COUNTA($C164,$D164,$J164,$M164)=0,"",IF(TRIM(IF($C164="","Falta l'actuació. ","")&amp;IF($D164="","Falta l'objectiu. ","")&amp;IF($J164="","Falta el tipus de despesa. ","")&amp;IF(AND($J164&lt;&gt;"",$J164&lt;&gt;"Mitjans propis",$J164&lt;&gt;"Altres",$M164=""),"Falta l'import. ","")&amp;IF(AND($J164="Contracte menor a càrrec del RAE",$K164=""),"Falta la partida RAE. ","")&amp;IF(AND($B164&lt;&gt;"",COUNTIF($B$6:$B$705,$B164)&gt;1),"Codi RAE repetit. ","")&amp;IF(AND($B164&lt;&gt;"",$J164&lt;&gt;"",$J164&lt;&gt;"Contracte menor a càrrec del RAE"),"Té codi RAE però no és de tipus RAE. ","")&amp;IF($N164="","Falta l'indicador del Pla. ","")&amp;IF($R164="","Falta el gestor. ","")&amp;IF($S164="","Falta indicar si és recurrent. ",""))="","✔",TRIM(IF($C164="","Falta l'actuació. ","")&amp;IF($D164="","Falta l'objectiu. ","")&amp;IF($J164="","Falta el tipus de despesa. ","")&amp;IF(AND($J164&lt;&gt;"",$J164&lt;&gt;"Mitjans propis",$J164&lt;&gt;"Altres",$M164=""),"Falta l'import. ","")&amp;IF(AND($J164="Contracte menor a càrrec del RAE",$K164=""),"Falta la partida RAE. ","")&amp;IF(AND($B164&lt;&gt;"",COUNTIF($B$6:$B$705,$B164)&gt;1),"Codi RAE repetit. ","")&amp;IF(AND($B164&lt;&gt;"",$J164&lt;&gt;"",$J164&lt;&gt;"Contracte menor a càrrec del RAE"),"Té codi RAE però no és de tipus RAE. ","")&amp;IF($N164="","Falta l'indicador del Pla. ","")&amp;IF($R164="","Falta el gestor. ","")&amp;IF($S164="","Falta indicar si és recurrent. ",""))))</f>
        <v/>
      </c>
    </row>
    <row r="165">
      <c r="A165" s="10">
        <f>IF($D165="","","27_"&amp;IFERROR(INDEX(Objectius!$E$2:$E$183,MATCH($D165,Objectius!$A$2:$A$183,0)),"??")&amp;"_"&amp;TEXT(COUNTIF($I$6:$I165,$I165),"00"))</f>
        <v/>
      </c>
      <c r="B165" s="11" t="n"/>
      <c r="C165" s="11" t="n"/>
      <c r="D165" s="11" t="n"/>
      <c r="E165" s="10">
        <f>IF($D165="","",IFERROR(INDEX(Objectius!$C$2:$C$183,MATCH($D165,Objectius!$A$2:$A$183,0)),"Objectiu no trobat al Pla"))</f>
        <v/>
      </c>
      <c r="F165" s="11" t="n"/>
      <c r="G165" s="11" t="n"/>
      <c r="H165" s="11" t="n"/>
      <c r="I165" s="10">
        <f>IF($D165="","",IFERROR(INDEX(Objectius!$D$2:$D$183,MATCH($D165,Objectius!$A$2:$A$183,0)),""))</f>
        <v/>
      </c>
      <c r="J165" s="11" t="n"/>
      <c r="K165" s="11" t="n"/>
      <c r="L165" s="11" t="n"/>
      <c r="M165" s="12" t="n"/>
      <c r="N165" s="11" t="n"/>
      <c r="O165" s="10">
        <f>IF($N165="","",IFERROR(INDEX('PLA ESTRATÈGIC'!$G$4:$G$452,MATCH($N165,'PLA ESTRATÈGIC'!$Q$4:$Q$452,0)),""))</f>
        <v/>
      </c>
      <c r="P165" s="10">
        <f>IF($N165="","",IFERROR(INDEX('PLA ESTRATÈGIC'!$H$4:$H$452,MATCH($N165,'PLA ESTRATÈGIC'!$Q$4:$Q$452,0)),""))</f>
        <v/>
      </c>
      <c r="Q165" s="13" t="n"/>
      <c r="R165" s="11" t="n"/>
      <c r="S165" s="11" t="n"/>
      <c r="T165" s="11" t="n"/>
      <c r="U165" s="11" t="n"/>
      <c r="V165" s="10">
        <f>IF(COUNTA($C165,$D165,$J165,$M165)=0,"",IF(TRIM(IF($C165="","Falta l'actuació. ","")&amp;IF($D165="","Falta l'objectiu. ","")&amp;IF($J165="","Falta el tipus de despesa. ","")&amp;IF(AND($J165&lt;&gt;"",$J165&lt;&gt;"Mitjans propis",$J165&lt;&gt;"Altres",$M165=""),"Falta l'import. ","")&amp;IF(AND($J165="Contracte menor a càrrec del RAE",$K165=""),"Falta la partida RAE. ","")&amp;IF(AND($B165&lt;&gt;"",COUNTIF($B$6:$B$705,$B165)&gt;1),"Codi RAE repetit. ","")&amp;IF(AND($B165&lt;&gt;"",$J165&lt;&gt;"",$J165&lt;&gt;"Contracte menor a càrrec del RAE"),"Té codi RAE però no és de tipus RAE. ","")&amp;IF($N165="","Falta l'indicador del Pla. ","")&amp;IF($R165="","Falta el gestor. ","")&amp;IF($S165="","Falta indicar si és recurrent. ",""))="","✔",TRIM(IF($C165="","Falta l'actuació. ","")&amp;IF($D165="","Falta l'objectiu. ","")&amp;IF($J165="","Falta el tipus de despesa. ","")&amp;IF(AND($J165&lt;&gt;"",$J165&lt;&gt;"Mitjans propis",$J165&lt;&gt;"Altres",$M165=""),"Falta l'import. ","")&amp;IF(AND($J165="Contracte menor a càrrec del RAE",$K165=""),"Falta la partida RAE. ","")&amp;IF(AND($B165&lt;&gt;"",COUNTIF($B$6:$B$705,$B165)&gt;1),"Codi RAE repetit. ","")&amp;IF(AND($B165&lt;&gt;"",$J165&lt;&gt;"",$J165&lt;&gt;"Contracte menor a càrrec del RAE"),"Té codi RAE però no és de tipus RAE. ","")&amp;IF($N165="","Falta l'indicador del Pla. ","")&amp;IF($R165="","Falta el gestor. ","")&amp;IF($S165="","Falta indicar si és recurrent. ",""))))</f>
        <v/>
      </c>
    </row>
    <row r="166">
      <c r="A166" s="10">
        <f>IF($D166="","","27_"&amp;IFERROR(INDEX(Objectius!$E$2:$E$183,MATCH($D166,Objectius!$A$2:$A$183,0)),"??")&amp;"_"&amp;TEXT(COUNTIF($I$6:$I166,$I166),"00"))</f>
        <v/>
      </c>
      <c r="B166" s="11" t="n"/>
      <c r="C166" s="11" t="n"/>
      <c r="D166" s="11" t="n"/>
      <c r="E166" s="10">
        <f>IF($D166="","",IFERROR(INDEX(Objectius!$C$2:$C$183,MATCH($D166,Objectius!$A$2:$A$183,0)),"Objectiu no trobat al Pla"))</f>
        <v/>
      </c>
      <c r="F166" s="11" t="n"/>
      <c r="G166" s="11" t="n"/>
      <c r="H166" s="11" t="n"/>
      <c r="I166" s="10">
        <f>IF($D166="","",IFERROR(INDEX(Objectius!$D$2:$D$183,MATCH($D166,Objectius!$A$2:$A$183,0)),""))</f>
        <v/>
      </c>
      <c r="J166" s="11" t="n"/>
      <c r="K166" s="11" t="n"/>
      <c r="L166" s="11" t="n"/>
      <c r="M166" s="12" t="n"/>
      <c r="N166" s="11" t="n"/>
      <c r="O166" s="10">
        <f>IF($N166="","",IFERROR(INDEX('PLA ESTRATÈGIC'!$G$4:$G$452,MATCH($N166,'PLA ESTRATÈGIC'!$Q$4:$Q$452,0)),""))</f>
        <v/>
      </c>
      <c r="P166" s="10">
        <f>IF($N166="","",IFERROR(INDEX('PLA ESTRATÈGIC'!$H$4:$H$452,MATCH($N166,'PLA ESTRATÈGIC'!$Q$4:$Q$452,0)),""))</f>
        <v/>
      </c>
      <c r="Q166" s="13" t="n"/>
      <c r="R166" s="11" t="n"/>
      <c r="S166" s="11" t="n"/>
      <c r="T166" s="11" t="n"/>
      <c r="U166" s="11" t="n"/>
      <c r="V166" s="10">
        <f>IF(COUNTA($C166,$D166,$J166,$M166)=0,"",IF(TRIM(IF($C166="","Falta l'actuació. ","")&amp;IF($D166="","Falta l'objectiu. ","")&amp;IF($J166="","Falta el tipus de despesa. ","")&amp;IF(AND($J166&lt;&gt;"",$J166&lt;&gt;"Mitjans propis",$J166&lt;&gt;"Altres",$M166=""),"Falta l'import. ","")&amp;IF(AND($J166="Contracte menor a càrrec del RAE",$K166=""),"Falta la partida RAE. ","")&amp;IF(AND($B166&lt;&gt;"",COUNTIF($B$6:$B$705,$B166)&gt;1),"Codi RAE repetit. ","")&amp;IF(AND($B166&lt;&gt;"",$J166&lt;&gt;"",$J166&lt;&gt;"Contracte menor a càrrec del RAE"),"Té codi RAE però no és de tipus RAE. ","")&amp;IF($N166="","Falta l'indicador del Pla. ","")&amp;IF($R166="","Falta el gestor. ","")&amp;IF($S166="","Falta indicar si és recurrent. ",""))="","✔",TRIM(IF($C166="","Falta l'actuació. ","")&amp;IF($D166="","Falta l'objectiu. ","")&amp;IF($J166="","Falta el tipus de despesa. ","")&amp;IF(AND($J166&lt;&gt;"",$J166&lt;&gt;"Mitjans propis",$J166&lt;&gt;"Altres",$M166=""),"Falta l'import. ","")&amp;IF(AND($J166="Contracte menor a càrrec del RAE",$K166=""),"Falta la partida RAE. ","")&amp;IF(AND($B166&lt;&gt;"",COUNTIF($B$6:$B$705,$B166)&gt;1),"Codi RAE repetit. ","")&amp;IF(AND($B166&lt;&gt;"",$J166&lt;&gt;"",$J166&lt;&gt;"Contracte menor a càrrec del RAE"),"Té codi RAE però no és de tipus RAE. ","")&amp;IF($N166="","Falta l'indicador del Pla. ","")&amp;IF($R166="","Falta el gestor. ","")&amp;IF($S166="","Falta indicar si és recurrent. ",""))))</f>
        <v/>
      </c>
    </row>
    <row r="167">
      <c r="A167" s="10">
        <f>IF($D167="","","27_"&amp;IFERROR(INDEX(Objectius!$E$2:$E$183,MATCH($D167,Objectius!$A$2:$A$183,0)),"??")&amp;"_"&amp;TEXT(COUNTIF($I$6:$I167,$I167),"00"))</f>
        <v/>
      </c>
      <c r="B167" s="11" t="n"/>
      <c r="C167" s="11" t="n"/>
      <c r="D167" s="11" t="n"/>
      <c r="E167" s="10">
        <f>IF($D167="","",IFERROR(INDEX(Objectius!$C$2:$C$183,MATCH($D167,Objectius!$A$2:$A$183,0)),"Objectiu no trobat al Pla"))</f>
        <v/>
      </c>
      <c r="F167" s="11" t="n"/>
      <c r="G167" s="11" t="n"/>
      <c r="H167" s="11" t="n"/>
      <c r="I167" s="10">
        <f>IF($D167="","",IFERROR(INDEX(Objectius!$D$2:$D$183,MATCH($D167,Objectius!$A$2:$A$183,0)),""))</f>
        <v/>
      </c>
      <c r="J167" s="11" t="n"/>
      <c r="K167" s="11" t="n"/>
      <c r="L167" s="11" t="n"/>
      <c r="M167" s="12" t="n"/>
      <c r="N167" s="11" t="n"/>
      <c r="O167" s="10">
        <f>IF($N167="","",IFERROR(INDEX('PLA ESTRATÈGIC'!$G$4:$G$452,MATCH($N167,'PLA ESTRATÈGIC'!$Q$4:$Q$452,0)),""))</f>
        <v/>
      </c>
      <c r="P167" s="10">
        <f>IF($N167="","",IFERROR(INDEX('PLA ESTRATÈGIC'!$H$4:$H$452,MATCH($N167,'PLA ESTRATÈGIC'!$Q$4:$Q$452,0)),""))</f>
        <v/>
      </c>
      <c r="Q167" s="13" t="n"/>
      <c r="R167" s="11" t="n"/>
      <c r="S167" s="11" t="n"/>
      <c r="T167" s="11" t="n"/>
      <c r="U167" s="11" t="n"/>
      <c r="V167" s="10">
        <f>IF(COUNTA($C167,$D167,$J167,$M167)=0,"",IF(TRIM(IF($C167="","Falta l'actuació. ","")&amp;IF($D167="","Falta l'objectiu. ","")&amp;IF($J167="","Falta el tipus de despesa. ","")&amp;IF(AND($J167&lt;&gt;"",$J167&lt;&gt;"Mitjans propis",$J167&lt;&gt;"Altres",$M167=""),"Falta l'import. ","")&amp;IF(AND($J167="Contracte menor a càrrec del RAE",$K167=""),"Falta la partida RAE. ","")&amp;IF(AND($B167&lt;&gt;"",COUNTIF($B$6:$B$705,$B167)&gt;1),"Codi RAE repetit. ","")&amp;IF(AND($B167&lt;&gt;"",$J167&lt;&gt;"",$J167&lt;&gt;"Contracte menor a càrrec del RAE"),"Té codi RAE però no és de tipus RAE. ","")&amp;IF($N167="","Falta l'indicador del Pla. ","")&amp;IF($R167="","Falta el gestor. ","")&amp;IF($S167="","Falta indicar si és recurrent. ",""))="","✔",TRIM(IF($C167="","Falta l'actuació. ","")&amp;IF($D167="","Falta l'objectiu. ","")&amp;IF($J167="","Falta el tipus de despesa. ","")&amp;IF(AND($J167&lt;&gt;"",$J167&lt;&gt;"Mitjans propis",$J167&lt;&gt;"Altres",$M167=""),"Falta l'import. ","")&amp;IF(AND($J167="Contracte menor a càrrec del RAE",$K167=""),"Falta la partida RAE. ","")&amp;IF(AND($B167&lt;&gt;"",COUNTIF($B$6:$B$705,$B167)&gt;1),"Codi RAE repetit. ","")&amp;IF(AND($B167&lt;&gt;"",$J167&lt;&gt;"",$J167&lt;&gt;"Contracte menor a càrrec del RAE"),"Té codi RAE però no és de tipus RAE. ","")&amp;IF($N167="","Falta l'indicador del Pla. ","")&amp;IF($R167="","Falta el gestor. ","")&amp;IF($S167="","Falta indicar si és recurrent. ",""))))</f>
        <v/>
      </c>
    </row>
    <row r="168">
      <c r="A168" s="10">
        <f>IF($D168="","","27_"&amp;IFERROR(INDEX(Objectius!$E$2:$E$183,MATCH($D168,Objectius!$A$2:$A$183,0)),"??")&amp;"_"&amp;TEXT(COUNTIF($I$6:$I168,$I168),"00"))</f>
        <v/>
      </c>
      <c r="B168" s="11" t="n"/>
      <c r="C168" s="11" t="n"/>
      <c r="D168" s="11" t="n"/>
      <c r="E168" s="10">
        <f>IF($D168="","",IFERROR(INDEX(Objectius!$C$2:$C$183,MATCH($D168,Objectius!$A$2:$A$183,0)),"Objectiu no trobat al Pla"))</f>
        <v/>
      </c>
      <c r="F168" s="11" t="n"/>
      <c r="G168" s="11" t="n"/>
      <c r="H168" s="11" t="n"/>
      <c r="I168" s="10">
        <f>IF($D168="","",IFERROR(INDEX(Objectius!$D$2:$D$183,MATCH($D168,Objectius!$A$2:$A$183,0)),""))</f>
        <v/>
      </c>
      <c r="J168" s="11" t="n"/>
      <c r="K168" s="11" t="n"/>
      <c r="L168" s="11" t="n"/>
      <c r="M168" s="12" t="n"/>
      <c r="N168" s="11" t="n"/>
      <c r="O168" s="10">
        <f>IF($N168="","",IFERROR(INDEX('PLA ESTRATÈGIC'!$G$4:$G$452,MATCH($N168,'PLA ESTRATÈGIC'!$Q$4:$Q$452,0)),""))</f>
        <v/>
      </c>
      <c r="P168" s="10">
        <f>IF($N168="","",IFERROR(INDEX('PLA ESTRATÈGIC'!$H$4:$H$452,MATCH($N168,'PLA ESTRATÈGIC'!$Q$4:$Q$452,0)),""))</f>
        <v/>
      </c>
      <c r="Q168" s="13" t="n"/>
      <c r="R168" s="11" t="n"/>
      <c r="S168" s="11" t="n"/>
      <c r="T168" s="11" t="n"/>
      <c r="U168" s="11" t="n"/>
      <c r="V168" s="10">
        <f>IF(COUNTA($C168,$D168,$J168,$M168)=0,"",IF(TRIM(IF($C168="","Falta l'actuació. ","")&amp;IF($D168="","Falta l'objectiu. ","")&amp;IF($J168="","Falta el tipus de despesa. ","")&amp;IF(AND($J168&lt;&gt;"",$J168&lt;&gt;"Mitjans propis",$J168&lt;&gt;"Altres",$M168=""),"Falta l'import. ","")&amp;IF(AND($J168="Contracte menor a càrrec del RAE",$K168=""),"Falta la partida RAE. ","")&amp;IF(AND($B168&lt;&gt;"",COUNTIF($B$6:$B$705,$B168)&gt;1),"Codi RAE repetit. ","")&amp;IF(AND($B168&lt;&gt;"",$J168&lt;&gt;"",$J168&lt;&gt;"Contracte menor a càrrec del RAE"),"Té codi RAE però no és de tipus RAE. ","")&amp;IF($N168="","Falta l'indicador del Pla. ","")&amp;IF($R168="","Falta el gestor. ","")&amp;IF($S168="","Falta indicar si és recurrent. ",""))="","✔",TRIM(IF($C168="","Falta l'actuació. ","")&amp;IF($D168="","Falta l'objectiu. ","")&amp;IF($J168="","Falta el tipus de despesa. ","")&amp;IF(AND($J168&lt;&gt;"",$J168&lt;&gt;"Mitjans propis",$J168&lt;&gt;"Altres",$M168=""),"Falta l'import. ","")&amp;IF(AND($J168="Contracte menor a càrrec del RAE",$K168=""),"Falta la partida RAE. ","")&amp;IF(AND($B168&lt;&gt;"",COUNTIF($B$6:$B$705,$B168)&gt;1),"Codi RAE repetit. ","")&amp;IF(AND($B168&lt;&gt;"",$J168&lt;&gt;"",$J168&lt;&gt;"Contracte menor a càrrec del RAE"),"Té codi RAE però no és de tipus RAE. ","")&amp;IF($N168="","Falta l'indicador del Pla. ","")&amp;IF($R168="","Falta el gestor. ","")&amp;IF($S168="","Falta indicar si és recurrent. ",""))))</f>
        <v/>
      </c>
    </row>
    <row r="169">
      <c r="A169" s="10">
        <f>IF($D169="","","27_"&amp;IFERROR(INDEX(Objectius!$E$2:$E$183,MATCH($D169,Objectius!$A$2:$A$183,0)),"??")&amp;"_"&amp;TEXT(COUNTIF($I$6:$I169,$I169),"00"))</f>
        <v/>
      </c>
      <c r="B169" s="11" t="n"/>
      <c r="C169" s="11" t="n"/>
      <c r="D169" s="11" t="n"/>
      <c r="E169" s="10">
        <f>IF($D169="","",IFERROR(INDEX(Objectius!$C$2:$C$183,MATCH($D169,Objectius!$A$2:$A$183,0)),"Objectiu no trobat al Pla"))</f>
        <v/>
      </c>
      <c r="F169" s="11" t="n"/>
      <c r="G169" s="11" t="n"/>
      <c r="H169" s="11" t="n"/>
      <c r="I169" s="10">
        <f>IF($D169="","",IFERROR(INDEX(Objectius!$D$2:$D$183,MATCH($D169,Objectius!$A$2:$A$183,0)),""))</f>
        <v/>
      </c>
      <c r="J169" s="11" t="n"/>
      <c r="K169" s="11" t="n"/>
      <c r="L169" s="11" t="n"/>
      <c r="M169" s="12" t="n"/>
      <c r="N169" s="11" t="n"/>
      <c r="O169" s="10">
        <f>IF($N169="","",IFERROR(INDEX('PLA ESTRATÈGIC'!$G$4:$G$452,MATCH($N169,'PLA ESTRATÈGIC'!$Q$4:$Q$452,0)),""))</f>
        <v/>
      </c>
      <c r="P169" s="10">
        <f>IF($N169="","",IFERROR(INDEX('PLA ESTRATÈGIC'!$H$4:$H$452,MATCH($N169,'PLA ESTRATÈGIC'!$Q$4:$Q$452,0)),""))</f>
        <v/>
      </c>
      <c r="Q169" s="13" t="n"/>
      <c r="R169" s="11" t="n"/>
      <c r="S169" s="11" t="n"/>
      <c r="T169" s="11" t="n"/>
      <c r="U169" s="11" t="n"/>
      <c r="V169" s="10">
        <f>IF(COUNTA($C169,$D169,$J169,$M169)=0,"",IF(TRIM(IF($C169="","Falta l'actuació. ","")&amp;IF($D169="","Falta l'objectiu. ","")&amp;IF($J169="","Falta el tipus de despesa. ","")&amp;IF(AND($J169&lt;&gt;"",$J169&lt;&gt;"Mitjans propis",$J169&lt;&gt;"Altres",$M169=""),"Falta l'import. ","")&amp;IF(AND($J169="Contracte menor a càrrec del RAE",$K169=""),"Falta la partida RAE. ","")&amp;IF(AND($B169&lt;&gt;"",COUNTIF($B$6:$B$705,$B169)&gt;1),"Codi RAE repetit. ","")&amp;IF(AND($B169&lt;&gt;"",$J169&lt;&gt;"",$J169&lt;&gt;"Contracte menor a càrrec del RAE"),"Té codi RAE però no és de tipus RAE. ","")&amp;IF($N169="","Falta l'indicador del Pla. ","")&amp;IF($R169="","Falta el gestor. ","")&amp;IF($S169="","Falta indicar si és recurrent. ",""))="","✔",TRIM(IF($C169="","Falta l'actuació. ","")&amp;IF($D169="","Falta l'objectiu. ","")&amp;IF($J169="","Falta el tipus de despesa. ","")&amp;IF(AND($J169&lt;&gt;"",$J169&lt;&gt;"Mitjans propis",$J169&lt;&gt;"Altres",$M169=""),"Falta l'import. ","")&amp;IF(AND($J169="Contracte menor a càrrec del RAE",$K169=""),"Falta la partida RAE. ","")&amp;IF(AND($B169&lt;&gt;"",COUNTIF($B$6:$B$705,$B169)&gt;1),"Codi RAE repetit. ","")&amp;IF(AND($B169&lt;&gt;"",$J169&lt;&gt;"",$J169&lt;&gt;"Contracte menor a càrrec del RAE"),"Té codi RAE però no és de tipus RAE. ","")&amp;IF($N169="","Falta l'indicador del Pla. ","")&amp;IF($R169="","Falta el gestor. ","")&amp;IF($S169="","Falta indicar si és recurrent. ",""))))</f>
        <v/>
      </c>
    </row>
    <row r="170">
      <c r="A170" s="10">
        <f>IF($D170="","","27_"&amp;IFERROR(INDEX(Objectius!$E$2:$E$183,MATCH($D170,Objectius!$A$2:$A$183,0)),"??")&amp;"_"&amp;TEXT(COUNTIF($I$6:$I170,$I170),"00"))</f>
        <v/>
      </c>
      <c r="B170" s="11" t="n"/>
      <c r="C170" s="11" t="n"/>
      <c r="D170" s="11" t="n"/>
      <c r="E170" s="10">
        <f>IF($D170="","",IFERROR(INDEX(Objectius!$C$2:$C$183,MATCH($D170,Objectius!$A$2:$A$183,0)),"Objectiu no trobat al Pla"))</f>
        <v/>
      </c>
      <c r="F170" s="11" t="n"/>
      <c r="G170" s="11" t="n"/>
      <c r="H170" s="11" t="n"/>
      <c r="I170" s="10">
        <f>IF($D170="","",IFERROR(INDEX(Objectius!$D$2:$D$183,MATCH($D170,Objectius!$A$2:$A$183,0)),""))</f>
        <v/>
      </c>
      <c r="J170" s="11" t="n"/>
      <c r="K170" s="11" t="n"/>
      <c r="L170" s="11" t="n"/>
      <c r="M170" s="12" t="n"/>
      <c r="N170" s="11" t="n"/>
      <c r="O170" s="10">
        <f>IF($N170="","",IFERROR(INDEX('PLA ESTRATÈGIC'!$G$4:$G$452,MATCH($N170,'PLA ESTRATÈGIC'!$Q$4:$Q$452,0)),""))</f>
        <v/>
      </c>
      <c r="P170" s="10">
        <f>IF($N170="","",IFERROR(INDEX('PLA ESTRATÈGIC'!$H$4:$H$452,MATCH($N170,'PLA ESTRATÈGIC'!$Q$4:$Q$452,0)),""))</f>
        <v/>
      </c>
      <c r="Q170" s="13" t="n"/>
      <c r="R170" s="11" t="n"/>
      <c r="S170" s="11" t="n"/>
      <c r="T170" s="11" t="n"/>
      <c r="U170" s="11" t="n"/>
      <c r="V170" s="10">
        <f>IF(COUNTA($C170,$D170,$J170,$M170)=0,"",IF(TRIM(IF($C170="","Falta l'actuació. ","")&amp;IF($D170="","Falta l'objectiu. ","")&amp;IF($J170="","Falta el tipus de despesa. ","")&amp;IF(AND($J170&lt;&gt;"",$J170&lt;&gt;"Mitjans propis",$J170&lt;&gt;"Altres",$M170=""),"Falta l'import. ","")&amp;IF(AND($J170="Contracte menor a càrrec del RAE",$K170=""),"Falta la partida RAE. ","")&amp;IF(AND($B170&lt;&gt;"",COUNTIF($B$6:$B$705,$B170)&gt;1),"Codi RAE repetit. ","")&amp;IF(AND($B170&lt;&gt;"",$J170&lt;&gt;"",$J170&lt;&gt;"Contracte menor a càrrec del RAE"),"Té codi RAE però no és de tipus RAE. ","")&amp;IF($N170="","Falta l'indicador del Pla. ","")&amp;IF($R170="","Falta el gestor. ","")&amp;IF($S170="","Falta indicar si és recurrent. ",""))="","✔",TRIM(IF($C170="","Falta l'actuació. ","")&amp;IF($D170="","Falta l'objectiu. ","")&amp;IF($J170="","Falta el tipus de despesa. ","")&amp;IF(AND($J170&lt;&gt;"",$J170&lt;&gt;"Mitjans propis",$J170&lt;&gt;"Altres",$M170=""),"Falta l'import. ","")&amp;IF(AND($J170="Contracte menor a càrrec del RAE",$K170=""),"Falta la partida RAE. ","")&amp;IF(AND($B170&lt;&gt;"",COUNTIF($B$6:$B$705,$B170)&gt;1),"Codi RAE repetit. ","")&amp;IF(AND($B170&lt;&gt;"",$J170&lt;&gt;"",$J170&lt;&gt;"Contracte menor a càrrec del RAE"),"Té codi RAE però no és de tipus RAE. ","")&amp;IF($N170="","Falta l'indicador del Pla. ","")&amp;IF($R170="","Falta el gestor. ","")&amp;IF($S170="","Falta indicar si és recurrent. ",""))))</f>
        <v/>
      </c>
    </row>
    <row r="171">
      <c r="A171" s="10">
        <f>IF($D171="","","27_"&amp;IFERROR(INDEX(Objectius!$E$2:$E$183,MATCH($D171,Objectius!$A$2:$A$183,0)),"??")&amp;"_"&amp;TEXT(COUNTIF($I$6:$I171,$I171),"00"))</f>
        <v/>
      </c>
      <c r="B171" s="11" t="n"/>
      <c r="C171" s="11" t="n"/>
      <c r="D171" s="11" t="n"/>
      <c r="E171" s="10">
        <f>IF($D171="","",IFERROR(INDEX(Objectius!$C$2:$C$183,MATCH($D171,Objectius!$A$2:$A$183,0)),"Objectiu no trobat al Pla"))</f>
        <v/>
      </c>
      <c r="F171" s="11" t="n"/>
      <c r="G171" s="11" t="n"/>
      <c r="H171" s="11" t="n"/>
      <c r="I171" s="10">
        <f>IF($D171="","",IFERROR(INDEX(Objectius!$D$2:$D$183,MATCH($D171,Objectius!$A$2:$A$183,0)),""))</f>
        <v/>
      </c>
      <c r="J171" s="11" t="n"/>
      <c r="K171" s="11" t="n"/>
      <c r="L171" s="11" t="n"/>
      <c r="M171" s="12" t="n"/>
      <c r="N171" s="11" t="n"/>
      <c r="O171" s="10">
        <f>IF($N171="","",IFERROR(INDEX('PLA ESTRATÈGIC'!$G$4:$G$452,MATCH($N171,'PLA ESTRATÈGIC'!$Q$4:$Q$452,0)),""))</f>
        <v/>
      </c>
      <c r="P171" s="10">
        <f>IF($N171="","",IFERROR(INDEX('PLA ESTRATÈGIC'!$H$4:$H$452,MATCH($N171,'PLA ESTRATÈGIC'!$Q$4:$Q$452,0)),""))</f>
        <v/>
      </c>
      <c r="Q171" s="13" t="n"/>
      <c r="R171" s="11" t="n"/>
      <c r="S171" s="11" t="n"/>
      <c r="T171" s="11" t="n"/>
      <c r="U171" s="11" t="n"/>
      <c r="V171" s="10">
        <f>IF(COUNTA($C171,$D171,$J171,$M171)=0,"",IF(TRIM(IF($C171="","Falta l'actuació. ","")&amp;IF($D171="","Falta l'objectiu. ","")&amp;IF($J171="","Falta el tipus de despesa. ","")&amp;IF(AND($J171&lt;&gt;"",$J171&lt;&gt;"Mitjans propis",$J171&lt;&gt;"Altres",$M171=""),"Falta l'import. ","")&amp;IF(AND($J171="Contracte menor a càrrec del RAE",$K171=""),"Falta la partida RAE. ","")&amp;IF(AND($B171&lt;&gt;"",COUNTIF($B$6:$B$705,$B171)&gt;1),"Codi RAE repetit. ","")&amp;IF(AND($B171&lt;&gt;"",$J171&lt;&gt;"",$J171&lt;&gt;"Contracte menor a càrrec del RAE"),"Té codi RAE però no és de tipus RAE. ","")&amp;IF($N171="","Falta l'indicador del Pla. ","")&amp;IF($R171="","Falta el gestor. ","")&amp;IF($S171="","Falta indicar si és recurrent. ",""))="","✔",TRIM(IF($C171="","Falta l'actuació. ","")&amp;IF($D171="","Falta l'objectiu. ","")&amp;IF($J171="","Falta el tipus de despesa. ","")&amp;IF(AND($J171&lt;&gt;"",$J171&lt;&gt;"Mitjans propis",$J171&lt;&gt;"Altres",$M171=""),"Falta l'import. ","")&amp;IF(AND($J171="Contracte menor a càrrec del RAE",$K171=""),"Falta la partida RAE. ","")&amp;IF(AND($B171&lt;&gt;"",COUNTIF($B$6:$B$705,$B171)&gt;1),"Codi RAE repetit. ","")&amp;IF(AND($B171&lt;&gt;"",$J171&lt;&gt;"",$J171&lt;&gt;"Contracte menor a càrrec del RAE"),"Té codi RAE però no és de tipus RAE. ","")&amp;IF($N171="","Falta l'indicador del Pla. ","")&amp;IF($R171="","Falta el gestor. ","")&amp;IF($S171="","Falta indicar si és recurrent. ",""))))</f>
        <v/>
      </c>
    </row>
    <row r="172">
      <c r="A172" s="10">
        <f>IF($D172="","","27_"&amp;IFERROR(INDEX(Objectius!$E$2:$E$183,MATCH($D172,Objectius!$A$2:$A$183,0)),"??")&amp;"_"&amp;TEXT(COUNTIF($I$6:$I172,$I172),"00"))</f>
        <v/>
      </c>
      <c r="B172" s="11" t="n"/>
      <c r="C172" s="11" t="n"/>
      <c r="D172" s="11" t="n"/>
      <c r="E172" s="10">
        <f>IF($D172="","",IFERROR(INDEX(Objectius!$C$2:$C$183,MATCH($D172,Objectius!$A$2:$A$183,0)),"Objectiu no trobat al Pla"))</f>
        <v/>
      </c>
      <c r="F172" s="11" t="n"/>
      <c r="G172" s="11" t="n"/>
      <c r="H172" s="11" t="n"/>
      <c r="I172" s="10">
        <f>IF($D172="","",IFERROR(INDEX(Objectius!$D$2:$D$183,MATCH($D172,Objectius!$A$2:$A$183,0)),""))</f>
        <v/>
      </c>
      <c r="J172" s="11" t="n"/>
      <c r="K172" s="11" t="n"/>
      <c r="L172" s="11" t="n"/>
      <c r="M172" s="12" t="n"/>
      <c r="N172" s="11" t="n"/>
      <c r="O172" s="10">
        <f>IF($N172="","",IFERROR(INDEX('PLA ESTRATÈGIC'!$G$4:$G$452,MATCH($N172,'PLA ESTRATÈGIC'!$Q$4:$Q$452,0)),""))</f>
        <v/>
      </c>
      <c r="P172" s="10">
        <f>IF($N172="","",IFERROR(INDEX('PLA ESTRATÈGIC'!$H$4:$H$452,MATCH($N172,'PLA ESTRATÈGIC'!$Q$4:$Q$452,0)),""))</f>
        <v/>
      </c>
      <c r="Q172" s="13" t="n"/>
      <c r="R172" s="11" t="n"/>
      <c r="S172" s="11" t="n"/>
      <c r="T172" s="11" t="n"/>
      <c r="U172" s="11" t="n"/>
      <c r="V172" s="10">
        <f>IF(COUNTA($C172,$D172,$J172,$M172)=0,"",IF(TRIM(IF($C172="","Falta l'actuació. ","")&amp;IF($D172="","Falta l'objectiu. ","")&amp;IF($J172="","Falta el tipus de despesa. ","")&amp;IF(AND($J172&lt;&gt;"",$J172&lt;&gt;"Mitjans propis",$J172&lt;&gt;"Altres",$M172=""),"Falta l'import. ","")&amp;IF(AND($J172="Contracte menor a càrrec del RAE",$K172=""),"Falta la partida RAE. ","")&amp;IF(AND($B172&lt;&gt;"",COUNTIF($B$6:$B$705,$B172)&gt;1),"Codi RAE repetit. ","")&amp;IF(AND($B172&lt;&gt;"",$J172&lt;&gt;"",$J172&lt;&gt;"Contracte menor a càrrec del RAE"),"Té codi RAE però no és de tipus RAE. ","")&amp;IF($N172="","Falta l'indicador del Pla. ","")&amp;IF($R172="","Falta el gestor. ","")&amp;IF($S172="","Falta indicar si és recurrent. ",""))="","✔",TRIM(IF($C172="","Falta l'actuació. ","")&amp;IF($D172="","Falta l'objectiu. ","")&amp;IF($J172="","Falta el tipus de despesa. ","")&amp;IF(AND($J172&lt;&gt;"",$J172&lt;&gt;"Mitjans propis",$J172&lt;&gt;"Altres",$M172=""),"Falta l'import. ","")&amp;IF(AND($J172="Contracte menor a càrrec del RAE",$K172=""),"Falta la partida RAE. ","")&amp;IF(AND($B172&lt;&gt;"",COUNTIF($B$6:$B$705,$B172)&gt;1),"Codi RAE repetit. ","")&amp;IF(AND($B172&lt;&gt;"",$J172&lt;&gt;"",$J172&lt;&gt;"Contracte menor a càrrec del RAE"),"Té codi RAE però no és de tipus RAE. ","")&amp;IF($N172="","Falta l'indicador del Pla. ","")&amp;IF($R172="","Falta el gestor. ","")&amp;IF($S172="","Falta indicar si és recurrent. ",""))))</f>
        <v/>
      </c>
    </row>
    <row r="173">
      <c r="A173" s="10">
        <f>IF($D173="","","27_"&amp;IFERROR(INDEX(Objectius!$E$2:$E$183,MATCH($D173,Objectius!$A$2:$A$183,0)),"??")&amp;"_"&amp;TEXT(COUNTIF($I$6:$I173,$I173),"00"))</f>
        <v/>
      </c>
      <c r="B173" s="11" t="n"/>
      <c r="C173" s="11" t="n"/>
      <c r="D173" s="11" t="n"/>
      <c r="E173" s="10">
        <f>IF($D173="","",IFERROR(INDEX(Objectius!$C$2:$C$183,MATCH($D173,Objectius!$A$2:$A$183,0)),"Objectiu no trobat al Pla"))</f>
        <v/>
      </c>
      <c r="F173" s="11" t="n"/>
      <c r="G173" s="11" t="n"/>
      <c r="H173" s="11" t="n"/>
      <c r="I173" s="10">
        <f>IF($D173="","",IFERROR(INDEX(Objectius!$D$2:$D$183,MATCH($D173,Objectius!$A$2:$A$183,0)),""))</f>
        <v/>
      </c>
      <c r="J173" s="11" t="n"/>
      <c r="K173" s="11" t="n"/>
      <c r="L173" s="11" t="n"/>
      <c r="M173" s="12" t="n"/>
      <c r="N173" s="11" t="n"/>
      <c r="O173" s="10">
        <f>IF($N173="","",IFERROR(INDEX('PLA ESTRATÈGIC'!$G$4:$G$452,MATCH($N173,'PLA ESTRATÈGIC'!$Q$4:$Q$452,0)),""))</f>
        <v/>
      </c>
      <c r="P173" s="10">
        <f>IF($N173="","",IFERROR(INDEX('PLA ESTRATÈGIC'!$H$4:$H$452,MATCH($N173,'PLA ESTRATÈGIC'!$Q$4:$Q$452,0)),""))</f>
        <v/>
      </c>
      <c r="Q173" s="13" t="n"/>
      <c r="R173" s="11" t="n"/>
      <c r="S173" s="11" t="n"/>
      <c r="T173" s="11" t="n"/>
      <c r="U173" s="11" t="n"/>
      <c r="V173" s="10">
        <f>IF(COUNTA($C173,$D173,$J173,$M173)=0,"",IF(TRIM(IF($C173="","Falta l'actuació. ","")&amp;IF($D173="","Falta l'objectiu. ","")&amp;IF($J173="","Falta el tipus de despesa. ","")&amp;IF(AND($J173&lt;&gt;"",$J173&lt;&gt;"Mitjans propis",$J173&lt;&gt;"Altres",$M173=""),"Falta l'import. ","")&amp;IF(AND($J173="Contracte menor a càrrec del RAE",$K173=""),"Falta la partida RAE. ","")&amp;IF(AND($B173&lt;&gt;"",COUNTIF($B$6:$B$705,$B173)&gt;1),"Codi RAE repetit. ","")&amp;IF(AND($B173&lt;&gt;"",$J173&lt;&gt;"",$J173&lt;&gt;"Contracte menor a càrrec del RAE"),"Té codi RAE però no és de tipus RAE. ","")&amp;IF($N173="","Falta l'indicador del Pla. ","")&amp;IF($R173="","Falta el gestor. ","")&amp;IF($S173="","Falta indicar si és recurrent. ",""))="","✔",TRIM(IF($C173="","Falta l'actuació. ","")&amp;IF($D173="","Falta l'objectiu. ","")&amp;IF($J173="","Falta el tipus de despesa. ","")&amp;IF(AND($J173&lt;&gt;"",$J173&lt;&gt;"Mitjans propis",$J173&lt;&gt;"Altres",$M173=""),"Falta l'import. ","")&amp;IF(AND($J173="Contracte menor a càrrec del RAE",$K173=""),"Falta la partida RAE. ","")&amp;IF(AND($B173&lt;&gt;"",COUNTIF($B$6:$B$705,$B173)&gt;1),"Codi RAE repetit. ","")&amp;IF(AND($B173&lt;&gt;"",$J173&lt;&gt;"",$J173&lt;&gt;"Contracte menor a càrrec del RAE"),"Té codi RAE però no és de tipus RAE. ","")&amp;IF($N173="","Falta l'indicador del Pla. ","")&amp;IF($R173="","Falta el gestor. ","")&amp;IF($S173="","Falta indicar si és recurrent. ",""))))</f>
        <v/>
      </c>
    </row>
    <row r="174">
      <c r="A174" s="10">
        <f>IF($D174="","","27_"&amp;IFERROR(INDEX(Objectius!$E$2:$E$183,MATCH($D174,Objectius!$A$2:$A$183,0)),"??")&amp;"_"&amp;TEXT(COUNTIF($I$6:$I174,$I174),"00"))</f>
        <v/>
      </c>
      <c r="B174" s="11" t="n"/>
      <c r="C174" s="11" t="n"/>
      <c r="D174" s="11" t="n"/>
      <c r="E174" s="10">
        <f>IF($D174="","",IFERROR(INDEX(Objectius!$C$2:$C$183,MATCH($D174,Objectius!$A$2:$A$183,0)),"Objectiu no trobat al Pla"))</f>
        <v/>
      </c>
      <c r="F174" s="11" t="n"/>
      <c r="G174" s="11" t="n"/>
      <c r="H174" s="11" t="n"/>
      <c r="I174" s="10">
        <f>IF($D174="","",IFERROR(INDEX(Objectius!$D$2:$D$183,MATCH($D174,Objectius!$A$2:$A$183,0)),""))</f>
        <v/>
      </c>
      <c r="J174" s="11" t="n"/>
      <c r="K174" s="11" t="n"/>
      <c r="L174" s="11" t="n"/>
      <c r="M174" s="12" t="n"/>
      <c r="N174" s="11" t="n"/>
      <c r="O174" s="10">
        <f>IF($N174="","",IFERROR(INDEX('PLA ESTRATÈGIC'!$G$4:$G$452,MATCH($N174,'PLA ESTRATÈGIC'!$Q$4:$Q$452,0)),""))</f>
        <v/>
      </c>
      <c r="P174" s="10">
        <f>IF($N174="","",IFERROR(INDEX('PLA ESTRATÈGIC'!$H$4:$H$452,MATCH($N174,'PLA ESTRATÈGIC'!$Q$4:$Q$452,0)),""))</f>
        <v/>
      </c>
      <c r="Q174" s="13" t="n"/>
      <c r="R174" s="11" t="n"/>
      <c r="S174" s="11" t="n"/>
      <c r="T174" s="11" t="n"/>
      <c r="U174" s="11" t="n"/>
      <c r="V174" s="10">
        <f>IF(COUNTA($C174,$D174,$J174,$M174)=0,"",IF(TRIM(IF($C174="","Falta l'actuació. ","")&amp;IF($D174="","Falta l'objectiu. ","")&amp;IF($J174="","Falta el tipus de despesa. ","")&amp;IF(AND($J174&lt;&gt;"",$J174&lt;&gt;"Mitjans propis",$J174&lt;&gt;"Altres",$M174=""),"Falta l'import. ","")&amp;IF(AND($J174="Contracte menor a càrrec del RAE",$K174=""),"Falta la partida RAE. ","")&amp;IF(AND($B174&lt;&gt;"",COUNTIF($B$6:$B$705,$B174)&gt;1),"Codi RAE repetit. ","")&amp;IF(AND($B174&lt;&gt;"",$J174&lt;&gt;"",$J174&lt;&gt;"Contracte menor a càrrec del RAE"),"Té codi RAE però no és de tipus RAE. ","")&amp;IF($N174="","Falta l'indicador del Pla. ","")&amp;IF($R174="","Falta el gestor. ","")&amp;IF($S174="","Falta indicar si és recurrent. ",""))="","✔",TRIM(IF($C174="","Falta l'actuació. ","")&amp;IF($D174="","Falta l'objectiu. ","")&amp;IF($J174="","Falta el tipus de despesa. ","")&amp;IF(AND($J174&lt;&gt;"",$J174&lt;&gt;"Mitjans propis",$J174&lt;&gt;"Altres",$M174=""),"Falta l'import. ","")&amp;IF(AND($J174="Contracte menor a càrrec del RAE",$K174=""),"Falta la partida RAE. ","")&amp;IF(AND($B174&lt;&gt;"",COUNTIF($B$6:$B$705,$B174)&gt;1),"Codi RAE repetit. ","")&amp;IF(AND($B174&lt;&gt;"",$J174&lt;&gt;"",$J174&lt;&gt;"Contracte menor a càrrec del RAE"),"Té codi RAE però no és de tipus RAE. ","")&amp;IF($N174="","Falta l'indicador del Pla. ","")&amp;IF($R174="","Falta el gestor. ","")&amp;IF($S174="","Falta indicar si és recurrent. ",""))))</f>
        <v/>
      </c>
    </row>
    <row r="175">
      <c r="A175" s="10">
        <f>IF($D175="","","27_"&amp;IFERROR(INDEX(Objectius!$E$2:$E$183,MATCH($D175,Objectius!$A$2:$A$183,0)),"??")&amp;"_"&amp;TEXT(COUNTIF($I$6:$I175,$I175),"00"))</f>
        <v/>
      </c>
      <c r="B175" s="11" t="n"/>
      <c r="C175" s="11" t="n"/>
      <c r="D175" s="11" t="n"/>
      <c r="E175" s="10">
        <f>IF($D175="","",IFERROR(INDEX(Objectius!$C$2:$C$183,MATCH($D175,Objectius!$A$2:$A$183,0)),"Objectiu no trobat al Pla"))</f>
        <v/>
      </c>
      <c r="F175" s="11" t="n"/>
      <c r="G175" s="11" t="n"/>
      <c r="H175" s="11" t="n"/>
      <c r="I175" s="10">
        <f>IF($D175="","",IFERROR(INDEX(Objectius!$D$2:$D$183,MATCH($D175,Objectius!$A$2:$A$183,0)),""))</f>
        <v/>
      </c>
      <c r="J175" s="11" t="n"/>
      <c r="K175" s="11" t="n"/>
      <c r="L175" s="11" t="n"/>
      <c r="M175" s="12" t="n"/>
      <c r="N175" s="11" t="n"/>
      <c r="O175" s="10">
        <f>IF($N175="","",IFERROR(INDEX('PLA ESTRATÈGIC'!$G$4:$G$452,MATCH($N175,'PLA ESTRATÈGIC'!$Q$4:$Q$452,0)),""))</f>
        <v/>
      </c>
      <c r="P175" s="10">
        <f>IF($N175="","",IFERROR(INDEX('PLA ESTRATÈGIC'!$H$4:$H$452,MATCH($N175,'PLA ESTRATÈGIC'!$Q$4:$Q$452,0)),""))</f>
        <v/>
      </c>
      <c r="Q175" s="13" t="n"/>
      <c r="R175" s="11" t="n"/>
      <c r="S175" s="11" t="n"/>
      <c r="T175" s="11" t="n"/>
      <c r="U175" s="11" t="n"/>
      <c r="V175" s="10">
        <f>IF(COUNTA($C175,$D175,$J175,$M175)=0,"",IF(TRIM(IF($C175="","Falta l'actuació. ","")&amp;IF($D175="","Falta l'objectiu. ","")&amp;IF($J175="","Falta el tipus de despesa. ","")&amp;IF(AND($J175&lt;&gt;"",$J175&lt;&gt;"Mitjans propis",$J175&lt;&gt;"Altres",$M175=""),"Falta l'import. ","")&amp;IF(AND($J175="Contracte menor a càrrec del RAE",$K175=""),"Falta la partida RAE. ","")&amp;IF(AND($B175&lt;&gt;"",COUNTIF($B$6:$B$705,$B175)&gt;1),"Codi RAE repetit. ","")&amp;IF(AND($B175&lt;&gt;"",$J175&lt;&gt;"",$J175&lt;&gt;"Contracte menor a càrrec del RAE"),"Té codi RAE però no és de tipus RAE. ","")&amp;IF($N175="","Falta l'indicador del Pla. ","")&amp;IF($R175="","Falta el gestor. ","")&amp;IF($S175="","Falta indicar si és recurrent. ",""))="","✔",TRIM(IF($C175="","Falta l'actuació. ","")&amp;IF($D175="","Falta l'objectiu. ","")&amp;IF($J175="","Falta el tipus de despesa. ","")&amp;IF(AND($J175&lt;&gt;"",$J175&lt;&gt;"Mitjans propis",$J175&lt;&gt;"Altres",$M175=""),"Falta l'import. ","")&amp;IF(AND($J175="Contracte menor a càrrec del RAE",$K175=""),"Falta la partida RAE. ","")&amp;IF(AND($B175&lt;&gt;"",COUNTIF($B$6:$B$705,$B175)&gt;1),"Codi RAE repetit. ","")&amp;IF(AND($B175&lt;&gt;"",$J175&lt;&gt;"",$J175&lt;&gt;"Contracte menor a càrrec del RAE"),"Té codi RAE però no és de tipus RAE. ","")&amp;IF($N175="","Falta l'indicador del Pla. ","")&amp;IF($R175="","Falta el gestor. ","")&amp;IF($S175="","Falta indicar si és recurrent. ",""))))</f>
        <v/>
      </c>
    </row>
    <row r="176">
      <c r="A176" s="10">
        <f>IF($D176="","","27_"&amp;IFERROR(INDEX(Objectius!$E$2:$E$183,MATCH($D176,Objectius!$A$2:$A$183,0)),"??")&amp;"_"&amp;TEXT(COUNTIF($I$6:$I176,$I176),"00"))</f>
        <v/>
      </c>
      <c r="B176" s="11" t="n"/>
      <c r="C176" s="11" t="n"/>
      <c r="D176" s="11" t="n"/>
      <c r="E176" s="10">
        <f>IF($D176="","",IFERROR(INDEX(Objectius!$C$2:$C$183,MATCH($D176,Objectius!$A$2:$A$183,0)),"Objectiu no trobat al Pla"))</f>
        <v/>
      </c>
      <c r="F176" s="11" t="n"/>
      <c r="G176" s="11" t="n"/>
      <c r="H176" s="11" t="n"/>
      <c r="I176" s="10">
        <f>IF($D176="","",IFERROR(INDEX(Objectius!$D$2:$D$183,MATCH($D176,Objectius!$A$2:$A$183,0)),""))</f>
        <v/>
      </c>
      <c r="J176" s="11" t="n"/>
      <c r="K176" s="11" t="n"/>
      <c r="L176" s="11" t="n"/>
      <c r="M176" s="12" t="n"/>
      <c r="N176" s="11" t="n"/>
      <c r="O176" s="10">
        <f>IF($N176="","",IFERROR(INDEX('PLA ESTRATÈGIC'!$G$4:$G$452,MATCH($N176,'PLA ESTRATÈGIC'!$Q$4:$Q$452,0)),""))</f>
        <v/>
      </c>
      <c r="P176" s="10">
        <f>IF($N176="","",IFERROR(INDEX('PLA ESTRATÈGIC'!$H$4:$H$452,MATCH($N176,'PLA ESTRATÈGIC'!$Q$4:$Q$452,0)),""))</f>
        <v/>
      </c>
      <c r="Q176" s="13" t="n"/>
      <c r="R176" s="11" t="n"/>
      <c r="S176" s="11" t="n"/>
      <c r="T176" s="11" t="n"/>
      <c r="U176" s="11" t="n"/>
      <c r="V176" s="10">
        <f>IF(COUNTA($C176,$D176,$J176,$M176)=0,"",IF(TRIM(IF($C176="","Falta l'actuació. ","")&amp;IF($D176="","Falta l'objectiu. ","")&amp;IF($J176="","Falta el tipus de despesa. ","")&amp;IF(AND($J176&lt;&gt;"",$J176&lt;&gt;"Mitjans propis",$J176&lt;&gt;"Altres",$M176=""),"Falta l'import. ","")&amp;IF(AND($J176="Contracte menor a càrrec del RAE",$K176=""),"Falta la partida RAE. ","")&amp;IF(AND($B176&lt;&gt;"",COUNTIF($B$6:$B$705,$B176)&gt;1),"Codi RAE repetit. ","")&amp;IF(AND($B176&lt;&gt;"",$J176&lt;&gt;"",$J176&lt;&gt;"Contracte menor a càrrec del RAE"),"Té codi RAE però no és de tipus RAE. ","")&amp;IF($N176="","Falta l'indicador del Pla. ","")&amp;IF($R176="","Falta el gestor. ","")&amp;IF($S176="","Falta indicar si és recurrent. ",""))="","✔",TRIM(IF($C176="","Falta l'actuació. ","")&amp;IF($D176="","Falta l'objectiu. ","")&amp;IF($J176="","Falta el tipus de despesa. ","")&amp;IF(AND($J176&lt;&gt;"",$J176&lt;&gt;"Mitjans propis",$J176&lt;&gt;"Altres",$M176=""),"Falta l'import. ","")&amp;IF(AND($J176="Contracte menor a càrrec del RAE",$K176=""),"Falta la partida RAE. ","")&amp;IF(AND($B176&lt;&gt;"",COUNTIF($B$6:$B$705,$B176)&gt;1),"Codi RAE repetit. ","")&amp;IF(AND($B176&lt;&gt;"",$J176&lt;&gt;"",$J176&lt;&gt;"Contracte menor a càrrec del RAE"),"Té codi RAE però no és de tipus RAE. ","")&amp;IF($N176="","Falta l'indicador del Pla. ","")&amp;IF($R176="","Falta el gestor. ","")&amp;IF($S176="","Falta indicar si és recurrent. ",""))))</f>
        <v/>
      </c>
    </row>
    <row r="177">
      <c r="A177" s="10">
        <f>IF($D177="","","27_"&amp;IFERROR(INDEX(Objectius!$E$2:$E$183,MATCH($D177,Objectius!$A$2:$A$183,0)),"??")&amp;"_"&amp;TEXT(COUNTIF($I$6:$I177,$I177),"00"))</f>
        <v/>
      </c>
      <c r="B177" s="11" t="n"/>
      <c r="C177" s="11" t="n"/>
      <c r="D177" s="11" t="n"/>
      <c r="E177" s="10">
        <f>IF($D177="","",IFERROR(INDEX(Objectius!$C$2:$C$183,MATCH($D177,Objectius!$A$2:$A$183,0)),"Objectiu no trobat al Pla"))</f>
        <v/>
      </c>
      <c r="F177" s="11" t="n"/>
      <c r="G177" s="11" t="n"/>
      <c r="H177" s="11" t="n"/>
      <c r="I177" s="10">
        <f>IF($D177="","",IFERROR(INDEX(Objectius!$D$2:$D$183,MATCH($D177,Objectius!$A$2:$A$183,0)),""))</f>
        <v/>
      </c>
      <c r="J177" s="11" t="n"/>
      <c r="K177" s="11" t="n"/>
      <c r="L177" s="11" t="n"/>
      <c r="M177" s="12" t="n"/>
      <c r="N177" s="11" t="n"/>
      <c r="O177" s="10">
        <f>IF($N177="","",IFERROR(INDEX('PLA ESTRATÈGIC'!$G$4:$G$452,MATCH($N177,'PLA ESTRATÈGIC'!$Q$4:$Q$452,0)),""))</f>
        <v/>
      </c>
      <c r="P177" s="10">
        <f>IF($N177="","",IFERROR(INDEX('PLA ESTRATÈGIC'!$H$4:$H$452,MATCH($N177,'PLA ESTRATÈGIC'!$Q$4:$Q$452,0)),""))</f>
        <v/>
      </c>
      <c r="Q177" s="13" t="n"/>
      <c r="R177" s="11" t="n"/>
      <c r="S177" s="11" t="n"/>
      <c r="T177" s="11" t="n"/>
      <c r="U177" s="11" t="n"/>
      <c r="V177" s="10">
        <f>IF(COUNTA($C177,$D177,$J177,$M177)=0,"",IF(TRIM(IF($C177="","Falta l'actuació. ","")&amp;IF($D177="","Falta l'objectiu. ","")&amp;IF($J177="","Falta el tipus de despesa. ","")&amp;IF(AND($J177&lt;&gt;"",$J177&lt;&gt;"Mitjans propis",$J177&lt;&gt;"Altres",$M177=""),"Falta l'import. ","")&amp;IF(AND($J177="Contracte menor a càrrec del RAE",$K177=""),"Falta la partida RAE. ","")&amp;IF(AND($B177&lt;&gt;"",COUNTIF($B$6:$B$705,$B177)&gt;1),"Codi RAE repetit. ","")&amp;IF(AND($B177&lt;&gt;"",$J177&lt;&gt;"",$J177&lt;&gt;"Contracte menor a càrrec del RAE"),"Té codi RAE però no és de tipus RAE. ","")&amp;IF($N177="","Falta l'indicador del Pla. ","")&amp;IF($R177="","Falta el gestor. ","")&amp;IF($S177="","Falta indicar si és recurrent. ",""))="","✔",TRIM(IF($C177="","Falta l'actuació. ","")&amp;IF($D177="","Falta l'objectiu. ","")&amp;IF($J177="","Falta el tipus de despesa. ","")&amp;IF(AND($J177&lt;&gt;"",$J177&lt;&gt;"Mitjans propis",$J177&lt;&gt;"Altres",$M177=""),"Falta l'import. ","")&amp;IF(AND($J177="Contracte menor a càrrec del RAE",$K177=""),"Falta la partida RAE. ","")&amp;IF(AND($B177&lt;&gt;"",COUNTIF($B$6:$B$705,$B177)&gt;1),"Codi RAE repetit. ","")&amp;IF(AND($B177&lt;&gt;"",$J177&lt;&gt;"",$J177&lt;&gt;"Contracte menor a càrrec del RAE"),"Té codi RAE però no és de tipus RAE. ","")&amp;IF($N177="","Falta l'indicador del Pla. ","")&amp;IF($R177="","Falta el gestor. ","")&amp;IF($S177="","Falta indicar si és recurrent. ",""))))</f>
        <v/>
      </c>
    </row>
    <row r="178">
      <c r="A178" s="10">
        <f>IF($D178="","","27_"&amp;IFERROR(INDEX(Objectius!$E$2:$E$183,MATCH($D178,Objectius!$A$2:$A$183,0)),"??")&amp;"_"&amp;TEXT(COUNTIF($I$6:$I178,$I178),"00"))</f>
        <v/>
      </c>
      <c r="B178" s="11" t="n"/>
      <c r="C178" s="11" t="n"/>
      <c r="D178" s="11" t="n"/>
      <c r="E178" s="10">
        <f>IF($D178="","",IFERROR(INDEX(Objectius!$C$2:$C$183,MATCH($D178,Objectius!$A$2:$A$183,0)),"Objectiu no trobat al Pla"))</f>
        <v/>
      </c>
      <c r="F178" s="11" t="n"/>
      <c r="G178" s="11" t="n"/>
      <c r="H178" s="11" t="n"/>
      <c r="I178" s="10">
        <f>IF($D178="","",IFERROR(INDEX(Objectius!$D$2:$D$183,MATCH($D178,Objectius!$A$2:$A$183,0)),""))</f>
        <v/>
      </c>
      <c r="J178" s="11" t="n"/>
      <c r="K178" s="11" t="n"/>
      <c r="L178" s="11" t="n"/>
      <c r="M178" s="12" t="n"/>
      <c r="N178" s="11" t="n"/>
      <c r="O178" s="10">
        <f>IF($N178="","",IFERROR(INDEX('PLA ESTRATÈGIC'!$G$4:$G$452,MATCH($N178,'PLA ESTRATÈGIC'!$Q$4:$Q$452,0)),""))</f>
        <v/>
      </c>
      <c r="P178" s="10">
        <f>IF($N178="","",IFERROR(INDEX('PLA ESTRATÈGIC'!$H$4:$H$452,MATCH($N178,'PLA ESTRATÈGIC'!$Q$4:$Q$452,0)),""))</f>
        <v/>
      </c>
      <c r="Q178" s="13" t="n"/>
      <c r="R178" s="11" t="n"/>
      <c r="S178" s="11" t="n"/>
      <c r="T178" s="11" t="n"/>
      <c r="U178" s="11" t="n"/>
      <c r="V178" s="10">
        <f>IF(COUNTA($C178,$D178,$J178,$M178)=0,"",IF(TRIM(IF($C178="","Falta l'actuació. ","")&amp;IF($D178="","Falta l'objectiu. ","")&amp;IF($J178="","Falta el tipus de despesa. ","")&amp;IF(AND($J178&lt;&gt;"",$J178&lt;&gt;"Mitjans propis",$J178&lt;&gt;"Altres",$M178=""),"Falta l'import. ","")&amp;IF(AND($J178="Contracte menor a càrrec del RAE",$K178=""),"Falta la partida RAE. ","")&amp;IF(AND($B178&lt;&gt;"",COUNTIF($B$6:$B$705,$B178)&gt;1),"Codi RAE repetit. ","")&amp;IF(AND($B178&lt;&gt;"",$J178&lt;&gt;"",$J178&lt;&gt;"Contracte menor a càrrec del RAE"),"Té codi RAE però no és de tipus RAE. ","")&amp;IF($N178="","Falta l'indicador del Pla. ","")&amp;IF($R178="","Falta el gestor. ","")&amp;IF($S178="","Falta indicar si és recurrent. ",""))="","✔",TRIM(IF($C178="","Falta l'actuació. ","")&amp;IF($D178="","Falta l'objectiu. ","")&amp;IF($J178="","Falta el tipus de despesa. ","")&amp;IF(AND($J178&lt;&gt;"",$J178&lt;&gt;"Mitjans propis",$J178&lt;&gt;"Altres",$M178=""),"Falta l'import. ","")&amp;IF(AND($J178="Contracte menor a càrrec del RAE",$K178=""),"Falta la partida RAE. ","")&amp;IF(AND($B178&lt;&gt;"",COUNTIF($B$6:$B$705,$B178)&gt;1),"Codi RAE repetit. ","")&amp;IF(AND($B178&lt;&gt;"",$J178&lt;&gt;"",$J178&lt;&gt;"Contracte menor a càrrec del RAE"),"Té codi RAE però no és de tipus RAE. ","")&amp;IF($N178="","Falta l'indicador del Pla. ","")&amp;IF($R178="","Falta el gestor. ","")&amp;IF($S178="","Falta indicar si és recurrent. ",""))))</f>
        <v/>
      </c>
    </row>
    <row r="179">
      <c r="A179" s="10">
        <f>IF($D179="","","27_"&amp;IFERROR(INDEX(Objectius!$E$2:$E$183,MATCH($D179,Objectius!$A$2:$A$183,0)),"??")&amp;"_"&amp;TEXT(COUNTIF($I$6:$I179,$I179),"00"))</f>
        <v/>
      </c>
      <c r="B179" s="11" t="n"/>
      <c r="C179" s="11" t="n"/>
      <c r="D179" s="11" t="n"/>
      <c r="E179" s="10">
        <f>IF($D179="","",IFERROR(INDEX(Objectius!$C$2:$C$183,MATCH($D179,Objectius!$A$2:$A$183,0)),"Objectiu no trobat al Pla"))</f>
        <v/>
      </c>
      <c r="F179" s="11" t="n"/>
      <c r="G179" s="11" t="n"/>
      <c r="H179" s="11" t="n"/>
      <c r="I179" s="10">
        <f>IF($D179="","",IFERROR(INDEX(Objectius!$D$2:$D$183,MATCH($D179,Objectius!$A$2:$A$183,0)),""))</f>
        <v/>
      </c>
      <c r="J179" s="11" t="n"/>
      <c r="K179" s="11" t="n"/>
      <c r="L179" s="11" t="n"/>
      <c r="M179" s="12" t="n"/>
      <c r="N179" s="11" t="n"/>
      <c r="O179" s="10">
        <f>IF($N179="","",IFERROR(INDEX('PLA ESTRATÈGIC'!$G$4:$G$452,MATCH($N179,'PLA ESTRATÈGIC'!$Q$4:$Q$452,0)),""))</f>
        <v/>
      </c>
      <c r="P179" s="10">
        <f>IF($N179="","",IFERROR(INDEX('PLA ESTRATÈGIC'!$H$4:$H$452,MATCH($N179,'PLA ESTRATÈGIC'!$Q$4:$Q$452,0)),""))</f>
        <v/>
      </c>
      <c r="Q179" s="13" t="n"/>
      <c r="R179" s="11" t="n"/>
      <c r="S179" s="11" t="n"/>
      <c r="T179" s="11" t="n"/>
      <c r="U179" s="11" t="n"/>
      <c r="V179" s="10">
        <f>IF(COUNTA($C179,$D179,$J179,$M179)=0,"",IF(TRIM(IF($C179="","Falta l'actuació. ","")&amp;IF($D179="","Falta l'objectiu. ","")&amp;IF($J179="","Falta el tipus de despesa. ","")&amp;IF(AND($J179&lt;&gt;"",$J179&lt;&gt;"Mitjans propis",$J179&lt;&gt;"Altres",$M179=""),"Falta l'import. ","")&amp;IF(AND($J179="Contracte menor a càrrec del RAE",$K179=""),"Falta la partida RAE. ","")&amp;IF(AND($B179&lt;&gt;"",COUNTIF($B$6:$B$705,$B179)&gt;1),"Codi RAE repetit. ","")&amp;IF(AND($B179&lt;&gt;"",$J179&lt;&gt;"",$J179&lt;&gt;"Contracte menor a càrrec del RAE"),"Té codi RAE però no és de tipus RAE. ","")&amp;IF($N179="","Falta l'indicador del Pla. ","")&amp;IF($R179="","Falta el gestor. ","")&amp;IF($S179="","Falta indicar si és recurrent. ",""))="","✔",TRIM(IF($C179="","Falta l'actuació. ","")&amp;IF($D179="","Falta l'objectiu. ","")&amp;IF($J179="","Falta el tipus de despesa. ","")&amp;IF(AND($J179&lt;&gt;"",$J179&lt;&gt;"Mitjans propis",$J179&lt;&gt;"Altres",$M179=""),"Falta l'import. ","")&amp;IF(AND($J179="Contracte menor a càrrec del RAE",$K179=""),"Falta la partida RAE. ","")&amp;IF(AND($B179&lt;&gt;"",COUNTIF($B$6:$B$705,$B179)&gt;1),"Codi RAE repetit. ","")&amp;IF(AND($B179&lt;&gt;"",$J179&lt;&gt;"",$J179&lt;&gt;"Contracte menor a càrrec del RAE"),"Té codi RAE però no és de tipus RAE. ","")&amp;IF($N179="","Falta l'indicador del Pla. ","")&amp;IF($R179="","Falta el gestor. ","")&amp;IF($S179="","Falta indicar si és recurrent. ",""))))</f>
        <v/>
      </c>
    </row>
    <row r="180">
      <c r="A180" s="10">
        <f>IF($D180="","","27_"&amp;IFERROR(INDEX(Objectius!$E$2:$E$183,MATCH($D180,Objectius!$A$2:$A$183,0)),"??")&amp;"_"&amp;TEXT(COUNTIF($I$6:$I180,$I180),"00"))</f>
        <v/>
      </c>
      <c r="B180" s="11" t="n"/>
      <c r="C180" s="11" t="n"/>
      <c r="D180" s="11" t="n"/>
      <c r="E180" s="10">
        <f>IF($D180="","",IFERROR(INDEX(Objectius!$C$2:$C$183,MATCH($D180,Objectius!$A$2:$A$183,0)),"Objectiu no trobat al Pla"))</f>
        <v/>
      </c>
      <c r="F180" s="11" t="n"/>
      <c r="G180" s="11" t="n"/>
      <c r="H180" s="11" t="n"/>
      <c r="I180" s="10">
        <f>IF($D180="","",IFERROR(INDEX(Objectius!$D$2:$D$183,MATCH($D180,Objectius!$A$2:$A$183,0)),""))</f>
        <v/>
      </c>
      <c r="J180" s="11" t="n"/>
      <c r="K180" s="11" t="n"/>
      <c r="L180" s="11" t="n"/>
      <c r="M180" s="12" t="n"/>
      <c r="N180" s="11" t="n"/>
      <c r="O180" s="10">
        <f>IF($N180="","",IFERROR(INDEX('PLA ESTRATÈGIC'!$G$4:$G$452,MATCH($N180,'PLA ESTRATÈGIC'!$Q$4:$Q$452,0)),""))</f>
        <v/>
      </c>
      <c r="P180" s="10">
        <f>IF($N180="","",IFERROR(INDEX('PLA ESTRATÈGIC'!$H$4:$H$452,MATCH($N180,'PLA ESTRATÈGIC'!$Q$4:$Q$452,0)),""))</f>
        <v/>
      </c>
      <c r="Q180" s="13" t="n"/>
      <c r="R180" s="11" t="n"/>
      <c r="S180" s="11" t="n"/>
      <c r="T180" s="11" t="n"/>
      <c r="U180" s="11" t="n"/>
      <c r="V180" s="10">
        <f>IF(COUNTA($C180,$D180,$J180,$M180)=0,"",IF(TRIM(IF($C180="","Falta l'actuació. ","")&amp;IF($D180="","Falta l'objectiu. ","")&amp;IF($J180="","Falta el tipus de despesa. ","")&amp;IF(AND($J180&lt;&gt;"",$J180&lt;&gt;"Mitjans propis",$J180&lt;&gt;"Altres",$M180=""),"Falta l'import. ","")&amp;IF(AND($J180="Contracte menor a càrrec del RAE",$K180=""),"Falta la partida RAE. ","")&amp;IF(AND($B180&lt;&gt;"",COUNTIF($B$6:$B$705,$B180)&gt;1),"Codi RAE repetit. ","")&amp;IF(AND($B180&lt;&gt;"",$J180&lt;&gt;"",$J180&lt;&gt;"Contracte menor a càrrec del RAE"),"Té codi RAE però no és de tipus RAE. ","")&amp;IF($N180="","Falta l'indicador del Pla. ","")&amp;IF($R180="","Falta el gestor. ","")&amp;IF($S180="","Falta indicar si és recurrent. ",""))="","✔",TRIM(IF($C180="","Falta l'actuació. ","")&amp;IF($D180="","Falta l'objectiu. ","")&amp;IF($J180="","Falta el tipus de despesa. ","")&amp;IF(AND($J180&lt;&gt;"",$J180&lt;&gt;"Mitjans propis",$J180&lt;&gt;"Altres",$M180=""),"Falta l'import. ","")&amp;IF(AND($J180="Contracte menor a càrrec del RAE",$K180=""),"Falta la partida RAE. ","")&amp;IF(AND($B180&lt;&gt;"",COUNTIF($B$6:$B$705,$B180)&gt;1),"Codi RAE repetit. ","")&amp;IF(AND($B180&lt;&gt;"",$J180&lt;&gt;"",$J180&lt;&gt;"Contracte menor a càrrec del RAE"),"Té codi RAE però no és de tipus RAE. ","")&amp;IF($N180="","Falta l'indicador del Pla. ","")&amp;IF($R180="","Falta el gestor. ","")&amp;IF($S180="","Falta indicar si és recurrent. ",""))))</f>
        <v/>
      </c>
    </row>
    <row r="181">
      <c r="A181" s="10">
        <f>IF($D181="","","27_"&amp;IFERROR(INDEX(Objectius!$E$2:$E$183,MATCH($D181,Objectius!$A$2:$A$183,0)),"??")&amp;"_"&amp;TEXT(COUNTIF($I$6:$I181,$I181),"00"))</f>
        <v/>
      </c>
      <c r="B181" s="11" t="n"/>
      <c r="C181" s="11" t="n"/>
      <c r="D181" s="11" t="n"/>
      <c r="E181" s="10">
        <f>IF($D181="","",IFERROR(INDEX(Objectius!$C$2:$C$183,MATCH($D181,Objectius!$A$2:$A$183,0)),"Objectiu no trobat al Pla"))</f>
        <v/>
      </c>
      <c r="F181" s="11" t="n"/>
      <c r="G181" s="11" t="n"/>
      <c r="H181" s="11" t="n"/>
      <c r="I181" s="10">
        <f>IF($D181="","",IFERROR(INDEX(Objectius!$D$2:$D$183,MATCH($D181,Objectius!$A$2:$A$183,0)),""))</f>
        <v/>
      </c>
      <c r="J181" s="11" t="n"/>
      <c r="K181" s="11" t="n"/>
      <c r="L181" s="11" t="n"/>
      <c r="M181" s="12" t="n"/>
      <c r="N181" s="11" t="n"/>
      <c r="O181" s="10">
        <f>IF($N181="","",IFERROR(INDEX('PLA ESTRATÈGIC'!$G$4:$G$452,MATCH($N181,'PLA ESTRATÈGIC'!$Q$4:$Q$452,0)),""))</f>
        <v/>
      </c>
      <c r="P181" s="10">
        <f>IF($N181="","",IFERROR(INDEX('PLA ESTRATÈGIC'!$H$4:$H$452,MATCH($N181,'PLA ESTRATÈGIC'!$Q$4:$Q$452,0)),""))</f>
        <v/>
      </c>
      <c r="Q181" s="13" t="n"/>
      <c r="R181" s="11" t="n"/>
      <c r="S181" s="11" t="n"/>
      <c r="T181" s="11" t="n"/>
      <c r="U181" s="11" t="n"/>
      <c r="V181" s="10">
        <f>IF(COUNTA($C181,$D181,$J181,$M181)=0,"",IF(TRIM(IF($C181="","Falta l'actuació. ","")&amp;IF($D181="","Falta l'objectiu. ","")&amp;IF($J181="","Falta el tipus de despesa. ","")&amp;IF(AND($J181&lt;&gt;"",$J181&lt;&gt;"Mitjans propis",$J181&lt;&gt;"Altres",$M181=""),"Falta l'import. ","")&amp;IF(AND($J181="Contracte menor a càrrec del RAE",$K181=""),"Falta la partida RAE. ","")&amp;IF(AND($B181&lt;&gt;"",COUNTIF($B$6:$B$705,$B181)&gt;1),"Codi RAE repetit. ","")&amp;IF(AND($B181&lt;&gt;"",$J181&lt;&gt;"",$J181&lt;&gt;"Contracte menor a càrrec del RAE"),"Té codi RAE però no és de tipus RAE. ","")&amp;IF($N181="","Falta l'indicador del Pla. ","")&amp;IF($R181="","Falta el gestor. ","")&amp;IF($S181="","Falta indicar si és recurrent. ",""))="","✔",TRIM(IF($C181="","Falta l'actuació. ","")&amp;IF($D181="","Falta l'objectiu. ","")&amp;IF($J181="","Falta el tipus de despesa. ","")&amp;IF(AND($J181&lt;&gt;"",$J181&lt;&gt;"Mitjans propis",$J181&lt;&gt;"Altres",$M181=""),"Falta l'import. ","")&amp;IF(AND($J181="Contracte menor a càrrec del RAE",$K181=""),"Falta la partida RAE. ","")&amp;IF(AND($B181&lt;&gt;"",COUNTIF($B$6:$B$705,$B181)&gt;1),"Codi RAE repetit. ","")&amp;IF(AND($B181&lt;&gt;"",$J181&lt;&gt;"",$J181&lt;&gt;"Contracte menor a càrrec del RAE"),"Té codi RAE però no és de tipus RAE. ","")&amp;IF($N181="","Falta l'indicador del Pla. ","")&amp;IF($R181="","Falta el gestor. ","")&amp;IF($S181="","Falta indicar si és recurrent. ",""))))</f>
        <v/>
      </c>
    </row>
    <row r="182">
      <c r="A182" s="10">
        <f>IF($D182="","","27_"&amp;IFERROR(INDEX(Objectius!$E$2:$E$183,MATCH($D182,Objectius!$A$2:$A$183,0)),"??")&amp;"_"&amp;TEXT(COUNTIF($I$6:$I182,$I182),"00"))</f>
        <v/>
      </c>
      <c r="B182" s="11" t="n"/>
      <c r="C182" s="11" t="n"/>
      <c r="D182" s="11" t="n"/>
      <c r="E182" s="10">
        <f>IF($D182="","",IFERROR(INDEX(Objectius!$C$2:$C$183,MATCH($D182,Objectius!$A$2:$A$183,0)),"Objectiu no trobat al Pla"))</f>
        <v/>
      </c>
      <c r="F182" s="11" t="n"/>
      <c r="G182" s="11" t="n"/>
      <c r="H182" s="11" t="n"/>
      <c r="I182" s="10">
        <f>IF($D182="","",IFERROR(INDEX(Objectius!$D$2:$D$183,MATCH($D182,Objectius!$A$2:$A$183,0)),""))</f>
        <v/>
      </c>
      <c r="J182" s="11" t="n"/>
      <c r="K182" s="11" t="n"/>
      <c r="L182" s="11" t="n"/>
      <c r="M182" s="12" t="n"/>
      <c r="N182" s="11" t="n"/>
      <c r="O182" s="10">
        <f>IF($N182="","",IFERROR(INDEX('PLA ESTRATÈGIC'!$G$4:$G$452,MATCH($N182,'PLA ESTRATÈGIC'!$Q$4:$Q$452,0)),""))</f>
        <v/>
      </c>
      <c r="P182" s="10">
        <f>IF($N182="","",IFERROR(INDEX('PLA ESTRATÈGIC'!$H$4:$H$452,MATCH($N182,'PLA ESTRATÈGIC'!$Q$4:$Q$452,0)),""))</f>
        <v/>
      </c>
      <c r="Q182" s="13" t="n"/>
      <c r="R182" s="11" t="n"/>
      <c r="S182" s="11" t="n"/>
      <c r="T182" s="11" t="n"/>
      <c r="U182" s="11" t="n"/>
      <c r="V182" s="10">
        <f>IF(COUNTA($C182,$D182,$J182,$M182)=0,"",IF(TRIM(IF($C182="","Falta l'actuació. ","")&amp;IF($D182="","Falta l'objectiu. ","")&amp;IF($J182="","Falta el tipus de despesa. ","")&amp;IF(AND($J182&lt;&gt;"",$J182&lt;&gt;"Mitjans propis",$J182&lt;&gt;"Altres",$M182=""),"Falta l'import. ","")&amp;IF(AND($J182="Contracte menor a càrrec del RAE",$K182=""),"Falta la partida RAE. ","")&amp;IF(AND($B182&lt;&gt;"",COUNTIF($B$6:$B$705,$B182)&gt;1),"Codi RAE repetit. ","")&amp;IF(AND($B182&lt;&gt;"",$J182&lt;&gt;"",$J182&lt;&gt;"Contracte menor a càrrec del RAE"),"Té codi RAE però no és de tipus RAE. ","")&amp;IF($N182="","Falta l'indicador del Pla. ","")&amp;IF($R182="","Falta el gestor. ","")&amp;IF($S182="","Falta indicar si és recurrent. ",""))="","✔",TRIM(IF($C182="","Falta l'actuació. ","")&amp;IF($D182="","Falta l'objectiu. ","")&amp;IF($J182="","Falta el tipus de despesa. ","")&amp;IF(AND($J182&lt;&gt;"",$J182&lt;&gt;"Mitjans propis",$J182&lt;&gt;"Altres",$M182=""),"Falta l'import. ","")&amp;IF(AND($J182="Contracte menor a càrrec del RAE",$K182=""),"Falta la partida RAE. ","")&amp;IF(AND($B182&lt;&gt;"",COUNTIF($B$6:$B$705,$B182)&gt;1),"Codi RAE repetit. ","")&amp;IF(AND($B182&lt;&gt;"",$J182&lt;&gt;"",$J182&lt;&gt;"Contracte menor a càrrec del RAE"),"Té codi RAE però no és de tipus RAE. ","")&amp;IF($N182="","Falta l'indicador del Pla. ","")&amp;IF($R182="","Falta el gestor. ","")&amp;IF($S182="","Falta indicar si és recurrent. ",""))))</f>
        <v/>
      </c>
    </row>
    <row r="183">
      <c r="A183" s="10">
        <f>IF($D183="","","27_"&amp;IFERROR(INDEX(Objectius!$E$2:$E$183,MATCH($D183,Objectius!$A$2:$A$183,0)),"??")&amp;"_"&amp;TEXT(COUNTIF($I$6:$I183,$I183),"00"))</f>
        <v/>
      </c>
      <c r="B183" s="11" t="n"/>
      <c r="C183" s="11" t="n"/>
      <c r="D183" s="11" t="n"/>
      <c r="E183" s="10">
        <f>IF($D183="","",IFERROR(INDEX(Objectius!$C$2:$C$183,MATCH($D183,Objectius!$A$2:$A$183,0)),"Objectiu no trobat al Pla"))</f>
        <v/>
      </c>
      <c r="F183" s="11" t="n"/>
      <c r="G183" s="11" t="n"/>
      <c r="H183" s="11" t="n"/>
      <c r="I183" s="10">
        <f>IF($D183="","",IFERROR(INDEX(Objectius!$D$2:$D$183,MATCH($D183,Objectius!$A$2:$A$183,0)),""))</f>
        <v/>
      </c>
      <c r="J183" s="11" t="n"/>
      <c r="K183" s="11" t="n"/>
      <c r="L183" s="11" t="n"/>
      <c r="M183" s="12" t="n"/>
      <c r="N183" s="11" t="n"/>
      <c r="O183" s="10">
        <f>IF($N183="","",IFERROR(INDEX('PLA ESTRATÈGIC'!$G$4:$G$452,MATCH($N183,'PLA ESTRATÈGIC'!$Q$4:$Q$452,0)),""))</f>
        <v/>
      </c>
      <c r="P183" s="10">
        <f>IF($N183="","",IFERROR(INDEX('PLA ESTRATÈGIC'!$H$4:$H$452,MATCH($N183,'PLA ESTRATÈGIC'!$Q$4:$Q$452,0)),""))</f>
        <v/>
      </c>
      <c r="Q183" s="13" t="n"/>
      <c r="R183" s="11" t="n"/>
      <c r="S183" s="11" t="n"/>
      <c r="T183" s="11" t="n"/>
      <c r="U183" s="11" t="n"/>
      <c r="V183" s="10">
        <f>IF(COUNTA($C183,$D183,$J183,$M183)=0,"",IF(TRIM(IF($C183="","Falta l'actuació. ","")&amp;IF($D183="","Falta l'objectiu. ","")&amp;IF($J183="","Falta el tipus de despesa. ","")&amp;IF(AND($J183&lt;&gt;"",$J183&lt;&gt;"Mitjans propis",$J183&lt;&gt;"Altres",$M183=""),"Falta l'import. ","")&amp;IF(AND($J183="Contracte menor a càrrec del RAE",$K183=""),"Falta la partida RAE. ","")&amp;IF(AND($B183&lt;&gt;"",COUNTIF($B$6:$B$705,$B183)&gt;1),"Codi RAE repetit. ","")&amp;IF(AND($B183&lt;&gt;"",$J183&lt;&gt;"",$J183&lt;&gt;"Contracte menor a càrrec del RAE"),"Té codi RAE però no és de tipus RAE. ","")&amp;IF($N183="","Falta l'indicador del Pla. ","")&amp;IF($R183="","Falta el gestor. ","")&amp;IF($S183="","Falta indicar si és recurrent. ",""))="","✔",TRIM(IF($C183="","Falta l'actuació. ","")&amp;IF($D183="","Falta l'objectiu. ","")&amp;IF($J183="","Falta el tipus de despesa. ","")&amp;IF(AND($J183&lt;&gt;"",$J183&lt;&gt;"Mitjans propis",$J183&lt;&gt;"Altres",$M183=""),"Falta l'import. ","")&amp;IF(AND($J183="Contracte menor a càrrec del RAE",$K183=""),"Falta la partida RAE. ","")&amp;IF(AND($B183&lt;&gt;"",COUNTIF($B$6:$B$705,$B183)&gt;1),"Codi RAE repetit. ","")&amp;IF(AND($B183&lt;&gt;"",$J183&lt;&gt;"",$J183&lt;&gt;"Contracte menor a càrrec del RAE"),"Té codi RAE però no és de tipus RAE. ","")&amp;IF($N183="","Falta l'indicador del Pla. ","")&amp;IF($R183="","Falta el gestor. ","")&amp;IF($S183="","Falta indicar si és recurrent. ",""))))</f>
        <v/>
      </c>
    </row>
    <row r="184">
      <c r="A184" s="10">
        <f>IF($D184="","","27_"&amp;IFERROR(INDEX(Objectius!$E$2:$E$183,MATCH($D184,Objectius!$A$2:$A$183,0)),"??")&amp;"_"&amp;TEXT(COUNTIF($I$6:$I184,$I184),"00"))</f>
        <v/>
      </c>
      <c r="B184" s="11" t="n"/>
      <c r="C184" s="11" t="n"/>
      <c r="D184" s="11" t="n"/>
      <c r="E184" s="10">
        <f>IF($D184="","",IFERROR(INDEX(Objectius!$C$2:$C$183,MATCH($D184,Objectius!$A$2:$A$183,0)),"Objectiu no trobat al Pla"))</f>
        <v/>
      </c>
      <c r="F184" s="11" t="n"/>
      <c r="G184" s="11" t="n"/>
      <c r="H184" s="11" t="n"/>
      <c r="I184" s="10">
        <f>IF($D184="","",IFERROR(INDEX(Objectius!$D$2:$D$183,MATCH($D184,Objectius!$A$2:$A$183,0)),""))</f>
        <v/>
      </c>
      <c r="J184" s="11" t="n"/>
      <c r="K184" s="11" t="n"/>
      <c r="L184" s="11" t="n"/>
      <c r="M184" s="12" t="n"/>
      <c r="N184" s="11" t="n"/>
      <c r="O184" s="10">
        <f>IF($N184="","",IFERROR(INDEX('PLA ESTRATÈGIC'!$G$4:$G$452,MATCH($N184,'PLA ESTRATÈGIC'!$Q$4:$Q$452,0)),""))</f>
        <v/>
      </c>
      <c r="P184" s="10">
        <f>IF($N184="","",IFERROR(INDEX('PLA ESTRATÈGIC'!$H$4:$H$452,MATCH($N184,'PLA ESTRATÈGIC'!$Q$4:$Q$452,0)),""))</f>
        <v/>
      </c>
      <c r="Q184" s="13" t="n"/>
      <c r="R184" s="11" t="n"/>
      <c r="S184" s="11" t="n"/>
      <c r="T184" s="11" t="n"/>
      <c r="U184" s="11" t="n"/>
      <c r="V184" s="10">
        <f>IF(COUNTA($C184,$D184,$J184,$M184)=0,"",IF(TRIM(IF($C184="","Falta l'actuació. ","")&amp;IF($D184="","Falta l'objectiu. ","")&amp;IF($J184="","Falta el tipus de despesa. ","")&amp;IF(AND($J184&lt;&gt;"",$J184&lt;&gt;"Mitjans propis",$J184&lt;&gt;"Altres",$M184=""),"Falta l'import. ","")&amp;IF(AND($J184="Contracte menor a càrrec del RAE",$K184=""),"Falta la partida RAE. ","")&amp;IF(AND($B184&lt;&gt;"",COUNTIF($B$6:$B$705,$B184)&gt;1),"Codi RAE repetit. ","")&amp;IF(AND($B184&lt;&gt;"",$J184&lt;&gt;"",$J184&lt;&gt;"Contracte menor a càrrec del RAE"),"Té codi RAE però no és de tipus RAE. ","")&amp;IF($N184="","Falta l'indicador del Pla. ","")&amp;IF($R184="","Falta el gestor. ","")&amp;IF($S184="","Falta indicar si és recurrent. ",""))="","✔",TRIM(IF($C184="","Falta l'actuació. ","")&amp;IF($D184="","Falta l'objectiu. ","")&amp;IF($J184="","Falta el tipus de despesa. ","")&amp;IF(AND($J184&lt;&gt;"",$J184&lt;&gt;"Mitjans propis",$J184&lt;&gt;"Altres",$M184=""),"Falta l'import. ","")&amp;IF(AND($J184="Contracte menor a càrrec del RAE",$K184=""),"Falta la partida RAE. ","")&amp;IF(AND($B184&lt;&gt;"",COUNTIF($B$6:$B$705,$B184)&gt;1),"Codi RAE repetit. ","")&amp;IF(AND($B184&lt;&gt;"",$J184&lt;&gt;"",$J184&lt;&gt;"Contracte menor a càrrec del RAE"),"Té codi RAE però no és de tipus RAE. ","")&amp;IF($N184="","Falta l'indicador del Pla. ","")&amp;IF($R184="","Falta el gestor. ","")&amp;IF($S184="","Falta indicar si és recurrent. ",""))))</f>
        <v/>
      </c>
    </row>
    <row r="185">
      <c r="A185" s="10">
        <f>IF($D185="","","27_"&amp;IFERROR(INDEX(Objectius!$E$2:$E$183,MATCH($D185,Objectius!$A$2:$A$183,0)),"??")&amp;"_"&amp;TEXT(COUNTIF($I$6:$I185,$I185),"00"))</f>
        <v/>
      </c>
      <c r="B185" s="11" t="n"/>
      <c r="C185" s="11" t="n"/>
      <c r="D185" s="11" t="n"/>
      <c r="E185" s="10">
        <f>IF($D185="","",IFERROR(INDEX(Objectius!$C$2:$C$183,MATCH($D185,Objectius!$A$2:$A$183,0)),"Objectiu no trobat al Pla"))</f>
        <v/>
      </c>
      <c r="F185" s="11" t="n"/>
      <c r="G185" s="11" t="n"/>
      <c r="H185" s="11" t="n"/>
      <c r="I185" s="10">
        <f>IF($D185="","",IFERROR(INDEX(Objectius!$D$2:$D$183,MATCH($D185,Objectius!$A$2:$A$183,0)),""))</f>
        <v/>
      </c>
      <c r="J185" s="11" t="n"/>
      <c r="K185" s="11" t="n"/>
      <c r="L185" s="11" t="n"/>
      <c r="M185" s="12" t="n"/>
      <c r="N185" s="11" t="n"/>
      <c r="O185" s="10">
        <f>IF($N185="","",IFERROR(INDEX('PLA ESTRATÈGIC'!$G$4:$G$452,MATCH($N185,'PLA ESTRATÈGIC'!$Q$4:$Q$452,0)),""))</f>
        <v/>
      </c>
      <c r="P185" s="10">
        <f>IF($N185="","",IFERROR(INDEX('PLA ESTRATÈGIC'!$H$4:$H$452,MATCH($N185,'PLA ESTRATÈGIC'!$Q$4:$Q$452,0)),""))</f>
        <v/>
      </c>
      <c r="Q185" s="13" t="n"/>
      <c r="R185" s="11" t="n"/>
      <c r="S185" s="11" t="n"/>
      <c r="T185" s="11" t="n"/>
      <c r="U185" s="11" t="n"/>
      <c r="V185" s="10">
        <f>IF(COUNTA($C185,$D185,$J185,$M185)=0,"",IF(TRIM(IF($C185="","Falta l'actuació. ","")&amp;IF($D185="","Falta l'objectiu. ","")&amp;IF($J185="","Falta el tipus de despesa. ","")&amp;IF(AND($J185&lt;&gt;"",$J185&lt;&gt;"Mitjans propis",$J185&lt;&gt;"Altres",$M185=""),"Falta l'import. ","")&amp;IF(AND($J185="Contracte menor a càrrec del RAE",$K185=""),"Falta la partida RAE. ","")&amp;IF(AND($B185&lt;&gt;"",COUNTIF($B$6:$B$705,$B185)&gt;1),"Codi RAE repetit. ","")&amp;IF(AND($B185&lt;&gt;"",$J185&lt;&gt;"",$J185&lt;&gt;"Contracte menor a càrrec del RAE"),"Té codi RAE però no és de tipus RAE. ","")&amp;IF($N185="","Falta l'indicador del Pla. ","")&amp;IF($R185="","Falta el gestor. ","")&amp;IF($S185="","Falta indicar si és recurrent. ",""))="","✔",TRIM(IF($C185="","Falta l'actuació. ","")&amp;IF($D185="","Falta l'objectiu. ","")&amp;IF($J185="","Falta el tipus de despesa. ","")&amp;IF(AND($J185&lt;&gt;"",$J185&lt;&gt;"Mitjans propis",$J185&lt;&gt;"Altres",$M185=""),"Falta l'import. ","")&amp;IF(AND($J185="Contracte menor a càrrec del RAE",$K185=""),"Falta la partida RAE. ","")&amp;IF(AND($B185&lt;&gt;"",COUNTIF($B$6:$B$705,$B185)&gt;1),"Codi RAE repetit. ","")&amp;IF(AND($B185&lt;&gt;"",$J185&lt;&gt;"",$J185&lt;&gt;"Contracte menor a càrrec del RAE"),"Té codi RAE però no és de tipus RAE. ","")&amp;IF($N185="","Falta l'indicador del Pla. ","")&amp;IF($R185="","Falta el gestor. ","")&amp;IF($S185="","Falta indicar si és recurrent. ",""))))</f>
        <v/>
      </c>
    </row>
    <row r="186">
      <c r="A186" s="10">
        <f>IF($D186="","","27_"&amp;IFERROR(INDEX(Objectius!$E$2:$E$183,MATCH($D186,Objectius!$A$2:$A$183,0)),"??")&amp;"_"&amp;TEXT(COUNTIF($I$6:$I186,$I186),"00"))</f>
        <v/>
      </c>
      <c r="B186" s="11" t="n"/>
      <c r="C186" s="11" t="n"/>
      <c r="D186" s="11" t="n"/>
      <c r="E186" s="10">
        <f>IF($D186="","",IFERROR(INDEX(Objectius!$C$2:$C$183,MATCH($D186,Objectius!$A$2:$A$183,0)),"Objectiu no trobat al Pla"))</f>
        <v/>
      </c>
      <c r="F186" s="11" t="n"/>
      <c r="G186" s="11" t="n"/>
      <c r="H186" s="11" t="n"/>
      <c r="I186" s="10">
        <f>IF($D186="","",IFERROR(INDEX(Objectius!$D$2:$D$183,MATCH($D186,Objectius!$A$2:$A$183,0)),""))</f>
        <v/>
      </c>
      <c r="J186" s="11" t="n"/>
      <c r="K186" s="11" t="n"/>
      <c r="L186" s="11" t="n"/>
      <c r="M186" s="12" t="n"/>
      <c r="N186" s="11" t="n"/>
      <c r="O186" s="10">
        <f>IF($N186="","",IFERROR(INDEX('PLA ESTRATÈGIC'!$G$4:$G$452,MATCH($N186,'PLA ESTRATÈGIC'!$Q$4:$Q$452,0)),""))</f>
        <v/>
      </c>
      <c r="P186" s="10">
        <f>IF($N186="","",IFERROR(INDEX('PLA ESTRATÈGIC'!$H$4:$H$452,MATCH($N186,'PLA ESTRATÈGIC'!$Q$4:$Q$452,0)),""))</f>
        <v/>
      </c>
      <c r="Q186" s="13" t="n"/>
      <c r="R186" s="11" t="n"/>
      <c r="S186" s="11" t="n"/>
      <c r="T186" s="11" t="n"/>
      <c r="U186" s="11" t="n"/>
      <c r="V186" s="10">
        <f>IF(COUNTA($C186,$D186,$J186,$M186)=0,"",IF(TRIM(IF($C186="","Falta l'actuació. ","")&amp;IF($D186="","Falta l'objectiu. ","")&amp;IF($J186="","Falta el tipus de despesa. ","")&amp;IF(AND($J186&lt;&gt;"",$J186&lt;&gt;"Mitjans propis",$J186&lt;&gt;"Altres",$M186=""),"Falta l'import. ","")&amp;IF(AND($J186="Contracte menor a càrrec del RAE",$K186=""),"Falta la partida RAE. ","")&amp;IF(AND($B186&lt;&gt;"",COUNTIF($B$6:$B$705,$B186)&gt;1),"Codi RAE repetit. ","")&amp;IF(AND($B186&lt;&gt;"",$J186&lt;&gt;"",$J186&lt;&gt;"Contracte menor a càrrec del RAE"),"Té codi RAE però no és de tipus RAE. ","")&amp;IF($N186="","Falta l'indicador del Pla. ","")&amp;IF($R186="","Falta el gestor. ","")&amp;IF($S186="","Falta indicar si és recurrent. ",""))="","✔",TRIM(IF($C186="","Falta l'actuació. ","")&amp;IF($D186="","Falta l'objectiu. ","")&amp;IF($J186="","Falta el tipus de despesa. ","")&amp;IF(AND($J186&lt;&gt;"",$J186&lt;&gt;"Mitjans propis",$J186&lt;&gt;"Altres",$M186=""),"Falta l'import. ","")&amp;IF(AND($J186="Contracte menor a càrrec del RAE",$K186=""),"Falta la partida RAE. ","")&amp;IF(AND($B186&lt;&gt;"",COUNTIF($B$6:$B$705,$B186)&gt;1),"Codi RAE repetit. ","")&amp;IF(AND($B186&lt;&gt;"",$J186&lt;&gt;"",$J186&lt;&gt;"Contracte menor a càrrec del RAE"),"Té codi RAE però no és de tipus RAE. ","")&amp;IF($N186="","Falta l'indicador del Pla. ","")&amp;IF($R186="","Falta el gestor. ","")&amp;IF($S186="","Falta indicar si és recurrent. ",""))))</f>
        <v/>
      </c>
    </row>
    <row r="187">
      <c r="A187" s="10">
        <f>IF($D187="","","27_"&amp;IFERROR(INDEX(Objectius!$E$2:$E$183,MATCH($D187,Objectius!$A$2:$A$183,0)),"??")&amp;"_"&amp;TEXT(COUNTIF($I$6:$I187,$I187),"00"))</f>
        <v/>
      </c>
      <c r="B187" s="11" t="n"/>
      <c r="C187" s="11" t="n"/>
      <c r="D187" s="11" t="n"/>
      <c r="E187" s="10">
        <f>IF($D187="","",IFERROR(INDEX(Objectius!$C$2:$C$183,MATCH($D187,Objectius!$A$2:$A$183,0)),"Objectiu no trobat al Pla"))</f>
        <v/>
      </c>
      <c r="F187" s="11" t="n"/>
      <c r="G187" s="11" t="n"/>
      <c r="H187" s="11" t="n"/>
      <c r="I187" s="10">
        <f>IF($D187="","",IFERROR(INDEX(Objectius!$D$2:$D$183,MATCH($D187,Objectius!$A$2:$A$183,0)),""))</f>
        <v/>
      </c>
      <c r="J187" s="11" t="n"/>
      <c r="K187" s="11" t="n"/>
      <c r="L187" s="11" t="n"/>
      <c r="M187" s="12" t="n"/>
      <c r="N187" s="11" t="n"/>
      <c r="O187" s="10">
        <f>IF($N187="","",IFERROR(INDEX('PLA ESTRATÈGIC'!$G$4:$G$452,MATCH($N187,'PLA ESTRATÈGIC'!$Q$4:$Q$452,0)),""))</f>
        <v/>
      </c>
      <c r="P187" s="10">
        <f>IF($N187="","",IFERROR(INDEX('PLA ESTRATÈGIC'!$H$4:$H$452,MATCH($N187,'PLA ESTRATÈGIC'!$Q$4:$Q$452,0)),""))</f>
        <v/>
      </c>
      <c r="Q187" s="13" t="n"/>
      <c r="R187" s="11" t="n"/>
      <c r="S187" s="11" t="n"/>
      <c r="T187" s="11" t="n"/>
      <c r="U187" s="11" t="n"/>
      <c r="V187" s="10">
        <f>IF(COUNTA($C187,$D187,$J187,$M187)=0,"",IF(TRIM(IF($C187="","Falta l'actuació. ","")&amp;IF($D187="","Falta l'objectiu. ","")&amp;IF($J187="","Falta el tipus de despesa. ","")&amp;IF(AND($J187&lt;&gt;"",$J187&lt;&gt;"Mitjans propis",$J187&lt;&gt;"Altres",$M187=""),"Falta l'import. ","")&amp;IF(AND($J187="Contracte menor a càrrec del RAE",$K187=""),"Falta la partida RAE. ","")&amp;IF(AND($B187&lt;&gt;"",COUNTIF($B$6:$B$705,$B187)&gt;1),"Codi RAE repetit. ","")&amp;IF(AND($B187&lt;&gt;"",$J187&lt;&gt;"",$J187&lt;&gt;"Contracte menor a càrrec del RAE"),"Té codi RAE però no és de tipus RAE. ","")&amp;IF($N187="","Falta l'indicador del Pla. ","")&amp;IF($R187="","Falta el gestor. ","")&amp;IF($S187="","Falta indicar si és recurrent. ",""))="","✔",TRIM(IF($C187="","Falta l'actuació. ","")&amp;IF($D187="","Falta l'objectiu. ","")&amp;IF($J187="","Falta el tipus de despesa. ","")&amp;IF(AND($J187&lt;&gt;"",$J187&lt;&gt;"Mitjans propis",$J187&lt;&gt;"Altres",$M187=""),"Falta l'import. ","")&amp;IF(AND($J187="Contracte menor a càrrec del RAE",$K187=""),"Falta la partida RAE. ","")&amp;IF(AND($B187&lt;&gt;"",COUNTIF($B$6:$B$705,$B187)&gt;1),"Codi RAE repetit. ","")&amp;IF(AND($B187&lt;&gt;"",$J187&lt;&gt;"",$J187&lt;&gt;"Contracte menor a càrrec del RAE"),"Té codi RAE però no és de tipus RAE. ","")&amp;IF($N187="","Falta l'indicador del Pla. ","")&amp;IF($R187="","Falta el gestor. ","")&amp;IF($S187="","Falta indicar si és recurrent. ",""))))</f>
        <v/>
      </c>
    </row>
    <row r="188">
      <c r="A188" s="10">
        <f>IF($D188="","","27_"&amp;IFERROR(INDEX(Objectius!$E$2:$E$183,MATCH($D188,Objectius!$A$2:$A$183,0)),"??")&amp;"_"&amp;TEXT(COUNTIF($I$6:$I188,$I188),"00"))</f>
        <v/>
      </c>
      <c r="B188" s="11" t="n"/>
      <c r="C188" s="11" t="n"/>
      <c r="D188" s="11" t="n"/>
      <c r="E188" s="10">
        <f>IF($D188="","",IFERROR(INDEX(Objectius!$C$2:$C$183,MATCH($D188,Objectius!$A$2:$A$183,0)),"Objectiu no trobat al Pla"))</f>
        <v/>
      </c>
      <c r="F188" s="11" t="n"/>
      <c r="G188" s="11" t="n"/>
      <c r="H188" s="11" t="n"/>
      <c r="I188" s="10">
        <f>IF($D188="","",IFERROR(INDEX(Objectius!$D$2:$D$183,MATCH($D188,Objectius!$A$2:$A$183,0)),""))</f>
        <v/>
      </c>
      <c r="J188" s="11" t="n"/>
      <c r="K188" s="11" t="n"/>
      <c r="L188" s="11" t="n"/>
      <c r="M188" s="12" t="n"/>
      <c r="N188" s="11" t="n"/>
      <c r="O188" s="10">
        <f>IF($N188="","",IFERROR(INDEX('PLA ESTRATÈGIC'!$G$4:$G$452,MATCH($N188,'PLA ESTRATÈGIC'!$Q$4:$Q$452,0)),""))</f>
        <v/>
      </c>
      <c r="P188" s="10">
        <f>IF($N188="","",IFERROR(INDEX('PLA ESTRATÈGIC'!$H$4:$H$452,MATCH($N188,'PLA ESTRATÈGIC'!$Q$4:$Q$452,0)),""))</f>
        <v/>
      </c>
      <c r="Q188" s="13" t="n"/>
      <c r="R188" s="11" t="n"/>
      <c r="S188" s="11" t="n"/>
      <c r="T188" s="11" t="n"/>
      <c r="U188" s="11" t="n"/>
      <c r="V188" s="10">
        <f>IF(COUNTA($C188,$D188,$J188,$M188)=0,"",IF(TRIM(IF($C188="","Falta l'actuació. ","")&amp;IF($D188="","Falta l'objectiu. ","")&amp;IF($J188="","Falta el tipus de despesa. ","")&amp;IF(AND($J188&lt;&gt;"",$J188&lt;&gt;"Mitjans propis",$J188&lt;&gt;"Altres",$M188=""),"Falta l'import. ","")&amp;IF(AND($J188="Contracte menor a càrrec del RAE",$K188=""),"Falta la partida RAE. ","")&amp;IF(AND($B188&lt;&gt;"",COUNTIF($B$6:$B$705,$B188)&gt;1),"Codi RAE repetit. ","")&amp;IF(AND($B188&lt;&gt;"",$J188&lt;&gt;"",$J188&lt;&gt;"Contracte menor a càrrec del RAE"),"Té codi RAE però no és de tipus RAE. ","")&amp;IF($N188="","Falta l'indicador del Pla. ","")&amp;IF($R188="","Falta el gestor. ","")&amp;IF($S188="","Falta indicar si és recurrent. ",""))="","✔",TRIM(IF($C188="","Falta l'actuació. ","")&amp;IF($D188="","Falta l'objectiu. ","")&amp;IF($J188="","Falta el tipus de despesa. ","")&amp;IF(AND($J188&lt;&gt;"",$J188&lt;&gt;"Mitjans propis",$J188&lt;&gt;"Altres",$M188=""),"Falta l'import. ","")&amp;IF(AND($J188="Contracte menor a càrrec del RAE",$K188=""),"Falta la partida RAE. ","")&amp;IF(AND($B188&lt;&gt;"",COUNTIF($B$6:$B$705,$B188)&gt;1),"Codi RAE repetit. ","")&amp;IF(AND($B188&lt;&gt;"",$J188&lt;&gt;"",$J188&lt;&gt;"Contracte menor a càrrec del RAE"),"Té codi RAE però no és de tipus RAE. ","")&amp;IF($N188="","Falta l'indicador del Pla. ","")&amp;IF($R188="","Falta el gestor. ","")&amp;IF($S188="","Falta indicar si és recurrent. ",""))))</f>
        <v/>
      </c>
    </row>
    <row r="189">
      <c r="A189" s="10">
        <f>IF($D189="","","27_"&amp;IFERROR(INDEX(Objectius!$E$2:$E$183,MATCH($D189,Objectius!$A$2:$A$183,0)),"??")&amp;"_"&amp;TEXT(COUNTIF($I$6:$I189,$I189),"00"))</f>
        <v/>
      </c>
      <c r="B189" s="11" t="n"/>
      <c r="C189" s="11" t="n"/>
      <c r="D189" s="11" t="n"/>
      <c r="E189" s="10">
        <f>IF($D189="","",IFERROR(INDEX(Objectius!$C$2:$C$183,MATCH($D189,Objectius!$A$2:$A$183,0)),"Objectiu no trobat al Pla"))</f>
        <v/>
      </c>
      <c r="F189" s="11" t="n"/>
      <c r="G189" s="11" t="n"/>
      <c r="H189" s="11" t="n"/>
      <c r="I189" s="10">
        <f>IF($D189="","",IFERROR(INDEX(Objectius!$D$2:$D$183,MATCH($D189,Objectius!$A$2:$A$183,0)),""))</f>
        <v/>
      </c>
      <c r="J189" s="11" t="n"/>
      <c r="K189" s="11" t="n"/>
      <c r="L189" s="11" t="n"/>
      <c r="M189" s="12" t="n"/>
      <c r="N189" s="11" t="n"/>
      <c r="O189" s="10">
        <f>IF($N189="","",IFERROR(INDEX('PLA ESTRATÈGIC'!$G$4:$G$452,MATCH($N189,'PLA ESTRATÈGIC'!$Q$4:$Q$452,0)),""))</f>
        <v/>
      </c>
      <c r="P189" s="10">
        <f>IF($N189="","",IFERROR(INDEX('PLA ESTRATÈGIC'!$H$4:$H$452,MATCH($N189,'PLA ESTRATÈGIC'!$Q$4:$Q$452,0)),""))</f>
        <v/>
      </c>
      <c r="Q189" s="13" t="n"/>
      <c r="R189" s="11" t="n"/>
      <c r="S189" s="11" t="n"/>
      <c r="T189" s="11" t="n"/>
      <c r="U189" s="11" t="n"/>
      <c r="V189" s="10">
        <f>IF(COUNTA($C189,$D189,$J189,$M189)=0,"",IF(TRIM(IF($C189="","Falta l'actuació. ","")&amp;IF($D189="","Falta l'objectiu. ","")&amp;IF($J189="","Falta el tipus de despesa. ","")&amp;IF(AND($J189&lt;&gt;"",$J189&lt;&gt;"Mitjans propis",$J189&lt;&gt;"Altres",$M189=""),"Falta l'import. ","")&amp;IF(AND($J189="Contracte menor a càrrec del RAE",$K189=""),"Falta la partida RAE. ","")&amp;IF(AND($B189&lt;&gt;"",COUNTIF($B$6:$B$705,$B189)&gt;1),"Codi RAE repetit. ","")&amp;IF(AND($B189&lt;&gt;"",$J189&lt;&gt;"",$J189&lt;&gt;"Contracte menor a càrrec del RAE"),"Té codi RAE però no és de tipus RAE. ","")&amp;IF($N189="","Falta l'indicador del Pla. ","")&amp;IF($R189="","Falta el gestor. ","")&amp;IF($S189="","Falta indicar si és recurrent. ",""))="","✔",TRIM(IF($C189="","Falta l'actuació. ","")&amp;IF($D189="","Falta l'objectiu. ","")&amp;IF($J189="","Falta el tipus de despesa. ","")&amp;IF(AND($J189&lt;&gt;"",$J189&lt;&gt;"Mitjans propis",$J189&lt;&gt;"Altres",$M189=""),"Falta l'import. ","")&amp;IF(AND($J189="Contracte menor a càrrec del RAE",$K189=""),"Falta la partida RAE. ","")&amp;IF(AND($B189&lt;&gt;"",COUNTIF($B$6:$B$705,$B189)&gt;1),"Codi RAE repetit. ","")&amp;IF(AND($B189&lt;&gt;"",$J189&lt;&gt;"",$J189&lt;&gt;"Contracte menor a càrrec del RAE"),"Té codi RAE però no és de tipus RAE. ","")&amp;IF($N189="","Falta l'indicador del Pla. ","")&amp;IF($R189="","Falta el gestor. ","")&amp;IF($S189="","Falta indicar si és recurrent. ",""))))</f>
        <v/>
      </c>
    </row>
    <row r="190">
      <c r="A190" s="10">
        <f>IF($D190="","","27_"&amp;IFERROR(INDEX(Objectius!$E$2:$E$183,MATCH($D190,Objectius!$A$2:$A$183,0)),"??")&amp;"_"&amp;TEXT(COUNTIF($I$6:$I190,$I190),"00"))</f>
        <v/>
      </c>
      <c r="B190" s="11" t="n"/>
      <c r="C190" s="11" t="n"/>
      <c r="D190" s="11" t="n"/>
      <c r="E190" s="10">
        <f>IF($D190="","",IFERROR(INDEX(Objectius!$C$2:$C$183,MATCH($D190,Objectius!$A$2:$A$183,0)),"Objectiu no trobat al Pla"))</f>
        <v/>
      </c>
      <c r="F190" s="11" t="n"/>
      <c r="G190" s="11" t="n"/>
      <c r="H190" s="11" t="n"/>
      <c r="I190" s="10">
        <f>IF($D190="","",IFERROR(INDEX(Objectius!$D$2:$D$183,MATCH($D190,Objectius!$A$2:$A$183,0)),""))</f>
        <v/>
      </c>
      <c r="J190" s="11" t="n"/>
      <c r="K190" s="11" t="n"/>
      <c r="L190" s="11" t="n"/>
      <c r="M190" s="12" t="n"/>
      <c r="N190" s="11" t="n"/>
      <c r="O190" s="10">
        <f>IF($N190="","",IFERROR(INDEX('PLA ESTRATÈGIC'!$G$4:$G$452,MATCH($N190,'PLA ESTRATÈGIC'!$Q$4:$Q$452,0)),""))</f>
        <v/>
      </c>
      <c r="P190" s="10">
        <f>IF($N190="","",IFERROR(INDEX('PLA ESTRATÈGIC'!$H$4:$H$452,MATCH($N190,'PLA ESTRATÈGIC'!$Q$4:$Q$452,0)),""))</f>
        <v/>
      </c>
      <c r="Q190" s="13" t="n"/>
      <c r="R190" s="11" t="n"/>
      <c r="S190" s="11" t="n"/>
      <c r="T190" s="11" t="n"/>
      <c r="U190" s="11" t="n"/>
      <c r="V190" s="10">
        <f>IF(COUNTA($C190,$D190,$J190,$M190)=0,"",IF(TRIM(IF($C190="","Falta l'actuació. ","")&amp;IF($D190="","Falta l'objectiu. ","")&amp;IF($J190="","Falta el tipus de despesa. ","")&amp;IF(AND($J190&lt;&gt;"",$J190&lt;&gt;"Mitjans propis",$J190&lt;&gt;"Altres",$M190=""),"Falta l'import. ","")&amp;IF(AND($J190="Contracte menor a càrrec del RAE",$K190=""),"Falta la partida RAE. ","")&amp;IF(AND($B190&lt;&gt;"",COUNTIF($B$6:$B$705,$B190)&gt;1),"Codi RAE repetit. ","")&amp;IF(AND($B190&lt;&gt;"",$J190&lt;&gt;"",$J190&lt;&gt;"Contracte menor a càrrec del RAE"),"Té codi RAE però no és de tipus RAE. ","")&amp;IF($N190="","Falta l'indicador del Pla. ","")&amp;IF($R190="","Falta el gestor. ","")&amp;IF($S190="","Falta indicar si és recurrent. ",""))="","✔",TRIM(IF($C190="","Falta l'actuació. ","")&amp;IF($D190="","Falta l'objectiu. ","")&amp;IF($J190="","Falta el tipus de despesa. ","")&amp;IF(AND($J190&lt;&gt;"",$J190&lt;&gt;"Mitjans propis",$J190&lt;&gt;"Altres",$M190=""),"Falta l'import. ","")&amp;IF(AND($J190="Contracte menor a càrrec del RAE",$K190=""),"Falta la partida RAE. ","")&amp;IF(AND($B190&lt;&gt;"",COUNTIF($B$6:$B$705,$B190)&gt;1),"Codi RAE repetit. ","")&amp;IF(AND($B190&lt;&gt;"",$J190&lt;&gt;"",$J190&lt;&gt;"Contracte menor a càrrec del RAE"),"Té codi RAE però no és de tipus RAE. ","")&amp;IF($N190="","Falta l'indicador del Pla. ","")&amp;IF($R190="","Falta el gestor. ","")&amp;IF($S190="","Falta indicar si és recurrent. ",""))))</f>
        <v/>
      </c>
    </row>
    <row r="191">
      <c r="A191" s="10">
        <f>IF($D191="","","27_"&amp;IFERROR(INDEX(Objectius!$E$2:$E$183,MATCH($D191,Objectius!$A$2:$A$183,0)),"??")&amp;"_"&amp;TEXT(COUNTIF($I$6:$I191,$I191),"00"))</f>
        <v/>
      </c>
      <c r="B191" s="11" t="n"/>
      <c r="C191" s="11" t="n"/>
      <c r="D191" s="11" t="n"/>
      <c r="E191" s="10">
        <f>IF($D191="","",IFERROR(INDEX(Objectius!$C$2:$C$183,MATCH($D191,Objectius!$A$2:$A$183,0)),"Objectiu no trobat al Pla"))</f>
        <v/>
      </c>
      <c r="F191" s="11" t="n"/>
      <c r="G191" s="11" t="n"/>
      <c r="H191" s="11" t="n"/>
      <c r="I191" s="10">
        <f>IF($D191="","",IFERROR(INDEX(Objectius!$D$2:$D$183,MATCH($D191,Objectius!$A$2:$A$183,0)),""))</f>
        <v/>
      </c>
      <c r="J191" s="11" t="n"/>
      <c r="K191" s="11" t="n"/>
      <c r="L191" s="11" t="n"/>
      <c r="M191" s="12" t="n"/>
      <c r="N191" s="11" t="n"/>
      <c r="O191" s="10">
        <f>IF($N191="","",IFERROR(INDEX('PLA ESTRATÈGIC'!$G$4:$G$452,MATCH($N191,'PLA ESTRATÈGIC'!$Q$4:$Q$452,0)),""))</f>
        <v/>
      </c>
      <c r="P191" s="10">
        <f>IF($N191="","",IFERROR(INDEX('PLA ESTRATÈGIC'!$H$4:$H$452,MATCH($N191,'PLA ESTRATÈGIC'!$Q$4:$Q$452,0)),""))</f>
        <v/>
      </c>
      <c r="Q191" s="13" t="n"/>
      <c r="R191" s="11" t="n"/>
      <c r="S191" s="11" t="n"/>
      <c r="T191" s="11" t="n"/>
      <c r="U191" s="11" t="n"/>
      <c r="V191" s="10">
        <f>IF(COUNTA($C191,$D191,$J191,$M191)=0,"",IF(TRIM(IF($C191="","Falta l'actuació. ","")&amp;IF($D191="","Falta l'objectiu. ","")&amp;IF($J191="","Falta el tipus de despesa. ","")&amp;IF(AND($J191&lt;&gt;"",$J191&lt;&gt;"Mitjans propis",$J191&lt;&gt;"Altres",$M191=""),"Falta l'import. ","")&amp;IF(AND($J191="Contracte menor a càrrec del RAE",$K191=""),"Falta la partida RAE. ","")&amp;IF(AND($B191&lt;&gt;"",COUNTIF($B$6:$B$705,$B191)&gt;1),"Codi RAE repetit. ","")&amp;IF(AND($B191&lt;&gt;"",$J191&lt;&gt;"",$J191&lt;&gt;"Contracte menor a càrrec del RAE"),"Té codi RAE però no és de tipus RAE. ","")&amp;IF($N191="","Falta l'indicador del Pla. ","")&amp;IF($R191="","Falta el gestor. ","")&amp;IF($S191="","Falta indicar si és recurrent. ",""))="","✔",TRIM(IF($C191="","Falta l'actuació. ","")&amp;IF($D191="","Falta l'objectiu. ","")&amp;IF($J191="","Falta el tipus de despesa. ","")&amp;IF(AND($J191&lt;&gt;"",$J191&lt;&gt;"Mitjans propis",$J191&lt;&gt;"Altres",$M191=""),"Falta l'import. ","")&amp;IF(AND($J191="Contracte menor a càrrec del RAE",$K191=""),"Falta la partida RAE. ","")&amp;IF(AND($B191&lt;&gt;"",COUNTIF($B$6:$B$705,$B191)&gt;1),"Codi RAE repetit. ","")&amp;IF(AND($B191&lt;&gt;"",$J191&lt;&gt;"",$J191&lt;&gt;"Contracte menor a càrrec del RAE"),"Té codi RAE però no és de tipus RAE. ","")&amp;IF($N191="","Falta l'indicador del Pla. ","")&amp;IF($R191="","Falta el gestor. ","")&amp;IF($S191="","Falta indicar si és recurrent. ",""))))</f>
        <v/>
      </c>
    </row>
    <row r="192">
      <c r="A192" s="10">
        <f>IF($D192="","","27_"&amp;IFERROR(INDEX(Objectius!$E$2:$E$183,MATCH($D192,Objectius!$A$2:$A$183,0)),"??")&amp;"_"&amp;TEXT(COUNTIF($I$6:$I192,$I192),"00"))</f>
        <v/>
      </c>
      <c r="B192" s="11" t="n"/>
      <c r="C192" s="11" t="n"/>
      <c r="D192" s="11" t="n"/>
      <c r="E192" s="10">
        <f>IF($D192="","",IFERROR(INDEX(Objectius!$C$2:$C$183,MATCH($D192,Objectius!$A$2:$A$183,0)),"Objectiu no trobat al Pla"))</f>
        <v/>
      </c>
      <c r="F192" s="11" t="n"/>
      <c r="G192" s="11" t="n"/>
      <c r="H192" s="11" t="n"/>
      <c r="I192" s="10">
        <f>IF($D192="","",IFERROR(INDEX(Objectius!$D$2:$D$183,MATCH($D192,Objectius!$A$2:$A$183,0)),""))</f>
        <v/>
      </c>
      <c r="J192" s="11" t="n"/>
      <c r="K192" s="11" t="n"/>
      <c r="L192" s="11" t="n"/>
      <c r="M192" s="12" t="n"/>
      <c r="N192" s="11" t="n"/>
      <c r="O192" s="10">
        <f>IF($N192="","",IFERROR(INDEX('PLA ESTRATÈGIC'!$G$4:$G$452,MATCH($N192,'PLA ESTRATÈGIC'!$Q$4:$Q$452,0)),""))</f>
        <v/>
      </c>
      <c r="P192" s="10">
        <f>IF($N192="","",IFERROR(INDEX('PLA ESTRATÈGIC'!$H$4:$H$452,MATCH($N192,'PLA ESTRATÈGIC'!$Q$4:$Q$452,0)),""))</f>
        <v/>
      </c>
      <c r="Q192" s="13" t="n"/>
      <c r="R192" s="11" t="n"/>
      <c r="S192" s="11" t="n"/>
      <c r="T192" s="11" t="n"/>
      <c r="U192" s="11" t="n"/>
      <c r="V192" s="10">
        <f>IF(COUNTA($C192,$D192,$J192,$M192)=0,"",IF(TRIM(IF($C192="","Falta l'actuació. ","")&amp;IF($D192="","Falta l'objectiu. ","")&amp;IF($J192="","Falta el tipus de despesa. ","")&amp;IF(AND($J192&lt;&gt;"",$J192&lt;&gt;"Mitjans propis",$J192&lt;&gt;"Altres",$M192=""),"Falta l'import. ","")&amp;IF(AND($J192="Contracte menor a càrrec del RAE",$K192=""),"Falta la partida RAE. ","")&amp;IF(AND($B192&lt;&gt;"",COUNTIF($B$6:$B$705,$B192)&gt;1),"Codi RAE repetit. ","")&amp;IF(AND($B192&lt;&gt;"",$J192&lt;&gt;"",$J192&lt;&gt;"Contracte menor a càrrec del RAE"),"Té codi RAE però no és de tipus RAE. ","")&amp;IF($N192="","Falta l'indicador del Pla. ","")&amp;IF($R192="","Falta el gestor. ","")&amp;IF($S192="","Falta indicar si és recurrent. ",""))="","✔",TRIM(IF($C192="","Falta l'actuació. ","")&amp;IF($D192="","Falta l'objectiu. ","")&amp;IF($J192="","Falta el tipus de despesa. ","")&amp;IF(AND($J192&lt;&gt;"",$J192&lt;&gt;"Mitjans propis",$J192&lt;&gt;"Altres",$M192=""),"Falta l'import. ","")&amp;IF(AND($J192="Contracte menor a càrrec del RAE",$K192=""),"Falta la partida RAE. ","")&amp;IF(AND($B192&lt;&gt;"",COUNTIF($B$6:$B$705,$B192)&gt;1),"Codi RAE repetit. ","")&amp;IF(AND($B192&lt;&gt;"",$J192&lt;&gt;"",$J192&lt;&gt;"Contracte menor a càrrec del RAE"),"Té codi RAE però no és de tipus RAE. ","")&amp;IF($N192="","Falta l'indicador del Pla. ","")&amp;IF($R192="","Falta el gestor. ","")&amp;IF($S192="","Falta indicar si és recurrent. ",""))))</f>
        <v/>
      </c>
    </row>
    <row r="193">
      <c r="A193" s="10">
        <f>IF($D193="","","27_"&amp;IFERROR(INDEX(Objectius!$E$2:$E$183,MATCH($D193,Objectius!$A$2:$A$183,0)),"??")&amp;"_"&amp;TEXT(COUNTIF($I$6:$I193,$I193),"00"))</f>
        <v/>
      </c>
      <c r="B193" s="11" t="n"/>
      <c r="C193" s="11" t="n"/>
      <c r="D193" s="11" t="n"/>
      <c r="E193" s="10">
        <f>IF($D193="","",IFERROR(INDEX(Objectius!$C$2:$C$183,MATCH($D193,Objectius!$A$2:$A$183,0)),"Objectiu no trobat al Pla"))</f>
        <v/>
      </c>
      <c r="F193" s="11" t="n"/>
      <c r="G193" s="11" t="n"/>
      <c r="H193" s="11" t="n"/>
      <c r="I193" s="10">
        <f>IF($D193="","",IFERROR(INDEX(Objectius!$D$2:$D$183,MATCH($D193,Objectius!$A$2:$A$183,0)),""))</f>
        <v/>
      </c>
      <c r="J193" s="11" t="n"/>
      <c r="K193" s="11" t="n"/>
      <c r="L193" s="11" t="n"/>
      <c r="M193" s="12" t="n"/>
      <c r="N193" s="11" t="n"/>
      <c r="O193" s="10">
        <f>IF($N193="","",IFERROR(INDEX('PLA ESTRATÈGIC'!$G$4:$G$452,MATCH($N193,'PLA ESTRATÈGIC'!$Q$4:$Q$452,0)),""))</f>
        <v/>
      </c>
      <c r="P193" s="10">
        <f>IF($N193="","",IFERROR(INDEX('PLA ESTRATÈGIC'!$H$4:$H$452,MATCH($N193,'PLA ESTRATÈGIC'!$Q$4:$Q$452,0)),""))</f>
        <v/>
      </c>
      <c r="Q193" s="13" t="n"/>
      <c r="R193" s="11" t="n"/>
      <c r="S193" s="11" t="n"/>
      <c r="T193" s="11" t="n"/>
      <c r="U193" s="11" t="n"/>
      <c r="V193" s="10">
        <f>IF(COUNTA($C193,$D193,$J193,$M193)=0,"",IF(TRIM(IF($C193="","Falta l'actuació. ","")&amp;IF($D193="","Falta l'objectiu. ","")&amp;IF($J193="","Falta el tipus de despesa. ","")&amp;IF(AND($J193&lt;&gt;"",$J193&lt;&gt;"Mitjans propis",$J193&lt;&gt;"Altres",$M193=""),"Falta l'import. ","")&amp;IF(AND($J193="Contracte menor a càrrec del RAE",$K193=""),"Falta la partida RAE. ","")&amp;IF(AND($B193&lt;&gt;"",COUNTIF($B$6:$B$705,$B193)&gt;1),"Codi RAE repetit. ","")&amp;IF(AND($B193&lt;&gt;"",$J193&lt;&gt;"",$J193&lt;&gt;"Contracte menor a càrrec del RAE"),"Té codi RAE però no és de tipus RAE. ","")&amp;IF($N193="","Falta l'indicador del Pla. ","")&amp;IF($R193="","Falta el gestor. ","")&amp;IF($S193="","Falta indicar si és recurrent. ",""))="","✔",TRIM(IF($C193="","Falta l'actuació. ","")&amp;IF($D193="","Falta l'objectiu. ","")&amp;IF($J193="","Falta el tipus de despesa. ","")&amp;IF(AND($J193&lt;&gt;"",$J193&lt;&gt;"Mitjans propis",$J193&lt;&gt;"Altres",$M193=""),"Falta l'import. ","")&amp;IF(AND($J193="Contracte menor a càrrec del RAE",$K193=""),"Falta la partida RAE. ","")&amp;IF(AND($B193&lt;&gt;"",COUNTIF($B$6:$B$705,$B193)&gt;1),"Codi RAE repetit. ","")&amp;IF(AND($B193&lt;&gt;"",$J193&lt;&gt;"",$J193&lt;&gt;"Contracte menor a càrrec del RAE"),"Té codi RAE però no és de tipus RAE. ","")&amp;IF($N193="","Falta l'indicador del Pla. ","")&amp;IF($R193="","Falta el gestor. ","")&amp;IF($S193="","Falta indicar si és recurrent. ",""))))</f>
        <v/>
      </c>
    </row>
    <row r="194">
      <c r="A194" s="10">
        <f>IF($D194="","","27_"&amp;IFERROR(INDEX(Objectius!$E$2:$E$183,MATCH($D194,Objectius!$A$2:$A$183,0)),"??")&amp;"_"&amp;TEXT(COUNTIF($I$6:$I194,$I194),"00"))</f>
        <v/>
      </c>
      <c r="B194" s="11" t="n"/>
      <c r="C194" s="11" t="n"/>
      <c r="D194" s="11" t="n"/>
      <c r="E194" s="10">
        <f>IF($D194="","",IFERROR(INDEX(Objectius!$C$2:$C$183,MATCH($D194,Objectius!$A$2:$A$183,0)),"Objectiu no trobat al Pla"))</f>
        <v/>
      </c>
      <c r="F194" s="11" t="n"/>
      <c r="G194" s="11" t="n"/>
      <c r="H194" s="11" t="n"/>
      <c r="I194" s="10">
        <f>IF($D194="","",IFERROR(INDEX(Objectius!$D$2:$D$183,MATCH($D194,Objectius!$A$2:$A$183,0)),""))</f>
        <v/>
      </c>
      <c r="J194" s="11" t="n"/>
      <c r="K194" s="11" t="n"/>
      <c r="L194" s="11" t="n"/>
      <c r="M194" s="12" t="n"/>
      <c r="N194" s="11" t="n"/>
      <c r="O194" s="10">
        <f>IF($N194="","",IFERROR(INDEX('PLA ESTRATÈGIC'!$G$4:$G$452,MATCH($N194,'PLA ESTRATÈGIC'!$Q$4:$Q$452,0)),""))</f>
        <v/>
      </c>
      <c r="P194" s="10">
        <f>IF($N194="","",IFERROR(INDEX('PLA ESTRATÈGIC'!$H$4:$H$452,MATCH($N194,'PLA ESTRATÈGIC'!$Q$4:$Q$452,0)),""))</f>
        <v/>
      </c>
      <c r="Q194" s="13" t="n"/>
      <c r="R194" s="11" t="n"/>
      <c r="S194" s="11" t="n"/>
      <c r="T194" s="11" t="n"/>
      <c r="U194" s="11" t="n"/>
      <c r="V194" s="10">
        <f>IF(COUNTA($C194,$D194,$J194,$M194)=0,"",IF(TRIM(IF($C194="","Falta l'actuació. ","")&amp;IF($D194="","Falta l'objectiu. ","")&amp;IF($J194="","Falta el tipus de despesa. ","")&amp;IF(AND($J194&lt;&gt;"",$J194&lt;&gt;"Mitjans propis",$J194&lt;&gt;"Altres",$M194=""),"Falta l'import. ","")&amp;IF(AND($J194="Contracte menor a càrrec del RAE",$K194=""),"Falta la partida RAE. ","")&amp;IF(AND($B194&lt;&gt;"",COUNTIF($B$6:$B$705,$B194)&gt;1),"Codi RAE repetit. ","")&amp;IF(AND($B194&lt;&gt;"",$J194&lt;&gt;"",$J194&lt;&gt;"Contracte menor a càrrec del RAE"),"Té codi RAE però no és de tipus RAE. ","")&amp;IF($N194="","Falta l'indicador del Pla. ","")&amp;IF($R194="","Falta el gestor. ","")&amp;IF($S194="","Falta indicar si és recurrent. ",""))="","✔",TRIM(IF($C194="","Falta l'actuació. ","")&amp;IF($D194="","Falta l'objectiu. ","")&amp;IF($J194="","Falta el tipus de despesa. ","")&amp;IF(AND($J194&lt;&gt;"",$J194&lt;&gt;"Mitjans propis",$J194&lt;&gt;"Altres",$M194=""),"Falta l'import. ","")&amp;IF(AND($J194="Contracte menor a càrrec del RAE",$K194=""),"Falta la partida RAE. ","")&amp;IF(AND($B194&lt;&gt;"",COUNTIF($B$6:$B$705,$B194)&gt;1),"Codi RAE repetit. ","")&amp;IF(AND($B194&lt;&gt;"",$J194&lt;&gt;"",$J194&lt;&gt;"Contracte menor a càrrec del RAE"),"Té codi RAE però no és de tipus RAE. ","")&amp;IF($N194="","Falta l'indicador del Pla. ","")&amp;IF($R194="","Falta el gestor. ","")&amp;IF($S194="","Falta indicar si és recurrent. ",""))))</f>
        <v/>
      </c>
    </row>
    <row r="195">
      <c r="A195" s="10">
        <f>IF($D195="","","27_"&amp;IFERROR(INDEX(Objectius!$E$2:$E$183,MATCH($D195,Objectius!$A$2:$A$183,0)),"??")&amp;"_"&amp;TEXT(COUNTIF($I$6:$I195,$I195),"00"))</f>
        <v/>
      </c>
      <c r="B195" s="11" t="n"/>
      <c r="C195" s="11" t="n"/>
      <c r="D195" s="11" t="n"/>
      <c r="E195" s="10">
        <f>IF($D195="","",IFERROR(INDEX(Objectius!$C$2:$C$183,MATCH($D195,Objectius!$A$2:$A$183,0)),"Objectiu no trobat al Pla"))</f>
        <v/>
      </c>
      <c r="F195" s="11" t="n"/>
      <c r="G195" s="11" t="n"/>
      <c r="H195" s="11" t="n"/>
      <c r="I195" s="10">
        <f>IF($D195="","",IFERROR(INDEX(Objectius!$D$2:$D$183,MATCH($D195,Objectius!$A$2:$A$183,0)),""))</f>
        <v/>
      </c>
      <c r="J195" s="11" t="n"/>
      <c r="K195" s="11" t="n"/>
      <c r="L195" s="11" t="n"/>
      <c r="M195" s="12" t="n"/>
      <c r="N195" s="11" t="n"/>
      <c r="O195" s="10">
        <f>IF($N195="","",IFERROR(INDEX('PLA ESTRATÈGIC'!$G$4:$G$452,MATCH($N195,'PLA ESTRATÈGIC'!$Q$4:$Q$452,0)),""))</f>
        <v/>
      </c>
      <c r="P195" s="10">
        <f>IF($N195="","",IFERROR(INDEX('PLA ESTRATÈGIC'!$H$4:$H$452,MATCH($N195,'PLA ESTRATÈGIC'!$Q$4:$Q$452,0)),""))</f>
        <v/>
      </c>
      <c r="Q195" s="13" t="n"/>
      <c r="R195" s="11" t="n"/>
      <c r="S195" s="11" t="n"/>
      <c r="T195" s="11" t="n"/>
      <c r="U195" s="11" t="n"/>
      <c r="V195" s="10">
        <f>IF(COUNTA($C195,$D195,$J195,$M195)=0,"",IF(TRIM(IF($C195="","Falta l'actuació. ","")&amp;IF($D195="","Falta l'objectiu. ","")&amp;IF($J195="","Falta el tipus de despesa. ","")&amp;IF(AND($J195&lt;&gt;"",$J195&lt;&gt;"Mitjans propis",$J195&lt;&gt;"Altres",$M195=""),"Falta l'import. ","")&amp;IF(AND($J195="Contracte menor a càrrec del RAE",$K195=""),"Falta la partida RAE. ","")&amp;IF(AND($B195&lt;&gt;"",COUNTIF($B$6:$B$705,$B195)&gt;1),"Codi RAE repetit. ","")&amp;IF(AND($B195&lt;&gt;"",$J195&lt;&gt;"",$J195&lt;&gt;"Contracte menor a càrrec del RAE"),"Té codi RAE però no és de tipus RAE. ","")&amp;IF($N195="","Falta l'indicador del Pla. ","")&amp;IF($R195="","Falta el gestor. ","")&amp;IF($S195="","Falta indicar si és recurrent. ",""))="","✔",TRIM(IF($C195="","Falta l'actuació. ","")&amp;IF($D195="","Falta l'objectiu. ","")&amp;IF($J195="","Falta el tipus de despesa. ","")&amp;IF(AND($J195&lt;&gt;"",$J195&lt;&gt;"Mitjans propis",$J195&lt;&gt;"Altres",$M195=""),"Falta l'import. ","")&amp;IF(AND($J195="Contracte menor a càrrec del RAE",$K195=""),"Falta la partida RAE. ","")&amp;IF(AND($B195&lt;&gt;"",COUNTIF($B$6:$B$705,$B195)&gt;1),"Codi RAE repetit. ","")&amp;IF(AND($B195&lt;&gt;"",$J195&lt;&gt;"",$J195&lt;&gt;"Contracte menor a càrrec del RAE"),"Té codi RAE però no és de tipus RAE. ","")&amp;IF($N195="","Falta l'indicador del Pla. ","")&amp;IF($R195="","Falta el gestor. ","")&amp;IF($S195="","Falta indicar si és recurrent. ",""))))</f>
        <v/>
      </c>
    </row>
    <row r="196">
      <c r="A196" s="10">
        <f>IF($D196="","","27_"&amp;IFERROR(INDEX(Objectius!$E$2:$E$183,MATCH($D196,Objectius!$A$2:$A$183,0)),"??")&amp;"_"&amp;TEXT(COUNTIF($I$6:$I196,$I196),"00"))</f>
        <v/>
      </c>
      <c r="B196" s="11" t="n"/>
      <c r="C196" s="11" t="n"/>
      <c r="D196" s="11" t="n"/>
      <c r="E196" s="10">
        <f>IF($D196="","",IFERROR(INDEX(Objectius!$C$2:$C$183,MATCH($D196,Objectius!$A$2:$A$183,0)),"Objectiu no trobat al Pla"))</f>
        <v/>
      </c>
      <c r="F196" s="11" t="n"/>
      <c r="G196" s="11" t="n"/>
      <c r="H196" s="11" t="n"/>
      <c r="I196" s="10">
        <f>IF($D196="","",IFERROR(INDEX(Objectius!$D$2:$D$183,MATCH($D196,Objectius!$A$2:$A$183,0)),""))</f>
        <v/>
      </c>
      <c r="J196" s="11" t="n"/>
      <c r="K196" s="11" t="n"/>
      <c r="L196" s="11" t="n"/>
      <c r="M196" s="12" t="n"/>
      <c r="N196" s="11" t="n"/>
      <c r="O196" s="10">
        <f>IF($N196="","",IFERROR(INDEX('PLA ESTRATÈGIC'!$G$4:$G$452,MATCH($N196,'PLA ESTRATÈGIC'!$Q$4:$Q$452,0)),""))</f>
        <v/>
      </c>
      <c r="P196" s="10">
        <f>IF($N196="","",IFERROR(INDEX('PLA ESTRATÈGIC'!$H$4:$H$452,MATCH($N196,'PLA ESTRATÈGIC'!$Q$4:$Q$452,0)),""))</f>
        <v/>
      </c>
      <c r="Q196" s="13" t="n"/>
      <c r="R196" s="11" t="n"/>
      <c r="S196" s="11" t="n"/>
      <c r="T196" s="11" t="n"/>
      <c r="U196" s="11" t="n"/>
      <c r="V196" s="10">
        <f>IF(COUNTA($C196,$D196,$J196,$M196)=0,"",IF(TRIM(IF($C196="","Falta l'actuació. ","")&amp;IF($D196="","Falta l'objectiu. ","")&amp;IF($J196="","Falta el tipus de despesa. ","")&amp;IF(AND($J196&lt;&gt;"",$J196&lt;&gt;"Mitjans propis",$J196&lt;&gt;"Altres",$M196=""),"Falta l'import. ","")&amp;IF(AND($J196="Contracte menor a càrrec del RAE",$K196=""),"Falta la partida RAE. ","")&amp;IF(AND($B196&lt;&gt;"",COUNTIF($B$6:$B$705,$B196)&gt;1),"Codi RAE repetit. ","")&amp;IF(AND($B196&lt;&gt;"",$J196&lt;&gt;"",$J196&lt;&gt;"Contracte menor a càrrec del RAE"),"Té codi RAE però no és de tipus RAE. ","")&amp;IF($N196="","Falta l'indicador del Pla. ","")&amp;IF($R196="","Falta el gestor. ","")&amp;IF($S196="","Falta indicar si és recurrent. ",""))="","✔",TRIM(IF($C196="","Falta l'actuació. ","")&amp;IF($D196="","Falta l'objectiu. ","")&amp;IF($J196="","Falta el tipus de despesa. ","")&amp;IF(AND($J196&lt;&gt;"",$J196&lt;&gt;"Mitjans propis",$J196&lt;&gt;"Altres",$M196=""),"Falta l'import. ","")&amp;IF(AND($J196="Contracte menor a càrrec del RAE",$K196=""),"Falta la partida RAE. ","")&amp;IF(AND($B196&lt;&gt;"",COUNTIF($B$6:$B$705,$B196)&gt;1),"Codi RAE repetit. ","")&amp;IF(AND($B196&lt;&gt;"",$J196&lt;&gt;"",$J196&lt;&gt;"Contracte menor a càrrec del RAE"),"Té codi RAE però no és de tipus RAE. ","")&amp;IF($N196="","Falta l'indicador del Pla. ","")&amp;IF($R196="","Falta el gestor. ","")&amp;IF($S196="","Falta indicar si és recurrent. ",""))))</f>
        <v/>
      </c>
    </row>
    <row r="197">
      <c r="A197" s="10">
        <f>IF($D197="","","27_"&amp;IFERROR(INDEX(Objectius!$E$2:$E$183,MATCH($D197,Objectius!$A$2:$A$183,0)),"??")&amp;"_"&amp;TEXT(COUNTIF($I$6:$I197,$I197),"00"))</f>
        <v/>
      </c>
      <c r="B197" s="11" t="n"/>
      <c r="C197" s="11" t="n"/>
      <c r="D197" s="11" t="n"/>
      <c r="E197" s="10">
        <f>IF($D197="","",IFERROR(INDEX(Objectius!$C$2:$C$183,MATCH($D197,Objectius!$A$2:$A$183,0)),"Objectiu no trobat al Pla"))</f>
        <v/>
      </c>
      <c r="F197" s="11" t="n"/>
      <c r="G197" s="11" t="n"/>
      <c r="H197" s="11" t="n"/>
      <c r="I197" s="10">
        <f>IF($D197="","",IFERROR(INDEX(Objectius!$D$2:$D$183,MATCH($D197,Objectius!$A$2:$A$183,0)),""))</f>
        <v/>
      </c>
      <c r="J197" s="11" t="n"/>
      <c r="K197" s="11" t="n"/>
      <c r="L197" s="11" t="n"/>
      <c r="M197" s="12" t="n"/>
      <c r="N197" s="11" t="n"/>
      <c r="O197" s="10">
        <f>IF($N197="","",IFERROR(INDEX('PLA ESTRATÈGIC'!$G$4:$G$452,MATCH($N197,'PLA ESTRATÈGIC'!$Q$4:$Q$452,0)),""))</f>
        <v/>
      </c>
      <c r="P197" s="10">
        <f>IF($N197="","",IFERROR(INDEX('PLA ESTRATÈGIC'!$H$4:$H$452,MATCH($N197,'PLA ESTRATÈGIC'!$Q$4:$Q$452,0)),""))</f>
        <v/>
      </c>
      <c r="Q197" s="13" t="n"/>
      <c r="R197" s="11" t="n"/>
      <c r="S197" s="11" t="n"/>
      <c r="T197" s="11" t="n"/>
      <c r="U197" s="11" t="n"/>
      <c r="V197" s="10">
        <f>IF(COUNTA($C197,$D197,$J197,$M197)=0,"",IF(TRIM(IF($C197="","Falta l'actuació. ","")&amp;IF($D197="","Falta l'objectiu. ","")&amp;IF($J197="","Falta el tipus de despesa. ","")&amp;IF(AND($J197&lt;&gt;"",$J197&lt;&gt;"Mitjans propis",$J197&lt;&gt;"Altres",$M197=""),"Falta l'import. ","")&amp;IF(AND($J197="Contracte menor a càrrec del RAE",$K197=""),"Falta la partida RAE. ","")&amp;IF(AND($B197&lt;&gt;"",COUNTIF($B$6:$B$705,$B197)&gt;1),"Codi RAE repetit. ","")&amp;IF(AND($B197&lt;&gt;"",$J197&lt;&gt;"",$J197&lt;&gt;"Contracte menor a càrrec del RAE"),"Té codi RAE però no és de tipus RAE. ","")&amp;IF($N197="","Falta l'indicador del Pla. ","")&amp;IF($R197="","Falta el gestor. ","")&amp;IF($S197="","Falta indicar si és recurrent. ",""))="","✔",TRIM(IF($C197="","Falta l'actuació. ","")&amp;IF($D197="","Falta l'objectiu. ","")&amp;IF($J197="","Falta el tipus de despesa. ","")&amp;IF(AND($J197&lt;&gt;"",$J197&lt;&gt;"Mitjans propis",$J197&lt;&gt;"Altres",$M197=""),"Falta l'import. ","")&amp;IF(AND($J197="Contracte menor a càrrec del RAE",$K197=""),"Falta la partida RAE. ","")&amp;IF(AND($B197&lt;&gt;"",COUNTIF($B$6:$B$705,$B197)&gt;1),"Codi RAE repetit. ","")&amp;IF(AND($B197&lt;&gt;"",$J197&lt;&gt;"",$J197&lt;&gt;"Contracte menor a càrrec del RAE"),"Té codi RAE però no és de tipus RAE. ","")&amp;IF($N197="","Falta l'indicador del Pla. ","")&amp;IF($R197="","Falta el gestor. ","")&amp;IF($S197="","Falta indicar si és recurrent. ",""))))</f>
        <v/>
      </c>
    </row>
    <row r="198">
      <c r="A198" s="10">
        <f>IF($D198="","","27_"&amp;IFERROR(INDEX(Objectius!$E$2:$E$183,MATCH($D198,Objectius!$A$2:$A$183,0)),"??")&amp;"_"&amp;TEXT(COUNTIF($I$6:$I198,$I198),"00"))</f>
        <v/>
      </c>
      <c r="B198" s="11" t="n"/>
      <c r="C198" s="11" t="n"/>
      <c r="D198" s="11" t="n"/>
      <c r="E198" s="10">
        <f>IF($D198="","",IFERROR(INDEX(Objectius!$C$2:$C$183,MATCH($D198,Objectius!$A$2:$A$183,0)),"Objectiu no trobat al Pla"))</f>
        <v/>
      </c>
      <c r="F198" s="11" t="n"/>
      <c r="G198" s="11" t="n"/>
      <c r="H198" s="11" t="n"/>
      <c r="I198" s="10">
        <f>IF($D198="","",IFERROR(INDEX(Objectius!$D$2:$D$183,MATCH($D198,Objectius!$A$2:$A$183,0)),""))</f>
        <v/>
      </c>
      <c r="J198" s="11" t="n"/>
      <c r="K198" s="11" t="n"/>
      <c r="L198" s="11" t="n"/>
      <c r="M198" s="12" t="n"/>
      <c r="N198" s="11" t="n"/>
      <c r="O198" s="10">
        <f>IF($N198="","",IFERROR(INDEX('PLA ESTRATÈGIC'!$G$4:$G$452,MATCH($N198,'PLA ESTRATÈGIC'!$Q$4:$Q$452,0)),""))</f>
        <v/>
      </c>
      <c r="P198" s="10">
        <f>IF($N198="","",IFERROR(INDEX('PLA ESTRATÈGIC'!$H$4:$H$452,MATCH($N198,'PLA ESTRATÈGIC'!$Q$4:$Q$452,0)),""))</f>
        <v/>
      </c>
      <c r="Q198" s="13" t="n"/>
      <c r="R198" s="11" t="n"/>
      <c r="S198" s="11" t="n"/>
      <c r="T198" s="11" t="n"/>
      <c r="U198" s="11" t="n"/>
      <c r="V198" s="10">
        <f>IF(COUNTA($C198,$D198,$J198,$M198)=0,"",IF(TRIM(IF($C198="","Falta l'actuació. ","")&amp;IF($D198="","Falta l'objectiu. ","")&amp;IF($J198="","Falta el tipus de despesa. ","")&amp;IF(AND($J198&lt;&gt;"",$J198&lt;&gt;"Mitjans propis",$J198&lt;&gt;"Altres",$M198=""),"Falta l'import. ","")&amp;IF(AND($J198="Contracte menor a càrrec del RAE",$K198=""),"Falta la partida RAE. ","")&amp;IF(AND($B198&lt;&gt;"",COUNTIF($B$6:$B$705,$B198)&gt;1),"Codi RAE repetit. ","")&amp;IF(AND($B198&lt;&gt;"",$J198&lt;&gt;"",$J198&lt;&gt;"Contracte menor a càrrec del RAE"),"Té codi RAE però no és de tipus RAE. ","")&amp;IF($N198="","Falta l'indicador del Pla. ","")&amp;IF($R198="","Falta el gestor. ","")&amp;IF($S198="","Falta indicar si és recurrent. ",""))="","✔",TRIM(IF($C198="","Falta l'actuació. ","")&amp;IF($D198="","Falta l'objectiu. ","")&amp;IF($J198="","Falta el tipus de despesa. ","")&amp;IF(AND($J198&lt;&gt;"",$J198&lt;&gt;"Mitjans propis",$J198&lt;&gt;"Altres",$M198=""),"Falta l'import. ","")&amp;IF(AND($J198="Contracte menor a càrrec del RAE",$K198=""),"Falta la partida RAE. ","")&amp;IF(AND($B198&lt;&gt;"",COUNTIF($B$6:$B$705,$B198)&gt;1),"Codi RAE repetit. ","")&amp;IF(AND($B198&lt;&gt;"",$J198&lt;&gt;"",$J198&lt;&gt;"Contracte menor a càrrec del RAE"),"Té codi RAE però no és de tipus RAE. ","")&amp;IF($N198="","Falta l'indicador del Pla. ","")&amp;IF($R198="","Falta el gestor. ","")&amp;IF($S198="","Falta indicar si és recurrent. ",""))))</f>
        <v/>
      </c>
    </row>
    <row r="199">
      <c r="A199" s="10">
        <f>IF($D199="","","27_"&amp;IFERROR(INDEX(Objectius!$E$2:$E$183,MATCH($D199,Objectius!$A$2:$A$183,0)),"??")&amp;"_"&amp;TEXT(COUNTIF($I$6:$I199,$I199),"00"))</f>
        <v/>
      </c>
      <c r="B199" s="11" t="n"/>
      <c r="C199" s="11" t="n"/>
      <c r="D199" s="11" t="n"/>
      <c r="E199" s="10">
        <f>IF($D199="","",IFERROR(INDEX(Objectius!$C$2:$C$183,MATCH($D199,Objectius!$A$2:$A$183,0)),"Objectiu no trobat al Pla"))</f>
        <v/>
      </c>
      <c r="F199" s="11" t="n"/>
      <c r="G199" s="11" t="n"/>
      <c r="H199" s="11" t="n"/>
      <c r="I199" s="10">
        <f>IF($D199="","",IFERROR(INDEX(Objectius!$D$2:$D$183,MATCH($D199,Objectius!$A$2:$A$183,0)),""))</f>
        <v/>
      </c>
      <c r="J199" s="11" t="n"/>
      <c r="K199" s="11" t="n"/>
      <c r="L199" s="11" t="n"/>
      <c r="M199" s="12" t="n"/>
      <c r="N199" s="11" t="n"/>
      <c r="O199" s="10">
        <f>IF($N199="","",IFERROR(INDEX('PLA ESTRATÈGIC'!$G$4:$G$452,MATCH($N199,'PLA ESTRATÈGIC'!$Q$4:$Q$452,0)),""))</f>
        <v/>
      </c>
      <c r="P199" s="10">
        <f>IF($N199="","",IFERROR(INDEX('PLA ESTRATÈGIC'!$H$4:$H$452,MATCH($N199,'PLA ESTRATÈGIC'!$Q$4:$Q$452,0)),""))</f>
        <v/>
      </c>
      <c r="Q199" s="13" t="n"/>
      <c r="R199" s="11" t="n"/>
      <c r="S199" s="11" t="n"/>
      <c r="T199" s="11" t="n"/>
      <c r="U199" s="11" t="n"/>
      <c r="V199" s="10">
        <f>IF(COUNTA($C199,$D199,$J199,$M199)=0,"",IF(TRIM(IF($C199="","Falta l'actuació. ","")&amp;IF($D199="","Falta l'objectiu. ","")&amp;IF($J199="","Falta el tipus de despesa. ","")&amp;IF(AND($J199&lt;&gt;"",$J199&lt;&gt;"Mitjans propis",$J199&lt;&gt;"Altres",$M199=""),"Falta l'import. ","")&amp;IF(AND($J199="Contracte menor a càrrec del RAE",$K199=""),"Falta la partida RAE. ","")&amp;IF(AND($B199&lt;&gt;"",COUNTIF($B$6:$B$705,$B199)&gt;1),"Codi RAE repetit. ","")&amp;IF(AND($B199&lt;&gt;"",$J199&lt;&gt;"",$J199&lt;&gt;"Contracte menor a càrrec del RAE"),"Té codi RAE però no és de tipus RAE. ","")&amp;IF($N199="","Falta l'indicador del Pla. ","")&amp;IF($R199="","Falta el gestor. ","")&amp;IF($S199="","Falta indicar si és recurrent. ",""))="","✔",TRIM(IF($C199="","Falta l'actuació. ","")&amp;IF($D199="","Falta l'objectiu. ","")&amp;IF($J199="","Falta el tipus de despesa. ","")&amp;IF(AND($J199&lt;&gt;"",$J199&lt;&gt;"Mitjans propis",$J199&lt;&gt;"Altres",$M199=""),"Falta l'import. ","")&amp;IF(AND($J199="Contracte menor a càrrec del RAE",$K199=""),"Falta la partida RAE. ","")&amp;IF(AND($B199&lt;&gt;"",COUNTIF($B$6:$B$705,$B199)&gt;1),"Codi RAE repetit. ","")&amp;IF(AND($B199&lt;&gt;"",$J199&lt;&gt;"",$J199&lt;&gt;"Contracte menor a càrrec del RAE"),"Té codi RAE però no és de tipus RAE. ","")&amp;IF($N199="","Falta l'indicador del Pla. ","")&amp;IF($R199="","Falta el gestor. ","")&amp;IF($S199="","Falta indicar si és recurrent. ",""))))</f>
        <v/>
      </c>
    </row>
    <row r="200">
      <c r="A200" s="10">
        <f>IF($D200="","","27_"&amp;IFERROR(INDEX(Objectius!$E$2:$E$183,MATCH($D200,Objectius!$A$2:$A$183,0)),"??")&amp;"_"&amp;TEXT(COUNTIF($I$6:$I200,$I200),"00"))</f>
        <v/>
      </c>
      <c r="B200" s="11" t="n"/>
      <c r="C200" s="11" t="n"/>
      <c r="D200" s="11" t="n"/>
      <c r="E200" s="10">
        <f>IF($D200="","",IFERROR(INDEX(Objectius!$C$2:$C$183,MATCH($D200,Objectius!$A$2:$A$183,0)),"Objectiu no trobat al Pla"))</f>
        <v/>
      </c>
      <c r="F200" s="11" t="n"/>
      <c r="G200" s="11" t="n"/>
      <c r="H200" s="11" t="n"/>
      <c r="I200" s="10">
        <f>IF($D200="","",IFERROR(INDEX(Objectius!$D$2:$D$183,MATCH($D200,Objectius!$A$2:$A$183,0)),""))</f>
        <v/>
      </c>
      <c r="J200" s="11" t="n"/>
      <c r="K200" s="11" t="n"/>
      <c r="L200" s="11" t="n"/>
      <c r="M200" s="12" t="n"/>
      <c r="N200" s="11" t="n"/>
      <c r="O200" s="10">
        <f>IF($N200="","",IFERROR(INDEX('PLA ESTRATÈGIC'!$G$4:$G$452,MATCH($N200,'PLA ESTRATÈGIC'!$Q$4:$Q$452,0)),""))</f>
        <v/>
      </c>
      <c r="P200" s="10">
        <f>IF($N200="","",IFERROR(INDEX('PLA ESTRATÈGIC'!$H$4:$H$452,MATCH($N200,'PLA ESTRATÈGIC'!$Q$4:$Q$452,0)),""))</f>
        <v/>
      </c>
      <c r="Q200" s="13" t="n"/>
      <c r="R200" s="11" t="n"/>
      <c r="S200" s="11" t="n"/>
      <c r="T200" s="11" t="n"/>
      <c r="U200" s="11" t="n"/>
      <c r="V200" s="10">
        <f>IF(COUNTA($C200,$D200,$J200,$M200)=0,"",IF(TRIM(IF($C200="","Falta l'actuació. ","")&amp;IF($D200="","Falta l'objectiu. ","")&amp;IF($J200="","Falta el tipus de despesa. ","")&amp;IF(AND($J200&lt;&gt;"",$J200&lt;&gt;"Mitjans propis",$J200&lt;&gt;"Altres",$M200=""),"Falta l'import. ","")&amp;IF(AND($J200="Contracte menor a càrrec del RAE",$K200=""),"Falta la partida RAE. ","")&amp;IF(AND($B200&lt;&gt;"",COUNTIF($B$6:$B$705,$B200)&gt;1),"Codi RAE repetit. ","")&amp;IF(AND($B200&lt;&gt;"",$J200&lt;&gt;"",$J200&lt;&gt;"Contracte menor a càrrec del RAE"),"Té codi RAE però no és de tipus RAE. ","")&amp;IF($N200="","Falta l'indicador del Pla. ","")&amp;IF($R200="","Falta el gestor. ","")&amp;IF($S200="","Falta indicar si és recurrent. ",""))="","✔",TRIM(IF($C200="","Falta l'actuació. ","")&amp;IF($D200="","Falta l'objectiu. ","")&amp;IF($J200="","Falta el tipus de despesa. ","")&amp;IF(AND($J200&lt;&gt;"",$J200&lt;&gt;"Mitjans propis",$J200&lt;&gt;"Altres",$M200=""),"Falta l'import. ","")&amp;IF(AND($J200="Contracte menor a càrrec del RAE",$K200=""),"Falta la partida RAE. ","")&amp;IF(AND($B200&lt;&gt;"",COUNTIF($B$6:$B$705,$B200)&gt;1),"Codi RAE repetit. ","")&amp;IF(AND($B200&lt;&gt;"",$J200&lt;&gt;"",$J200&lt;&gt;"Contracte menor a càrrec del RAE"),"Té codi RAE però no és de tipus RAE. ","")&amp;IF($N200="","Falta l'indicador del Pla. ","")&amp;IF($R200="","Falta el gestor. ","")&amp;IF($S200="","Falta indicar si és recurrent. ",""))))</f>
        <v/>
      </c>
    </row>
    <row r="201">
      <c r="A201" s="10">
        <f>IF($D201="","","27_"&amp;IFERROR(INDEX(Objectius!$E$2:$E$183,MATCH($D201,Objectius!$A$2:$A$183,0)),"??")&amp;"_"&amp;TEXT(COUNTIF($I$6:$I201,$I201),"00"))</f>
        <v/>
      </c>
      <c r="B201" s="11" t="n"/>
      <c r="C201" s="11" t="n"/>
      <c r="D201" s="11" t="n"/>
      <c r="E201" s="10">
        <f>IF($D201="","",IFERROR(INDEX(Objectius!$C$2:$C$183,MATCH($D201,Objectius!$A$2:$A$183,0)),"Objectiu no trobat al Pla"))</f>
        <v/>
      </c>
      <c r="F201" s="11" t="n"/>
      <c r="G201" s="11" t="n"/>
      <c r="H201" s="11" t="n"/>
      <c r="I201" s="10">
        <f>IF($D201="","",IFERROR(INDEX(Objectius!$D$2:$D$183,MATCH($D201,Objectius!$A$2:$A$183,0)),""))</f>
        <v/>
      </c>
      <c r="J201" s="11" t="n"/>
      <c r="K201" s="11" t="n"/>
      <c r="L201" s="11" t="n"/>
      <c r="M201" s="12" t="n"/>
      <c r="N201" s="11" t="n"/>
      <c r="O201" s="10">
        <f>IF($N201="","",IFERROR(INDEX('PLA ESTRATÈGIC'!$G$4:$G$452,MATCH($N201,'PLA ESTRATÈGIC'!$Q$4:$Q$452,0)),""))</f>
        <v/>
      </c>
      <c r="P201" s="10">
        <f>IF($N201="","",IFERROR(INDEX('PLA ESTRATÈGIC'!$H$4:$H$452,MATCH($N201,'PLA ESTRATÈGIC'!$Q$4:$Q$452,0)),""))</f>
        <v/>
      </c>
      <c r="Q201" s="13" t="n"/>
      <c r="R201" s="11" t="n"/>
      <c r="S201" s="11" t="n"/>
      <c r="T201" s="11" t="n"/>
      <c r="U201" s="11" t="n"/>
      <c r="V201" s="10">
        <f>IF(COUNTA($C201,$D201,$J201,$M201)=0,"",IF(TRIM(IF($C201="","Falta l'actuació. ","")&amp;IF($D201="","Falta l'objectiu. ","")&amp;IF($J201="","Falta el tipus de despesa. ","")&amp;IF(AND($J201&lt;&gt;"",$J201&lt;&gt;"Mitjans propis",$J201&lt;&gt;"Altres",$M201=""),"Falta l'import. ","")&amp;IF(AND($J201="Contracte menor a càrrec del RAE",$K201=""),"Falta la partida RAE. ","")&amp;IF(AND($B201&lt;&gt;"",COUNTIF($B$6:$B$705,$B201)&gt;1),"Codi RAE repetit. ","")&amp;IF(AND($B201&lt;&gt;"",$J201&lt;&gt;"",$J201&lt;&gt;"Contracte menor a càrrec del RAE"),"Té codi RAE però no és de tipus RAE. ","")&amp;IF($N201="","Falta l'indicador del Pla. ","")&amp;IF($R201="","Falta el gestor. ","")&amp;IF($S201="","Falta indicar si és recurrent. ",""))="","✔",TRIM(IF($C201="","Falta l'actuació. ","")&amp;IF($D201="","Falta l'objectiu. ","")&amp;IF($J201="","Falta el tipus de despesa. ","")&amp;IF(AND($J201&lt;&gt;"",$J201&lt;&gt;"Mitjans propis",$J201&lt;&gt;"Altres",$M201=""),"Falta l'import. ","")&amp;IF(AND($J201="Contracte menor a càrrec del RAE",$K201=""),"Falta la partida RAE. ","")&amp;IF(AND($B201&lt;&gt;"",COUNTIF($B$6:$B$705,$B201)&gt;1),"Codi RAE repetit. ","")&amp;IF(AND($B201&lt;&gt;"",$J201&lt;&gt;"",$J201&lt;&gt;"Contracte menor a càrrec del RAE"),"Té codi RAE però no és de tipus RAE. ","")&amp;IF($N201="","Falta l'indicador del Pla. ","")&amp;IF($R201="","Falta el gestor. ","")&amp;IF($S201="","Falta indicar si és recurrent. ",""))))</f>
        <v/>
      </c>
    </row>
    <row r="202">
      <c r="A202" s="10">
        <f>IF($D202="","","27_"&amp;IFERROR(INDEX(Objectius!$E$2:$E$183,MATCH($D202,Objectius!$A$2:$A$183,0)),"??")&amp;"_"&amp;TEXT(COUNTIF($I$6:$I202,$I202),"00"))</f>
        <v/>
      </c>
      <c r="B202" s="11" t="n"/>
      <c r="C202" s="11" t="n"/>
      <c r="D202" s="11" t="n"/>
      <c r="E202" s="10">
        <f>IF($D202="","",IFERROR(INDEX(Objectius!$C$2:$C$183,MATCH($D202,Objectius!$A$2:$A$183,0)),"Objectiu no trobat al Pla"))</f>
        <v/>
      </c>
      <c r="F202" s="11" t="n"/>
      <c r="G202" s="11" t="n"/>
      <c r="H202" s="11" t="n"/>
      <c r="I202" s="10">
        <f>IF($D202="","",IFERROR(INDEX(Objectius!$D$2:$D$183,MATCH($D202,Objectius!$A$2:$A$183,0)),""))</f>
        <v/>
      </c>
      <c r="J202" s="11" t="n"/>
      <c r="K202" s="11" t="n"/>
      <c r="L202" s="11" t="n"/>
      <c r="M202" s="12" t="n"/>
      <c r="N202" s="11" t="n"/>
      <c r="O202" s="10">
        <f>IF($N202="","",IFERROR(INDEX('PLA ESTRATÈGIC'!$G$4:$G$452,MATCH($N202,'PLA ESTRATÈGIC'!$Q$4:$Q$452,0)),""))</f>
        <v/>
      </c>
      <c r="P202" s="10">
        <f>IF($N202="","",IFERROR(INDEX('PLA ESTRATÈGIC'!$H$4:$H$452,MATCH($N202,'PLA ESTRATÈGIC'!$Q$4:$Q$452,0)),""))</f>
        <v/>
      </c>
      <c r="Q202" s="13" t="n"/>
      <c r="R202" s="11" t="n"/>
      <c r="S202" s="11" t="n"/>
      <c r="T202" s="11" t="n"/>
      <c r="U202" s="11" t="n"/>
      <c r="V202" s="10">
        <f>IF(COUNTA($C202,$D202,$J202,$M202)=0,"",IF(TRIM(IF($C202="","Falta l'actuació. ","")&amp;IF($D202="","Falta l'objectiu. ","")&amp;IF($J202="","Falta el tipus de despesa. ","")&amp;IF(AND($J202&lt;&gt;"",$J202&lt;&gt;"Mitjans propis",$J202&lt;&gt;"Altres",$M202=""),"Falta l'import. ","")&amp;IF(AND($J202="Contracte menor a càrrec del RAE",$K202=""),"Falta la partida RAE. ","")&amp;IF(AND($B202&lt;&gt;"",COUNTIF($B$6:$B$705,$B202)&gt;1),"Codi RAE repetit. ","")&amp;IF(AND($B202&lt;&gt;"",$J202&lt;&gt;"",$J202&lt;&gt;"Contracte menor a càrrec del RAE"),"Té codi RAE però no és de tipus RAE. ","")&amp;IF($N202="","Falta l'indicador del Pla. ","")&amp;IF($R202="","Falta el gestor. ","")&amp;IF($S202="","Falta indicar si és recurrent. ",""))="","✔",TRIM(IF($C202="","Falta l'actuació. ","")&amp;IF($D202="","Falta l'objectiu. ","")&amp;IF($J202="","Falta el tipus de despesa. ","")&amp;IF(AND($J202&lt;&gt;"",$J202&lt;&gt;"Mitjans propis",$J202&lt;&gt;"Altres",$M202=""),"Falta l'import. ","")&amp;IF(AND($J202="Contracte menor a càrrec del RAE",$K202=""),"Falta la partida RAE. ","")&amp;IF(AND($B202&lt;&gt;"",COUNTIF($B$6:$B$705,$B202)&gt;1),"Codi RAE repetit. ","")&amp;IF(AND($B202&lt;&gt;"",$J202&lt;&gt;"",$J202&lt;&gt;"Contracte menor a càrrec del RAE"),"Té codi RAE però no és de tipus RAE. ","")&amp;IF($N202="","Falta l'indicador del Pla. ","")&amp;IF($R202="","Falta el gestor. ","")&amp;IF($S202="","Falta indicar si és recurrent. ",""))))</f>
        <v/>
      </c>
    </row>
    <row r="203">
      <c r="A203" s="10">
        <f>IF($D203="","","27_"&amp;IFERROR(INDEX(Objectius!$E$2:$E$183,MATCH($D203,Objectius!$A$2:$A$183,0)),"??")&amp;"_"&amp;TEXT(COUNTIF($I$6:$I203,$I203),"00"))</f>
        <v/>
      </c>
      <c r="B203" s="11" t="n"/>
      <c r="C203" s="11" t="n"/>
      <c r="D203" s="11" t="n"/>
      <c r="E203" s="10">
        <f>IF($D203="","",IFERROR(INDEX(Objectius!$C$2:$C$183,MATCH($D203,Objectius!$A$2:$A$183,0)),"Objectiu no trobat al Pla"))</f>
        <v/>
      </c>
      <c r="F203" s="11" t="n"/>
      <c r="G203" s="11" t="n"/>
      <c r="H203" s="11" t="n"/>
      <c r="I203" s="10">
        <f>IF($D203="","",IFERROR(INDEX(Objectius!$D$2:$D$183,MATCH($D203,Objectius!$A$2:$A$183,0)),""))</f>
        <v/>
      </c>
      <c r="J203" s="11" t="n"/>
      <c r="K203" s="11" t="n"/>
      <c r="L203" s="11" t="n"/>
      <c r="M203" s="12" t="n"/>
      <c r="N203" s="11" t="n"/>
      <c r="O203" s="10">
        <f>IF($N203="","",IFERROR(INDEX('PLA ESTRATÈGIC'!$G$4:$G$452,MATCH($N203,'PLA ESTRATÈGIC'!$Q$4:$Q$452,0)),""))</f>
        <v/>
      </c>
      <c r="P203" s="10">
        <f>IF($N203="","",IFERROR(INDEX('PLA ESTRATÈGIC'!$H$4:$H$452,MATCH($N203,'PLA ESTRATÈGIC'!$Q$4:$Q$452,0)),""))</f>
        <v/>
      </c>
      <c r="Q203" s="13" t="n"/>
      <c r="R203" s="11" t="n"/>
      <c r="S203" s="11" t="n"/>
      <c r="T203" s="11" t="n"/>
      <c r="U203" s="11" t="n"/>
      <c r="V203" s="10">
        <f>IF(COUNTA($C203,$D203,$J203,$M203)=0,"",IF(TRIM(IF($C203="","Falta l'actuació. ","")&amp;IF($D203="","Falta l'objectiu. ","")&amp;IF($J203="","Falta el tipus de despesa. ","")&amp;IF(AND($J203&lt;&gt;"",$J203&lt;&gt;"Mitjans propis",$J203&lt;&gt;"Altres",$M203=""),"Falta l'import. ","")&amp;IF(AND($J203="Contracte menor a càrrec del RAE",$K203=""),"Falta la partida RAE. ","")&amp;IF(AND($B203&lt;&gt;"",COUNTIF($B$6:$B$705,$B203)&gt;1),"Codi RAE repetit. ","")&amp;IF(AND($B203&lt;&gt;"",$J203&lt;&gt;"",$J203&lt;&gt;"Contracte menor a càrrec del RAE"),"Té codi RAE però no és de tipus RAE. ","")&amp;IF($N203="","Falta l'indicador del Pla. ","")&amp;IF($R203="","Falta el gestor. ","")&amp;IF($S203="","Falta indicar si és recurrent. ",""))="","✔",TRIM(IF($C203="","Falta l'actuació. ","")&amp;IF($D203="","Falta l'objectiu. ","")&amp;IF($J203="","Falta el tipus de despesa. ","")&amp;IF(AND($J203&lt;&gt;"",$J203&lt;&gt;"Mitjans propis",$J203&lt;&gt;"Altres",$M203=""),"Falta l'import. ","")&amp;IF(AND($J203="Contracte menor a càrrec del RAE",$K203=""),"Falta la partida RAE. ","")&amp;IF(AND($B203&lt;&gt;"",COUNTIF($B$6:$B$705,$B203)&gt;1),"Codi RAE repetit. ","")&amp;IF(AND($B203&lt;&gt;"",$J203&lt;&gt;"",$J203&lt;&gt;"Contracte menor a càrrec del RAE"),"Té codi RAE però no és de tipus RAE. ","")&amp;IF($N203="","Falta l'indicador del Pla. ","")&amp;IF($R203="","Falta el gestor. ","")&amp;IF($S203="","Falta indicar si és recurrent. ",""))))</f>
        <v/>
      </c>
    </row>
    <row r="204">
      <c r="A204" s="10">
        <f>IF($D204="","","27_"&amp;IFERROR(INDEX(Objectius!$E$2:$E$183,MATCH($D204,Objectius!$A$2:$A$183,0)),"??")&amp;"_"&amp;TEXT(COUNTIF($I$6:$I204,$I204),"00"))</f>
        <v/>
      </c>
      <c r="B204" s="11" t="n"/>
      <c r="C204" s="11" t="n"/>
      <c r="D204" s="11" t="n"/>
      <c r="E204" s="10">
        <f>IF($D204="","",IFERROR(INDEX(Objectius!$C$2:$C$183,MATCH($D204,Objectius!$A$2:$A$183,0)),"Objectiu no trobat al Pla"))</f>
        <v/>
      </c>
      <c r="F204" s="11" t="n"/>
      <c r="G204" s="11" t="n"/>
      <c r="H204" s="11" t="n"/>
      <c r="I204" s="10">
        <f>IF($D204="","",IFERROR(INDEX(Objectius!$D$2:$D$183,MATCH($D204,Objectius!$A$2:$A$183,0)),""))</f>
        <v/>
      </c>
      <c r="J204" s="11" t="n"/>
      <c r="K204" s="11" t="n"/>
      <c r="L204" s="11" t="n"/>
      <c r="M204" s="12" t="n"/>
      <c r="N204" s="11" t="n"/>
      <c r="O204" s="10">
        <f>IF($N204="","",IFERROR(INDEX('PLA ESTRATÈGIC'!$G$4:$G$452,MATCH($N204,'PLA ESTRATÈGIC'!$Q$4:$Q$452,0)),""))</f>
        <v/>
      </c>
      <c r="P204" s="10">
        <f>IF($N204="","",IFERROR(INDEX('PLA ESTRATÈGIC'!$H$4:$H$452,MATCH($N204,'PLA ESTRATÈGIC'!$Q$4:$Q$452,0)),""))</f>
        <v/>
      </c>
      <c r="Q204" s="13" t="n"/>
      <c r="R204" s="11" t="n"/>
      <c r="S204" s="11" t="n"/>
      <c r="T204" s="11" t="n"/>
      <c r="U204" s="11" t="n"/>
      <c r="V204" s="10">
        <f>IF(COUNTA($C204,$D204,$J204,$M204)=0,"",IF(TRIM(IF($C204="","Falta l'actuació. ","")&amp;IF($D204="","Falta l'objectiu. ","")&amp;IF($J204="","Falta el tipus de despesa. ","")&amp;IF(AND($J204&lt;&gt;"",$J204&lt;&gt;"Mitjans propis",$J204&lt;&gt;"Altres",$M204=""),"Falta l'import. ","")&amp;IF(AND($J204="Contracte menor a càrrec del RAE",$K204=""),"Falta la partida RAE. ","")&amp;IF(AND($B204&lt;&gt;"",COUNTIF($B$6:$B$705,$B204)&gt;1),"Codi RAE repetit. ","")&amp;IF(AND($B204&lt;&gt;"",$J204&lt;&gt;"",$J204&lt;&gt;"Contracte menor a càrrec del RAE"),"Té codi RAE però no és de tipus RAE. ","")&amp;IF($N204="","Falta l'indicador del Pla. ","")&amp;IF($R204="","Falta el gestor. ","")&amp;IF($S204="","Falta indicar si és recurrent. ",""))="","✔",TRIM(IF($C204="","Falta l'actuació. ","")&amp;IF($D204="","Falta l'objectiu. ","")&amp;IF($J204="","Falta el tipus de despesa. ","")&amp;IF(AND($J204&lt;&gt;"",$J204&lt;&gt;"Mitjans propis",$J204&lt;&gt;"Altres",$M204=""),"Falta l'import. ","")&amp;IF(AND($J204="Contracte menor a càrrec del RAE",$K204=""),"Falta la partida RAE. ","")&amp;IF(AND($B204&lt;&gt;"",COUNTIF($B$6:$B$705,$B204)&gt;1),"Codi RAE repetit. ","")&amp;IF(AND($B204&lt;&gt;"",$J204&lt;&gt;"",$J204&lt;&gt;"Contracte menor a càrrec del RAE"),"Té codi RAE però no és de tipus RAE. ","")&amp;IF($N204="","Falta l'indicador del Pla. ","")&amp;IF($R204="","Falta el gestor. ","")&amp;IF($S204="","Falta indicar si és recurrent. ",""))))</f>
        <v/>
      </c>
    </row>
    <row r="205">
      <c r="A205" s="10">
        <f>IF($D205="","","27_"&amp;IFERROR(INDEX(Objectius!$E$2:$E$183,MATCH($D205,Objectius!$A$2:$A$183,0)),"??")&amp;"_"&amp;TEXT(COUNTIF($I$6:$I205,$I205),"00"))</f>
        <v/>
      </c>
      <c r="B205" s="11" t="n"/>
      <c r="C205" s="11" t="n"/>
      <c r="D205" s="11" t="n"/>
      <c r="E205" s="10">
        <f>IF($D205="","",IFERROR(INDEX(Objectius!$C$2:$C$183,MATCH($D205,Objectius!$A$2:$A$183,0)),"Objectiu no trobat al Pla"))</f>
        <v/>
      </c>
      <c r="F205" s="11" t="n"/>
      <c r="G205" s="11" t="n"/>
      <c r="H205" s="11" t="n"/>
      <c r="I205" s="10">
        <f>IF($D205="","",IFERROR(INDEX(Objectius!$D$2:$D$183,MATCH($D205,Objectius!$A$2:$A$183,0)),""))</f>
        <v/>
      </c>
      <c r="J205" s="11" t="n"/>
      <c r="K205" s="11" t="n"/>
      <c r="L205" s="11" t="n"/>
      <c r="M205" s="12" t="n"/>
      <c r="N205" s="11" t="n"/>
      <c r="O205" s="10">
        <f>IF($N205="","",IFERROR(INDEX('PLA ESTRATÈGIC'!$G$4:$G$452,MATCH($N205,'PLA ESTRATÈGIC'!$Q$4:$Q$452,0)),""))</f>
        <v/>
      </c>
      <c r="P205" s="10">
        <f>IF($N205="","",IFERROR(INDEX('PLA ESTRATÈGIC'!$H$4:$H$452,MATCH($N205,'PLA ESTRATÈGIC'!$Q$4:$Q$452,0)),""))</f>
        <v/>
      </c>
      <c r="Q205" s="13" t="n"/>
      <c r="R205" s="11" t="n"/>
      <c r="S205" s="11" t="n"/>
      <c r="T205" s="11" t="n"/>
      <c r="U205" s="11" t="n"/>
      <c r="V205" s="10">
        <f>IF(COUNTA($C205,$D205,$J205,$M205)=0,"",IF(TRIM(IF($C205="","Falta l'actuació. ","")&amp;IF($D205="","Falta l'objectiu. ","")&amp;IF($J205="","Falta el tipus de despesa. ","")&amp;IF(AND($J205&lt;&gt;"",$J205&lt;&gt;"Mitjans propis",$J205&lt;&gt;"Altres",$M205=""),"Falta l'import. ","")&amp;IF(AND($J205="Contracte menor a càrrec del RAE",$K205=""),"Falta la partida RAE. ","")&amp;IF(AND($B205&lt;&gt;"",COUNTIF($B$6:$B$705,$B205)&gt;1),"Codi RAE repetit. ","")&amp;IF(AND($B205&lt;&gt;"",$J205&lt;&gt;"",$J205&lt;&gt;"Contracte menor a càrrec del RAE"),"Té codi RAE però no és de tipus RAE. ","")&amp;IF($N205="","Falta l'indicador del Pla. ","")&amp;IF($R205="","Falta el gestor. ","")&amp;IF($S205="","Falta indicar si és recurrent. ",""))="","✔",TRIM(IF($C205="","Falta l'actuació. ","")&amp;IF($D205="","Falta l'objectiu. ","")&amp;IF($J205="","Falta el tipus de despesa. ","")&amp;IF(AND($J205&lt;&gt;"",$J205&lt;&gt;"Mitjans propis",$J205&lt;&gt;"Altres",$M205=""),"Falta l'import. ","")&amp;IF(AND($J205="Contracte menor a càrrec del RAE",$K205=""),"Falta la partida RAE. ","")&amp;IF(AND($B205&lt;&gt;"",COUNTIF($B$6:$B$705,$B205)&gt;1),"Codi RAE repetit. ","")&amp;IF(AND($B205&lt;&gt;"",$J205&lt;&gt;"",$J205&lt;&gt;"Contracte menor a càrrec del RAE"),"Té codi RAE però no és de tipus RAE. ","")&amp;IF($N205="","Falta l'indicador del Pla. ","")&amp;IF($R205="","Falta el gestor. ","")&amp;IF($S205="","Falta indicar si és recurrent. ",""))))</f>
        <v/>
      </c>
    </row>
    <row r="206">
      <c r="A206" s="10">
        <f>IF($D206="","","27_"&amp;IFERROR(INDEX(Objectius!$E$2:$E$183,MATCH($D206,Objectius!$A$2:$A$183,0)),"??")&amp;"_"&amp;TEXT(COUNTIF($I$6:$I206,$I206),"00"))</f>
        <v/>
      </c>
      <c r="B206" s="11" t="n"/>
      <c r="C206" s="11" t="n"/>
      <c r="D206" s="11" t="n"/>
      <c r="E206" s="10">
        <f>IF($D206="","",IFERROR(INDEX(Objectius!$C$2:$C$183,MATCH($D206,Objectius!$A$2:$A$183,0)),"Objectiu no trobat al Pla"))</f>
        <v/>
      </c>
      <c r="F206" s="11" t="n"/>
      <c r="G206" s="11" t="n"/>
      <c r="H206" s="11" t="n"/>
      <c r="I206" s="10">
        <f>IF($D206="","",IFERROR(INDEX(Objectius!$D$2:$D$183,MATCH($D206,Objectius!$A$2:$A$183,0)),""))</f>
        <v/>
      </c>
      <c r="J206" s="11" t="n"/>
      <c r="K206" s="11" t="n"/>
      <c r="L206" s="11" t="n"/>
      <c r="M206" s="12" t="n"/>
      <c r="N206" s="11" t="n"/>
      <c r="O206" s="10">
        <f>IF($N206="","",IFERROR(INDEX('PLA ESTRATÈGIC'!$G$4:$G$452,MATCH($N206,'PLA ESTRATÈGIC'!$Q$4:$Q$452,0)),""))</f>
        <v/>
      </c>
      <c r="P206" s="10">
        <f>IF($N206="","",IFERROR(INDEX('PLA ESTRATÈGIC'!$H$4:$H$452,MATCH($N206,'PLA ESTRATÈGIC'!$Q$4:$Q$452,0)),""))</f>
        <v/>
      </c>
      <c r="Q206" s="13" t="n"/>
      <c r="R206" s="11" t="n"/>
      <c r="S206" s="11" t="n"/>
      <c r="T206" s="11" t="n"/>
      <c r="U206" s="11" t="n"/>
      <c r="V206" s="10">
        <f>IF(COUNTA($C206,$D206,$J206,$M206)=0,"",IF(TRIM(IF($C206="","Falta l'actuació. ","")&amp;IF($D206="","Falta l'objectiu. ","")&amp;IF($J206="","Falta el tipus de despesa. ","")&amp;IF(AND($J206&lt;&gt;"",$J206&lt;&gt;"Mitjans propis",$J206&lt;&gt;"Altres",$M206=""),"Falta l'import. ","")&amp;IF(AND($J206="Contracte menor a càrrec del RAE",$K206=""),"Falta la partida RAE. ","")&amp;IF(AND($B206&lt;&gt;"",COUNTIF($B$6:$B$705,$B206)&gt;1),"Codi RAE repetit. ","")&amp;IF(AND($B206&lt;&gt;"",$J206&lt;&gt;"",$J206&lt;&gt;"Contracte menor a càrrec del RAE"),"Té codi RAE però no és de tipus RAE. ","")&amp;IF($N206="","Falta l'indicador del Pla. ","")&amp;IF($R206="","Falta el gestor. ","")&amp;IF($S206="","Falta indicar si és recurrent. ",""))="","✔",TRIM(IF($C206="","Falta l'actuació. ","")&amp;IF($D206="","Falta l'objectiu. ","")&amp;IF($J206="","Falta el tipus de despesa. ","")&amp;IF(AND($J206&lt;&gt;"",$J206&lt;&gt;"Mitjans propis",$J206&lt;&gt;"Altres",$M206=""),"Falta l'import. ","")&amp;IF(AND($J206="Contracte menor a càrrec del RAE",$K206=""),"Falta la partida RAE. ","")&amp;IF(AND($B206&lt;&gt;"",COUNTIF($B$6:$B$705,$B206)&gt;1),"Codi RAE repetit. ","")&amp;IF(AND($B206&lt;&gt;"",$J206&lt;&gt;"",$J206&lt;&gt;"Contracte menor a càrrec del RAE"),"Té codi RAE però no és de tipus RAE. ","")&amp;IF($N206="","Falta l'indicador del Pla. ","")&amp;IF($R206="","Falta el gestor. ","")&amp;IF($S206="","Falta indicar si és recurrent. ",""))))</f>
        <v/>
      </c>
    </row>
    <row r="207">
      <c r="A207" s="10">
        <f>IF($D207="","","27_"&amp;IFERROR(INDEX(Objectius!$E$2:$E$183,MATCH($D207,Objectius!$A$2:$A$183,0)),"??")&amp;"_"&amp;TEXT(COUNTIF($I$6:$I207,$I207),"00"))</f>
        <v/>
      </c>
      <c r="B207" s="11" t="n"/>
      <c r="C207" s="11" t="n"/>
      <c r="D207" s="11" t="n"/>
      <c r="E207" s="10">
        <f>IF($D207="","",IFERROR(INDEX(Objectius!$C$2:$C$183,MATCH($D207,Objectius!$A$2:$A$183,0)),"Objectiu no trobat al Pla"))</f>
        <v/>
      </c>
      <c r="F207" s="11" t="n"/>
      <c r="G207" s="11" t="n"/>
      <c r="H207" s="11" t="n"/>
      <c r="I207" s="10">
        <f>IF($D207="","",IFERROR(INDEX(Objectius!$D$2:$D$183,MATCH($D207,Objectius!$A$2:$A$183,0)),""))</f>
        <v/>
      </c>
      <c r="J207" s="11" t="n"/>
      <c r="K207" s="11" t="n"/>
      <c r="L207" s="11" t="n"/>
      <c r="M207" s="12" t="n"/>
      <c r="N207" s="11" t="n"/>
      <c r="O207" s="10">
        <f>IF($N207="","",IFERROR(INDEX('PLA ESTRATÈGIC'!$G$4:$G$452,MATCH($N207,'PLA ESTRATÈGIC'!$Q$4:$Q$452,0)),""))</f>
        <v/>
      </c>
      <c r="P207" s="10">
        <f>IF($N207="","",IFERROR(INDEX('PLA ESTRATÈGIC'!$H$4:$H$452,MATCH($N207,'PLA ESTRATÈGIC'!$Q$4:$Q$452,0)),""))</f>
        <v/>
      </c>
      <c r="Q207" s="13" t="n"/>
      <c r="R207" s="11" t="n"/>
      <c r="S207" s="11" t="n"/>
      <c r="T207" s="11" t="n"/>
      <c r="U207" s="11" t="n"/>
      <c r="V207" s="10">
        <f>IF(COUNTA($C207,$D207,$J207,$M207)=0,"",IF(TRIM(IF($C207="","Falta l'actuació. ","")&amp;IF($D207="","Falta l'objectiu. ","")&amp;IF($J207="","Falta el tipus de despesa. ","")&amp;IF(AND($J207&lt;&gt;"",$J207&lt;&gt;"Mitjans propis",$J207&lt;&gt;"Altres",$M207=""),"Falta l'import. ","")&amp;IF(AND($J207="Contracte menor a càrrec del RAE",$K207=""),"Falta la partida RAE. ","")&amp;IF(AND($B207&lt;&gt;"",COUNTIF($B$6:$B$705,$B207)&gt;1),"Codi RAE repetit. ","")&amp;IF(AND($B207&lt;&gt;"",$J207&lt;&gt;"",$J207&lt;&gt;"Contracte menor a càrrec del RAE"),"Té codi RAE però no és de tipus RAE. ","")&amp;IF($N207="","Falta l'indicador del Pla. ","")&amp;IF($R207="","Falta el gestor. ","")&amp;IF($S207="","Falta indicar si és recurrent. ",""))="","✔",TRIM(IF($C207="","Falta l'actuació. ","")&amp;IF($D207="","Falta l'objectiu. ","")&amp;IF($J207="","Falta el tipus de despesa. ","")&amp;IF(AND($J207&lt;&gt;"",$J207&lt;&gt;"Mitjans propis",$J207&lt;&gt;"Altres",$M207=""),"Falta l'import. ","")&amp;IF(AND($J207="Contracte menor a càrrec del RAE",$K207=""),"Falta la partida RAE. ","")&amp;IF(AND($B207&lt;&gt;"",COUNTIF($B$6:$B$705,$B207)&gt;1),"Codi RAE repetit. ","")&amp;IF(AND($B207&lt;&gt;"",$J207&lt;&gt;"",$J207&lt;&gt;"Contracte menor a càrrec del RAE"),"Té codi RAE però no és de tipus RAE. ","")&amp;IF($N207="","Falta l'indicador del Pla. ","")&amp;IF($R207="","Falta el gestor. ","")&amp;IF($S207="","Falta indicar si és recurrent. ",""))))</f>
        <v/>
      </c>
    </row>
    <row r="208">
      <c r="A208" s="10">
        <f>IF($D208="","","27_"&amp;IFERROR(INDEX(Objectius!$E$2:$E$183,MATCH($D208,Objectius!$A$2:$A$183,0)),"??")&amp;"_"&amp;TEXT(COUNTIF($I$6:$I208,$I208),"00"))</f>
        <v/>
      </c>
      <c r="B208" s="11" t="n"/>
      <c r="C208" s="11" t="n"/>
      <c r="D208" s="11" t="n"/>
      <c r="E208" s="10">
        <f>IF($D208="","",IFERROR(INDEX(Objectius!$C$2:$C$183,MATCH($D208,Objectius!$A$2:$A$183,0)),"Objectiu no trobat al Pla"))</f>
        <v/>
      </c>
      <c r="F208" s="11" t="n"/>
      <c r="G208" s="11" t="n"/>
      <c r="H208" s="11" t="n"/>
      <c r="I208" s="10">
        <f>IF($D208="","",IFERROR(INDEX(Objectius!$D$2:$D$183,MATCH($D208,Objectius!$A$2:$A$183,0)),""))</f>
        <v/>
      </c>
      <c r="J208" s="11" t="n"/>
      <c r="K208" s="11" t="n"/>
      <c r="L208" s="11" t="n"/>
      <c r="M208" s="12" t="n"/>
      <c r="N208" s="11" t="n"/>
      <c r="O208" s="10">
        <f>IF($N208="","",IFERROR(INDEX('PLA ESTRATÈGIC'!$G$4:$G$452,MATCH($N208,'PLA ESTRATÈGIC'!$Q$4:$Q$452,0)),""))</f>
        <v/>
      </c>
      <c r="P208" s="10">
        <f>IF($N208="","",IFERROR(INDEX('PLA ESTRATÈGIC'!$H$4:$H$452,MATCH($N208,'PLA ESTRATÈGIC'!$Q$4:$Q$452,0)),""))</f>
        <v/>
      </c>
      <c r="Q208" s="13" t="n"/>
      <c r="R208" s="11" t="n"/>
      <c r="S208" s="11" t="n"/>
      <c r="T208" s="11" t="n"/>
      <c r="U208" s="11" t="n"/>
      <c r="V208" s="10">
        <f>IF(COUNTA($C208,$D208,$J208,$M208)=0,"",IF(TRIM(IF($C208="","Falta l'actuació. ","")&amp;IF($D208="","Falta l'objectiu. ","")&amp;IF($J208="","Falta el tipus de despesa. ","")&amp;IF(AND($J208&lt;&gt;"",$J208&lt;&gt;"Mitjans propis",$J208&lt;&gt;"Altres",$M208=""),"Falta l'import. ","")&amp;IF(AND($J208="Contracte menor a càrrec del RAE",$K208=""),"Falta la partida RAE. ","")&amp;IF(AND($B208&lt;&gt;"",COUNTIF($B$6:$B$705,$B208)&gt;1),"Codi RAE repetit. ","")&amp;IF(AND($B208&lt;&gt;"",$J208&lt;&gt;"",$J208&lt;&gt;"Contracte menor a càrrec del RAE"),"Té codi RAE però no és de tipus RAE. ","")&amp;IF($N208="","Falta l'indicador del Pla. ","")&amp;IF($R208="","Falta el gestor. ","")&amp;IF($S208="","Falta indicar si és recurrent. ",""))="","✔",TRIM(IF($C208="","Falta l'actuació. ","")&amp;IF($D208="","Falta l'objectiu. ","")&amp;IF($J208="","Falta el tipus de despesa. ","")&amp;IF(AND($J208&lt;&gt;"",$J208&lt;&gt;"Mitjans propis",$J208&lt;&gt;"Altres",$M208=""),"Falta l'import. ","")&amp;IF(AND($J208="Contracte menor a càrrec del RAE",$K208=""),"Falta la partida RAE. ","")&amp;IF(AND($B208&lt;&gt;"",COUNTIF($B$6:$B$705,$B208)&gt;1),"Codi RAE repetit. ","")&amp;IF(AND($B208&lt;&gt;"",$J208&lt;&gt;"",$J208&lt;&gt;"Contracte menor a càrrec del RAE"),"Té codi RAE però no és de tipus RAE. ","")&amp;IF($N208="","Falta l'indicador del Pla. ","")&amp;IF($R208="","Falta el gestor. ","")&amp;IF($S208="","Falta indicar si és recurrent. ",""))))</f>
        <v/>
      </c>
    </row>
    <row r="209">
      <c r="A209" s="10">
        <f>IF($D209="","","27_"&amp;IFERROR(INDEX(Objectius!$E$2:$E$183,MATCH($D209,Objectius!$A$2:$A$183,0)),"??")&amp;"_"&amp;TEXT(COUNTIF($I$6:$I209,$I209),"00"))</f>
        <v/>
      </c>
      <c r="B209" s="11" t="n"/>
      <c r="C209" s="11" t="n"/>
      <c r="D209" s="11" t="n"/>
      <c r="E209" s="10">
        <f>IF($D209="","",IFERROR(INDEX(Objectius!$C$2:$C$183,MATCH($D209,Objectius!$A$2:$A$183,0)),"Objectiu no trobat al Pla"))</f>
        <v/>
      </c>
      <c r="F209" s="11" t="n"/>
      <c r="G209" s="11" t="n"/>
      <c r="H209" s="11" t="n"/>
      <c r="I209" s="10">
        <f>IF($D209="","",IFERROR(INDEX(Objectius!$D$2:$D$183,MATCH($D209,Objectius!$A$2:$A$183,0)),""))</f>
        <v/>
      </c>
      <c r="J209" s="11" t="n"/>
      <c r="K209" s="11" t="n"/>
      <c r="L209" s="11" t="n"/>
      <c r="M209" s="12" t="n"/>
      <c r="N209" s="11" t="n"/>
      <c r="O209" s="10">
        <f>IF($N209="","",IFERROR(INDEX('PLA ESTRATÈGIC'!$G$4:$G$452,MATCH($N209,'PLA ESTRATÈGIC'!$Q$4:$Q$452,0)),""))</f>
        <v/>
      </c>
      <c r="P209" s="10">
        <f>IF($N209="","",IFERROR(INDEX('PLA ESTRATÈGIC'!$H$4:$H$452,MATCH($N209,'PLA ESTRATÈGIC'!$Q$4:$Q$452,0)),""))</f>
        <v/>
      </c>
      <c r="Q209" s="13" t="n"/>
      <c r="R209" s="11" t="n"/>
      <c r="S209" s="11" t="n"/>
      <c r="T209" s="11" t="n"/>
      <c r="U209" s="11" t="n"/>
      <c r="V209" s="10">
        <f>IF(COUNTA($C209,$D209,$J209,$M209)=0,"",IF(TRIM(IF($C209="","Falta l'actuació. ","")&amp;IF($D209="","Falta l'objectiu. ","")&amp;IF($J209="","Falta el tipus de despesa. ","")&amp;IF(AND($J209&lt;&gt;"",$J209&lt;&gt;"Mitjans propis",$J209&lt;&gt;"Altres",$M209=""),"Falta l'import. ","")&amp;IF(AND($J209="Contracte menor a càrrec del RAE",$K209=""),"Falta la partida RAE. ","")&amp;IF(AND($B209&lt;&gt;"",COUNTIF($B$6:$B$705,$B209)&gt;1),"Codi RAE repetit. ","")&amp;IF(AND($B209&lt;&gt;"",$J209&lt;&gt;"",$J209&lt;&gt;"Contracte menor a càrrec del RAE"),"Té codi RAE però no és de tipus RAE. ","")&amp;IF($N209="","Falta l'indicador del Pla. ","")&amp;IF($R209="","Falta el gestor. ","")&amp;IF($S209="","Falta indicar si és recurrent. ",""))="","✔",TRIM(IF($C209="","Falta l'actuació. ","")&amp;IF($D209="","Falta l'objectiu. ","")&amp;IF($J209="","Falta el tipus de despesa. ","")&amp;IF(AND($J209&lt;&gt;"",$J209&lt;&gt;"Mitjans propis",$J209&lt;&gt;"Altres",$M209=""),"Falta l'import. ","")&amp;IF(AND($J209="Contracte menor a càrrec del RAE",$K209=""),"Falta la partida RAE. ","")&amp;IF(AND($B209&lt;&gt;"",COUNTIF($B$6:$B$705,$B209)&gt;1),"Codi RAE repetit. ","")&amp;IF(AND($B209&lt;&gt;"",$J209&lt;&gt;"",$J209&lt;&gt;"Contracte menor a càrrec del RAE"),"Té codi RAE però no és de tipus RAE. ","")&amp;IF($N209="","Falta l'indicador del Pla. ","")&amp;IF($R209="","Falta el gestor. ","")&amp;IF($S209="","Falta indicar si és recurrent. ",""))))</f>
        <v/>
      </c>
    </row>
    <row r="210">
      <c r="A210" s="10">
        <f>IF($D210="","","27_"&amp;IFERROR(INDEX(Objectius!$E$2:$E$183,MATCH($D210,Objectius!$A$2:$A$183,0)),"??")&amp;"_"&amp;TEXT(COUNTIF($I$6:$I210,$I210),"00"))</f>
        <v/>
      </c>
      <c r="B210" s="11" t="n"/>
      <c r="C210" s="11" t="n"/>
      <c r="D210" s="11" t="n"/>
      <c r="E210" s="10">
        <f>IF($D210="","",IFERROR(INDEX(Objectius!$C$2:$C$183,MATCH($D210,Objectius!$A$2:$A$183,0)),"Objectiu no trobat al Pla"))</f>
        <v/>
      </c>
      <c r="F210" s="11" t="n"/>
      <c r="G210" s="11" t="n"/>
      <c r="H210" s="11" t="n"/>
      <c r="I210" s="10">
        <f>IF($D210="","",IFERROR(INDEX(Objectius!$D$2:$D$183,MATCH($D210,Objectius!$A$2:$A$183,0)),""))</f>
        <v/>
      </c>
      <c r="J210" s="11" t="n"/>
      <c r="K210" s="11" t="n"/>
      <c r="L210" s="11" t="n"/>
      <c r="M210" s="12" t="n"/>
      <c r="N210" s="11" t="n"/>
      <c r="O210" s="10">
        <f>IF($N210="","",IFERROR(INDEX('PLA ESTRATÈGIC'!$G$4:$G$452,MATCH($N210,'PLA ESTRATÈGIC'!$Q$4:$Q$452,0)),""))</f>
        <v/>
      </c>
      <c r="P210" s="10">
        <f>IF($N210="","",IFERROR(INDEX('PLA ESTRATÈGIC'!$H$4:$H$452,MATCH($N210,'PLA ESTRATÈGIC'!$Q$4:$Q$452,0)),""))</f>
        <v/>
      </c>
      <c r="Q210" s="13" t="n"/>
      <c r="R210" s="11" t="n"/>
      <c r="S210" s="11" t="n"/>
      <c r="T210" s="11" t="n"/>
      <c r="U210" s="11" t="n"/>
      <c r="V210" s="10">
        <f>IF(COUNTA($C210,$D210,$J210,$M210)=0,"",IF(TRIM(IF($C210="","Falta l'actuació. ","")&amp;IF($D210="","Falta l'objectiu. ","")&amp;IF($J210="","Falta el tipus de despesa. ","")&amp;IF(AND($J210&lt;&gt;"",$J210&lt;&gt;"Mitjans propis",$J210&lt;&gt;"Altres",$M210=""),"Falta l'import. ","")&amp;IF(AND($J210="Contracte menor a càrrec del RAE",$K210=""),"Falta la partida RAE. ","")&amp;IF(AND($B210&lt;&gt;"",COUNTIF($B$6:$B$705,$B210)&gt;1),"Codi RAE repetit. ","")&amp;IF(AND($B210&lt;&gt;"",$J210&lt;&gt;"",$J210&lt;&gt;"Contracte menor a càrrec del RAE"),"Té codi RAE però no és de tipus RAE. ","")&amp;IF($N210="","Falta l'indicador del Pla. ","")&amp;IF($R210="","Falta el gestor. ","")&amp;IF($S210="","Falta indicar si és recurrent. ",""))="","✔",TRIM(IF($C210="","Falta l'actuació. ","")&amp;IF($D210="","Falta l'objectiu. ","")&amp;IF($J210="","Falta el tipus de despesa. ","")&amp;IF(AND($J210&lt;&gt;"",$J210&lt;&gt;"Mitjans propis",$J210&lt;&gt;"Altres",$M210=""),"Falta l'import. ","")&amp;IF(AND($J210="Contracte menor a càrrec del RAE",$K210=""),"Falta la partida RAE. ","")&amp;IF(AND($B210&lt;&gt;"",COUNTIF($B$6:$B$705,$B210)&gt;1),"Codi RAE repetit. ","")&amp;IF(AND($B210&lt;&gt;"",$J210&lt;&gt;"",$J210&lt;&gt;"Contracte menor a càrrec del RAE"),"Té codi RAE però no és de tipus RAE. ","")&amp;IF($N210="","Falta l'indicador del Pla. ","")&amp;IF($R210="","Falta el gestor. ","")&amp;IF($S210="","Falta indicar si és recurrent. ",""))))</f>
        <v/>
      </c>
    </row>
    <row r="211">
      <c r="A211" s="10">
        <f>IF($D211="","","27_"&amp;IFERROR(INDEX(Objectius!$E$2:$E$183,MATCH($D211,Objectius!$A$2:$A$183,0)),"??")&amp;"_"&amp;TEXT(COUNTIF($I$6:$I211,$I211),"00"))</f>
        <v/>
      </c>
      <c r="B211" s="11" t="n"/>
      <c r="C211" s="11" t="n"/>
      <c r="D211" s="11" t="n"/>
      <c r="E211" s="10">
        <f>IF($D211="","",IFERROR(INDEX(Objectius!$C$2:$C$183,MATCH($D211,Objectius!$A$2:$A$183,0)),"Objectiu no trobat al Pla"))</f>
        <v/>
      </c>
      <c r="F211" s="11" t="n"/>
      <c r="G211" s="11" t="n"/>
      <c r="H211" s="11" t="n"/>
      <c r="I211" s="10">
        <f>IF($D211="","",IFERROR(INDEX(Objectius!$D$2:$D$183,MATCH($D211,Objectius!$A$2:$A$183,0)),""))</f>
        <v/>
      </c>
      <c r="J211" s="11" t="n"/>
      <c r="K211" s="11" t="n"/>
      <c r="L211" s="11" t="n"/>
      <c r="M211" s="12" t="n"/>
      <c r="N211" s="11" t="n"/>
      <c r="O211" s="10">
        <f>IF($N211="","",IFERROR(INDEX('PLA ESTRATÈGIC'!$G$4:$G$452,MATCH($N211,'PLA ESTRATÈGIC'!$Q$4:$Q$452,0)),""))</f>
        <v/>
      </c>
      <c r="P211" s="10">
        <f>IF($N211="","",IFERROR(INDEX('PLA ESTRATÈGIC'!$H$4:$H$452,MATCH($N211,'PLA ESTRATÈGIC'!$Q$4:$Q$452,0)),""))</f>
        <v/>
      </c>
      <c r="Q211" s="13" t="n"/>
      <c r="R211" s="11" t="n"/>
      <c r="S211" s="11" t="n"/>
      <c r="T211" s="11" t="n"/>
      <c r="U211" s="11" t="n"/>
      <c r="V211" s="10">
        <f>IF(COUNTA($C211,$D211,$J211,$M211)=0,"",IF(TRIM(IF($C211="","Falta l'actuació. ","")&amp;IF($D211="","Falta l'objectiu. ","")&amp;IF($J211="","Falta el tipus de despesa. ","")&amp;IF(AND($J211&lt;&gt;"",$J211&lt;&gt;"Mitjans propis",$J211&lt;&gt;"Altres",$M211=""),"Falta l'import. ","")&amp;IF(AND($J211="Contracte menor a càrrec del RAE",$K211=""),"Falta la partida RAE. ","")&amp;IF(AND($B211&lt;&gt;"",COUNTIF($B$6:$B$705,$B211)&gt;1),"Codi RAE repetit. ","")&amp;IF(AND($B211&lt;&gt;"",$J211&lt;&gt;"",$J211&lt;&gt;"Contracte menor a càrrec del RAE"),"Té codi RAE però no és de tipus RAE. ","")&amp;IF($N211="","Falta l'indicador del Pla. ","")&amp;IF($R211="","Falta el gestor. ","")&amp;IF($S211="","Falta indicar si és recurrent. ",""))="","✔",TRIM(IF($C211="","Falta l'actuació. ","")&amp;IF($D211="","Falta l'objectiu. ","")&amp;IF($J211="","Falta el tipus de despesa. ","")&amp;IF(AND($J211&lt;&gt;"",$J211&lt;&gt;"Mitjans propis",$J211&lt;&gt;"Altres",$M211=""),"Falta l'import. ","")&amp;IF(AND($J211="Contracte menor a càrrec del RAE",$K211=""),"Falta la partida RAE. ","")&amp;IF(AND($B211&lt;&gt;"",COUNTIF($B$6:$B$705,$B211)&gt;1),"Codi RAE repetit. ","")&amp;IF(AND($B211&lt;&gt;"",$J211&lt;&gt;"",$J211&lt;&gt;"Contracte menor a càrrec del RAE"),"Té codi RAE però no és de tipus RAE. ","")&amp;IF($N211="","Falta l'indicador del Pla. ","")&amp;IF($R211="","Falta el gestor. ","")&amp;IF($S211="","Falta indicar si és recurrent. ",""))))</f>
        <v/>
      </c>
    </row>
    <row r="212">
      <c r="A212" s="10">
        <f>IF($D212="","","27_"&amp;IFERROR(INDEX(Objectius!$E$2:$E$183,MATCH($D212,Objectius!$A$2:$A$183,0)),"??")&amp;"_"&amp;TEXT(COUNTIF($I$6:$I212,$I212),"00"))</f>
        <v/>
      </c>
      <c r="B212" s="11" t="n"/>
      <c r="C212" s="11" t="n"/>
      <c r="D212" s="11" t="n"/>
      <c r="E212" s="10">
        <f>IF($D212="","",IFERROR(INDEX(Objectius!$C$2:$C$183,MATCH($D212,Objectius!$A$2:$A$183,0)),"Objectiu no trobat al Pla"))</f>
        <v/>
      </c>
      <c r="F212" s="11" t="n"/>
      <c r="G212" s="11" t="n"/>
      <c r="H212" s="11" t="n"/>
      <c r="I212" s="10">
        <f>IF($D212="","",IFERROR(INDEX(Objectius!$D$2:$D$183,MATCH($D212,Objectius!$A$2:$A$183,0)),""))</f>
        <v/>
      </c>
      <c r="J212" s="11" t="n"/>
      <c r="K212" s="11" t="n"/>
      <c r="L212" s="11" t="n"/>
      <c r="M212" s="12" t="n"/>
      <c r="N212" s="11" t="n"/>
      <c r="O212" s="10">
        <f>IF($N212="","",IFERROR(INDEX('PLA ESTRATÈGIC'!$G$4:$G$452,MATCH($N212,'PLA ESTRATÈGIC'!$Q$4:$Q$452,0)),""))</f>
        <v/>
      </c>
      <c r="P212" s="10">
        <f>IF($N212="","",IFERROR(INDEX('PLA ESTRATÈGIC'!$H$4:$H$452,MATCH($N212,'PLA ESTRATÈGIC'!$Q$4:$Q$452,0)),""))</f>
        <v/>
      </c>
      <c r="Q212" s="13" t="n"/>
      <c r="R212" s="11" t="n"/>
      <c r="S212" s="11" t="n"/>
      <c r="T212" s="11" t="n"/>
      <c r="U212" s="11" t="n"/>
      <c r="V212" s="10">
        <f>IF(COUNTA($C212,$D212,$J212,$M212)=0,"",IF(TRIM(IF($C212="","Falta l'actuació. ","")&amp;IF($D212="","Falta l'objectiu. ","")&amp;IF($J212="","Falta el tipus de despesa. ","")&amp;IF(AND($J212&lt;&gt;"",$J212&lt;&gt;"Mitjans propis",$J212&lt;&gt;"Altres",$M212=""),"Falta l'import. ","")&amp;IF(AND($J212="Contracte menor a càrrec del RAE",$K212=""),"Falta la partida RAE. ","")&amp;IF(AND($B212&lt;&gt;"",COUNTIF($B$6:$B$705,$B212)&gt;1),"Codi RAE repetit. ","")&amp;IF(AND($B212&lt;&gt;"",$J212&lt;&gt;"",$J212&lt;&gt;"Contracte menor a càrrec del RAE"),"Té codi RAE però no és de tipus RAE. ","")&amp;IF($N212="","Falta l'indicador del Pla. ","")&amp;IF($R212="","Falta el gestor. ","")&amp;IF($S212="","Falta indicar si és recurrent. ",""))="","✔",TRIM(IF($C212="","Falta l'actuació. ","")&amp;IF($D212="","Falta l'objectiu. ","")&amp;IF($J212="","Falta el tipus de despesa. ","")&amp;IF(AND($J212&lt;&gt;"",$J212&lt;&gt;"Mitjans propis",$J212&lt;&gt;"Altres",$M212=""),"Falta l'import. ","")&amp;IF(AND($J212="Contracte menor a càrrec del RAE",$K212=""),"Falta la partida RAE. ","")&amp;IF(AND($B212&lt;&gt;"",COUNTIF($B$6:$B$705,$B212)&gt;1),"Codi RAE repetit. ","")&amp;IF(AND($B212&lt;&gt;"",$J212&lt;&gt;"",$J212&lt;&gt;"Contracte menor a càrrec del RAE"),"Té codi RAE però no és de tipus RAE. ","")&amp;IF($N212="","Falta l'indicador del Pla. ","")&amp;IF($R212="","Falta el gestor. ","")&amp;IF($S212="","Falta indicar si és recurrent. ",""))))</f>
        <v/>
      </c>
    </row>
    <row r="213">
      <c r="A213" s="10">
        <f>IF($D213="","","27_"&amp;IFERROR(INDEX(Objectius!$E$2:$E$183,MATCH($D213,Objectius!$A$2:$A$183,0)),"??")&amp;"_"&amp;TEXT(COUNTIF($I$6:$I213,$I213),"00"))</f>
        <v/>
      </c>
      <c r="B213" s="11" t="n"/>
      <c r="C213" s="11" t="n"/>
      <c r="D213" s="11" t="n"/>
      <c r="E213" s="10">
        <f>IF($D213="","",IFERROR(INDEX(Objectius!$C$2:$C$183,MATCH($D213,Objectius!$A$2:$A$183,0)),"Objectiu no trobat al Pla"))</f>
        <v/>
      </c>
      <c r="F213" s="11" t="n"/>
      <c r="G213" s="11" t="n"/>
      <c r="H213" s="11" t="n"/>
      <c r="I213" s="10">
        <f>IF($D213="","",IFERROR(INDEX(Objectius!$D$2:$D$183,MATCH($D213,Objectius!$A$2:$A$183,0)),""))</f>
        <v/>
      </c>
      <c r="J213" s="11" t="n"/>
      <c r="K213" s="11" t="n"/>
      <c r="L213" s="11" t="n"/>
      <c r="M213" s="12" t="n"/>
      <c r="N213" s="11" t="n"/>
      <c r="O213" s="10">
        <f>IF($N213="","",IFERROR(INDEX('PLA ESTRATÈGIC'!$G$4:$G$452,MATCH($N213,'PLA ESTRATÈGIC'!$Q$4:$Q$452,0)),""))</f>
        <v/>
      </c>
      <c r="P213" s="10">
        <f>IF($N213="","",IFERROR(INDEX('PLA ESTRATÈGIC'!$H$4:$H$452,MATCH($N213,'PLA ESTRATÈGIC'!$Q$4:$Q$452,0)),""))</f>
        <v/>
      </c>
      <c r="Q213" s="13" t="n"/>
      <c r="R213" s="11" t="n"/>
      <c r="S213" s="11" t="n"/>
      <c r="T213" s="11" t="n"/>
      <c r="U213" s="11" t="n"/>
      <c r="V213" s="10">
        <f>IF(COUNTA($C213,$D213,$J213,$M213)=0,"",IF(TRIM(IF($C213="","Falta l'actuació. ","")&amp;IF($D213="","Falta l'objectiu. ","")&amp;IF($J213="","Falta el tipus de despesa. ","")&amp;IF(AND($J213&lt;&gt;"",$J213&lt;&gt;"Mitjans propis",$J213&lt;&gt;"Altres",$M213=""),"Falta l'import. ","")&amp;IF(AND($J213="Contracte menor a càrrec del RAE",$K213=""),"Falta la partida RAE. ","")&amp;IF(AND($B213&lt;&gt;"",COUNTIF($B$6:$B$705,$B213)&gt;1),"Codi RAE repetit. ","")&amp;IF(AND($B213&lt;&gt;"",$J213&lt;&gt;"",$J213&lt;&gt;"Contracte menor a càrrec del RAE"),"Té codi RAE però no és de tipus RAE. ","")&amp;IF($N213="","Falta l'indicador del Pla. ","")&amp;IF($R213="","Falta el gestor. ","")&amp;IF($S213="","Falta indicar si és recurrent. ",""))="","✔",TRIM(IF($C213="","Falta l'actuació. ","")&amp;IF($D213="","Falta l'objectiu. ","")&amp;IF($J213="","Falta el tipus de despesa. ","")&amp;IF(AND($J213&lt;&gt;"",$J213&lt;&gt;"Mitjans propis",$J213&lt;&gt;"Altres",$M213=""),"Falta l'import. ","")&amp;IF(AND($J213="Contracte menor a càrrec del RAE",$K213=""),"Falta la partida RAE. ","")&amp;IF(AND($B213&lt;&gt;"",COUNTIF($B$6:$B$705,$B213)&gt;1),"Codi RAE repetit. ","")&amp;IF(AND($B213&lt;&gt;"",$J213&lt;&gt;"",$J213&lt;&gt;"Contracte menor a càrrec del RAE"),"Té codi RAE però no és de tipus RAE. ","")&amp;IF($N213="","Falta l'indicador del Pla. ","")&amp;IF($R213="","Falta el gestor. ","")&amp;IF($S213="","Falta indicar si és recurrent. ",""))))</f>
        <v/>
      </c>
    </row>
    <row r="214">
      <c r="A214" s="10">
        <f>IF($D214="","","27_"&amp;IFERROR(INDEX(Objectius!$E$2:$E$183,MATCH($D214,Objectius!$A$2:$A$183,0)),"??")&amp;"_"&amp;TEXT(COUNTIF($I$6:$I214,$I214),"00"))</f>
        <v/>
      </c>
      <c r="B214" s="11" t="n"/>
      <c r="C214" s="11" t="n"/>
      <c r="D214" s="11" t="n"/>
      <c r="E214" s="10">
        <f>IF($D214="","",IFERROR(INDEX(Objectius!$C$2:$C$183,MATCH($D214,Objectius!$A$2:$A$183,0)),"Objectiu no trobat al Pla"))</f>
        <v/>
      </c>
      <c r="F214" s="11" t="n"/>
      <c r="G214" s="11" t="n"/>
      <c r="H214" s="11" t="n"/>
      <c r="I214" s="10">
        <f>IF($D214="","",IFERROR(INDEX(Objectius!$D$2:$D$183,MATCH($D214,Objectius!$A$2:$A$183,0)),""))</f>
        <v/>
      </c>
      <c r="J214" s="11" t="n"/>
      <c r="K214" s="11" t="n"/>
      <c r="L214" s="11" t="n"/>
      <c r="M214" s="12" t="n"/>
      <c r="N214" s="11" t="n"/>
      <c r="O214" s="10">
        <f>IF($N214="","",IFERROR(INDEX('PLA ESTRATÈGIC'!$G$4:$G$452,MATCH($N214,'PLA ESTRATÈGIC'!$Q$4:$Q$452,0)),""))</f>
        <v/>
      </c>
      <c r="P214" s="10">
        <f>IF($N214="","",IFERROR(INDEX('PLA ESTRATÈGIC'!$H$4:$H$452,MATCH($N214,'PLA ESTRATÈGIC'!$Q$4:$Q$452,0)),""))</f>
        <v/>
      </c>
      <c r="Q214" s="13" t="n"/>
      <c r="R214" s="11" t="n"/>
      <c r="S214" s="11" t="n"/>
      <c r="T214" s="11" t="n"/>
      <c r="U214" s="11" t="n"/>
      <c r="V214" s="10">
        <f>IF(COUNTA($C214,$D214,$J214,$M214)=0,"",IF(TRIM(IF($C214="","Falta l'actuació. ","")&amp;IF($D214="","Falta l'objectiu. ","")&amp;IF($J214="","Falta el tipus de despesa. ","")&amp;IF(AND($J214&lt;&gt;"",$J214&lt;&gt;"Mitjans propis",$J214&lt;&gt;"Altres",$M214=""),"Falta l'import. ","")&amp;IF(AND($J214="Contracte menor a càrrec del RAE",$K214=""),"Falta la partida RAE. ","")&amp;IF(AND($B214&lt;&gt;"",COUNTIF($B$6:$B$705,$B214)&gt;1),"Codi RAE repetit. ","")&amp;IF(AND($B214&lt;&gt;"",$J214&lt;&gt;"",$J214&lt;&gt;"Contracte menor a càrrec del RAE"),"Té codi RAE però no és de tipus RAE. ","")&amp;IF($N214="","Falta l'indicador del Pla. ","")&amp;IF($R214="","Falta el gestor. ","")&amp;IF($S214="","Falta indicar si és recurrent. ",""))="","✔",TRIM(IF($C214="","Falta l'actuació. ","")&amp;IF($D214="","Falta l'objectiu. ","")&amp;IF($J214="","Falta el tipus de despesa. ","")&amp;IF(AND($J214&lt;&gt;"",$J214&lt;&gt;"Mitjans propis",$J214&lt;&gt;"Altres",$M214=""),"Falta l'import. ","")&amp;IF(AND($J214="Contracte menor a càrrec del RAE",$K214=""),"Falta la partida RAE. ","")&amp;IF(AND($B214&lt;&gt;"",COUNTIF($B$6:$B$705,$B214)&gt;1),"Codi RAE repetit. ","")&amp;IF(AND($B214&lt;&gt;"",$J214&lt;&gt;"",$J214&lt;&gt;"Contracte menor a càrrec del RAE"),"Té codi RAE però no és de tipus RAE. ","")&amp;IF($N214="","Falta l'indicador del Pla. ","")&amp;IF($R214="","Falta el gestor. ","")&amp;IF($S214="","Falta indicar si és recurrent. ",""))))</f>
        <v/>
      </c>
    </row>
    <row r="215">
      <c r="A215" s="10">
        <f>IF($D215="","","27_"&amp;IFERROR(INDEX(Objectius!$E$2:$E$183,MATCH($D215,Objectius!$A$2:$A$183,0)),"??")&amp;"_"&amp;TEXT(COUNTIF($I$6:$I215,$I215),"00"))</f>
        <v/>
      </c>
      <c r="B215" s="11" t="n"/>
      <c r="C215" s="11" t="n"/>
      <c r="D215" s="11" t="n"/>
      <c r="E215" s="10">
        <f>IF($D215="","",IFERROR(INDEX(Objectius!$C$2:$C$183,MATCH($D215,Objectius!$A$2:$A$183,0)),"Objectiu no trobat al Pla"))</f>
        <v/>
      </c>
      <c r="F215" s="11" t="n"/>
      <c r="G215" s="11" t="n"/>
      <c r="H215" s="11" t="n"/>
      <c r="I215" s="10">
        <f>IF($D215="","",IFERROR(INDEX(Objectius!$D$2:$D$183,MATCH($D215,Objectius!$A$2:$A$183,0)),""))</f>
        <v/>
      </c>
      <c r="J215" s="11" t="n"/>
      <c r="K215" s="11" t="n"/>
      <c r="L215" s="11" t="n"/>
      <c r="M215" s="12" t="n"/>
      <c r="N215" s="11" t="n"/>
      <c r="O215" s="10">
        <f>IF($N215="","",IFERROR(INDEX('PLA ESTRATÈGIC'!$G$4:$G$452,MATCH($N215,'PLA ESTRATÈGIC'!$Q$4:$Q$452,0)),""))</f>
        <v/>
      </c>
      <c r="P215" s="10">
        <f>IF($N215="","",IFERROR(INDEX('PLA ESTRATÈGIC'!$H$4:$H$452,MATCH($N215,'PLA ESTRATÈGIC'!$Q$4:$Q$452,0)),""))</f>
        <v/>
      </c>
      <c r="Q215" s="13" t="n"/>
      <c r="R215" s="11" t="n"/>
      <c r="S215" s="11" t="n"/>
      <c r="T215" s="11" t="n"/>
      <c r="U215" s="11" t="n"/>
      <c r="V215" s="10">
        <f>IF(COUNTA($C215,$D215,$J215,$M215)=0,"",IF(TRIM(IF($C215="","Falta l'actuació. ","")&amp;IF($D215="","Falta l'objectiu. ","")&amp;IF($J215="","Falta el tipus de despesa. ","")&amp;IF(AND($J215&lt;&gt;"",$J215&lt;&gt;"Mitjans propis",$J215&lt;&gt;"Altres",$M215=""),"Falta l'import. ","")&amp;IF(AND($J215="Contracte menor a càrrec del RAE",$K215=""),"Falta la partida RAE. ","")&amp;IF(AND($B215&lt;&gt;"",COUNTIF($B$6:$B$705,$B215)&gt;1),"Codi RAE repetit. ","")&amp;IF(AND($B215&lt;&gt;"",$J215&lt;&gt;"",$J215&lt;&gt;"Contracte menor a càrrec del RAE"),"Té codi RAE però no és de tipus RAE. ","")&amp;IF($N215="","Falta l'indicador del Pla. ","")&amp;IF($R215="","Falta el gestor. ","")&amp;IF($S215="","Falta indicar si és recurrent. ",""))="","✔",TRIM(IF($C215="","Falta l'actuació. ","")&amp;IF($D215="","Falta l'objectiu. ","")&amp;IF($J215="","Falta el tipus de despesa. ","")&amp;IF(AND($J215&lt;&gt;"",$J215&lt;&gt;"Mitjans propis",$J215&lt;&gt;"Altres",$M215=""),"Falta l'import. ","")&amp;IF(AND($J215="Contracte menor a càrrec del RAE",$K215=""),"Falta la partida RAE. ","")&amp;IF(AND($B215&lt;&gt;"",COUNTIF($B$6:$B$705,$B215)&gt;1),"Codi RAE repetit. ","")&amp;IF(AND($B215&lt;&gt;"",$J215&lt;&gt;"",$J215&lt;&gt;"Contracte menor a càrrec del RAE"),"Té codi RAE però no és de tipus RAE. ","")&amp;IF($N215="","Falta l'indicador del Pla. ","")&amp;IF($R215="","Falta el gestor. ","")&amp;IF($S215="","Falta indicar si és recurrent. ",""))))</f>
        <v/>
      </c>
    </row>
    <row r="216">
      <c r="A216" s="10">
        <f>IF($D216="","","27_"&amp;IFERROR(INDEX(Objectius!$E$2:$E$183,MATCH($D216,Objectius!$A$2:$A$183,0)),"??")&amp;"_"&amp;TEXT(COUNTIF($I$6:$I216,$I216),"00"))</f>
        <v/>
      </c>
      <c r="B216" s="11" t="n"/>
      <c r="C216" s="11" t="n"/>
      <c r="D216" s="11" t="n"/>
      <c r="E216" s="10">
        <f>IF($D216="","",IFERROR(INDEX(Objectius!$C$2:$C$183,MATCH($D216,Objectius!$A$2:$A$183,0)),"Objectiu no trobat al Pla"))</f>
        <v/>
      </c>
      <c r="F216" s="11" t="n"/>
      <c r="G216" s="11" t="n"/>
      <c r="H216" s="11" t="n"/>
      <c r="I216" s="10">
        <f>IF($D216="","",IFERROR(INDEX(Objectius!$D$2:$D$183,MATCH($D216,Objectius!$A$2:$A$183,0)),""))</f>
        <v/>
      </c>
      <c r="J216" s="11" t="n"/>
      <c r="K216" s="11" t="n"/>
      <c r="L216" s="11" t="n"/>
      <c r="M216" s="12" t="n"/>
      <c r="N216" s="11" t="n"/>
      <c r="O216" s="10">
        <f>IF($N216="","",IFERROR(INDEX('PLA ESTRATÈGIC'!$G$4:$G$452,MATCH($N216,'PLA ESTRATÈGIC'!$Q$4:$Q$452,0)),""))</f>
        <v/>
      </c>
      <c r="P216" s="10">
        <f>IF($N216="","",IFERROR(INDEX('PLA ESTRATÈGIC'!$H$4:$H$452,MATCH($N216,'PLA ESTRATÈGIC'!$Q$4:$Q$452,0)),""))</f>
        <v/>
      </c>
      <c r="Q216" s="13" t="n"/>
      <c r="R216" s="11" t="n"/>
      <c r="S216" s="11" t="n"/>
      <c r="T216" s="11" t="n"/>
      <c r="U216" s="11" t="n"/>
      <c r="V216" s="10">
        <f>IF(COUNTA($C216,$D216,$J216,$M216)=0,"",IF(TRIM(IF($C216="","Falta l'actuació. ","")&amp;IF($D216="","Falta l'objectiu. ","")&amp;IF($J216="","Falta el tipus de despesa. ","")&amp;IF(AND($J216&lt;&gt;"",$J216&lt;&gt;"Mitjans propis",$J216&lt;&gt;"Altres",$M216=""),"Falta l'import. ","")&amp;IF(AND($J216="Contracte menor a càrrec del RAE",$K216=""),"Falta la partida RAE. ","")&amp;IF(AND($B216&lt;&gt;"",COUNTIF($B$6:$B$705,$B216)&gt;1),"Codi RAE repetit. ","")&amp;IF(AND($B216&lt;&gt;"",$J216&lt;&gt;"",$J216&lt;&gt;"Contracte menor a càrrec del RAE"),"Té codi RAE però no és de tipus RAE. ","")&amp;IF($N216="","Falta l'indicador del Pla. ","")&amp;IF($R216="","Falta el gestor. ","")&amp;IF($S216="","Falta indicar si és recurrent. ",""))="","✔",TRIM(IF($C216="","Falta l'actuació. ","")&amp;IF($D216="","Falta l'objectiu. ","")&amp;IF($J216="","Falta el tipus de despesa. ","")&amp;IF(AND($J216&lt;&gt;"",$J216&lt;&gt;"Mitjans propis",$J216&lt;&gt;"Altres",$M216=""),"Falta l'import. ","")&amp;IF(AND($J216="Contracte menor a càrrec del RAE",$K216=""),"Falta la partida RAE. ","")&amp;IF(AND($B216&lt;&gt;"",COUNTIF($B$6:$B$705,$B216)&gt;1),"Codi RAE repetit. ","")&amp;IF(AND($B216&lt;&gt;"",$J216&lt;&gt;"",$J216&lt;&gt;"Contracte menor a càrrec del RAE"),"Té codi RAE però no és de tipus RAE. ","")&amp;IF($N216="","Falta l'indicador del Pla. ","")&amp;IF($R216="","Falta el gestor. ","")&amp;IF($S216="","Falta indicar si és recurrent. ",""))))</f>
        <v/>
      </c>
    </row>
    <row r="217">
      <c r="A217" s="10">
        <f>IF($D217="","","27_"&amp;IFERROR(INDEX(Objectius!$E$2:$E$183,MATCH($D217,Objectius!$A$2:$A$183,0)),"??")&amp;"_"&amp;TEXT(COUNTIF($I$6:$I217,$I217),"00"))</f>
        <v/>
      </c>
      <c r="B217" s="11" t="n"/>
      <c r="C217" s="11" t="n"/>
      <c r="D217" s="11" t="n"/>
      <c r="E217" s="10">
        <f>IF($D217="","",IFERROR(INDEX(Objectius!$C$2:$C$183,MATCH($D217,Objectius!$A$2:$A$183,0)),"Objectiu no trobat al Pla"))</f>
        <v/>
      </c>
      <c r="F217" s="11" t="n"/>
      <c r="G217" s="11" t="n"/>
      <c r="H217" s="11" t="n"/>
      <c r="I217" s="10">
        <f>IF($D217="","",IFERROR(INDEX(Objectius!$D$2:$D$183,MATCH($D217,Objectius!$A$2:$A$183,0)),""))</f>
        <v/>
      </c>
      <c r="J217" s="11" t="n"/>
      <c r="K217" s="11" t="n"/>
      <c r="L217" s="11" t="n"/>
      <c r="M217" s="12" t="n"/>
      <c r="N217" s="11" t="n"/>
      <c r="O217" s="10">
        <f>IF($N217="","",IFERROR(INDEX('PLA ESTRATÈGIC'!$G$4:$G$452,MATCH($N217,'PLA ESTRATÈGIC'!$Q$4:$Q$452,0)),""))</f>
        <v/>
      </c>
      <c r="P217" s="10">
        <f>IF($N217="","",IFERROR(INDEX('PLA ESTRATÈGIC'!$H$4:$H$452,MATCH($N217,'PLA ESTRATÈGIC'!$Q$4:$Q$452,0)),""))</f>
        <v/>
      </c>
      <c r="Q217" s="13" t="n"/>
      <c r="R217" s="11" t="n"/>
      <c r="S217" s="11" t="n"/>
      <c r="T217" s="11" t="n"/>
      <c r="U217" s="11" t="n"/>
      <c r="V217" s="10">
        <f>IF(COUNTA($C217,$D217,$J217,$M217)=0,"",IF(TRIM(IF($C217="","Falta l'actuació. ","")&amp;IF($D217="","Falta l'objectiu. ","")&amp;IF($J217="","Falta el tipus de despesa. ","")&amp;IF(AND($J217&lt;&gt;"",$J217&lt;&gt;"Mitjans propis",$J217&lt;&gt;"Altres",$M217=""),"Falta l'import. ","")&amp;IF(AND($J217="Contracte menor a càrrec del RAE",$K217=""),"Falta la partida RAE. ","")&amp;IF(AND($B217&lt;&gt;"",COUNTIF($B$6:$B$705,$B217)&gt;1),"Codi RAE repetit. ","")&amp;IF(AND($B217&lt;&gt;"",$J217&lt;&gt;"",$J217&lt;&gt;"Contracte menor a càrrec del RAE"),"Té codi RAE però no és de tipus RAE. ","")&amp;IF($N217="","Falta l'indicador del Pla. ","")&amp;IF($R217="","Falta el gestor. ","")&amp;IF($S217="","Falta indicar si és recurrent. ",""))="","✔",TRIM(IF($C217="","Falta l'actuació. ","")&amp;IF($D217="","Falta l'objectiu. ","")&amp;IF($J217="","Falta el tipus de despesa. ","")&amp;IF(AND($J217&lt;&gt;"",$J217&lt;&gt;"Mitjans propis",$J217&lt;&gt;"Altres",$M217=""),"Falta l'import. ","")&amp;IF(AND($J217="Contracte menor a càrrec del RAE",$K217=""),"Falta la partida RAE. ","")&amp;IF(AND($B217&lt;&gt;"",COUNTIF($B$6:$B$705,$B217)&gt;1),"Codi RAE repetit. ","")&amp;IF(AND($B217&lt;&gt;"",$J217&lt;&gt;"",$J217&lt;&gt;"Contracte menor a càrrec del RAE"),"Té codi RAE però no és de tipus RAE. ","")&amp;IF($N217="","Falta l'indicador del Pla. ","")&amp;IF($R217="","Falta el gestor. ","")&amp;IF($S217="","Falta indicar si és recurrent. ",""))))</f>
        <v/>
      </c>
    </row>
    <row r="218">
      <c r="A218" s="10">
        <f>IF($D218="","","27_"&amp;IFERROR(INDEX(Objectius!$E$2:$E$183,MATCH($D218,Objectius!$A$2:$A$183,0)),"??")&amp;"_"&amp;TEXT(COUNTIF($I$6:$I218,$I218),"00"))</f>
        <v/>
      </c>
      <c r="B218" s="11" t="n"/>
      <c r="C218" s="11" t="n"/>
      <c r="D218" s="11" t="n"/>
      <c r="E218" s="10">
        <f>IF($D218="","",IFERROR(INDEX(Objectius!$C$2:$C$183,MATCH($D218,Objectius!$A$2:$A$183,0)),"Objectiu no trobat al Pla"))</f>
        <v/>
      </c>
      <c r="F218" s="11" t="n"/>
      <c r="G218" s="11" t="n"/>
      <c r="H218" s="11" t="n"/>
      <c r="I218" s="10">
        <f>IF($D218="","",IFERROR(INDEX(Objectius!$D$2:$D$183,MATCH($D218,Objectius!$A$2:$A$183,0)),""))</f>
        <v/>
      </c>
      <c r="J218" s="11" t="n"/>
      <c r="K218" s="11" t="n"/>
      <c r="L218" s="11" t="n"/>
      <c r="M218" s="12" t="n"/>
      <c r="N218" s="11" t="n"/>
      <c r="O218" s="10">
        <f>IF($N218="","",IFERROR(INDEX('PLA ESTRATÈGIC'!$G$4:$G$452,MATCH($N218,'PLA ESTRATÈGIC'!$Q$4:$Q$452,0)),""))</f>
        <v/>
      </c>
      <c r="P218" s="10">
        <f>IF($N218="","",IFERROR(INDEX('PLA ESTRATÈGIC'!$H$4:$H$452,MATCH($N218,'PLA ESTRATÈGIC'!$Q$4:$Q$452,0)),""))</f>
        <v/>
      </c>
      <c r="Q218" s="13" t="n"/>
      <c r="R218" s="11" t="n"/>
      <c r="S218" s="11" t="n"/>
      <c r="T218" s="11" t="n"/>
      <c r="U218" s="11" t="n"/>
      <c r="V218" s="10">
        <f>IF(COUNTA($C218,$D218,$J218,$M218)=0,"",IF(TRIM(IF($C218="","Falta l'actuació. ","")&amp;IF($D218="","Falta l'objectiu. ","")&amp;IF($J218="","Falta el tipus de despesa. ","")&amp;IF(AND($J218&lt;&gt;"",$J218&lt;&gt;"Mitjans propis",$J218&lt;&gt;"Altres",$M218=""),"Falta l'import. ","")&amp;IF(AND($J218="Contracte menor a càrrec del RAE",$K218=""),"Falta la partida RAE. ","")&amp;IF(AND($B218&lt;&gt;"",COUNTIF($B$6:$B$705,$B218)&gt;1),"Codi RAE repetit. ","")&amp;IF(AND($B218&lt;&gt;"",$J218&lt;&gt;"",$J218&lt;&gt;"Contracte menor a càrrec del RAE"),"Té codi RAE però no és de tipus RAE. ","")&amp;IF($N218="","Falta l'indicador del Pla. ","")&amp;IF($R218="","Falta el gestor. ","")&amp;IF($S218="","Falta indicar si és recurrent. ",""))="","✔",TRIM(IF($C218="","Falta l'actuació. ","")&amp;IF($D218="","Falta l'objectiu. ","")&amp;IF($J218="","Falta el tipus de despesa. ","")&amp;IF(AND($J218&lt;&gt;"",$J218&lt;&gt;"Mitjans propis",$J218&lt;&gt;"Altres",$M218=""),"Falta l'import. ","")&amp;IF(AND($J218="Contracte menor a càrrec del RAE",$K218=""),"Falta la partida RAE. ","")&amp;IF(AND($B218&lt;&gt;"",COUNTIF($B$6:$B$705,$B218)&gt;1),"Codi RAE repetit. ","")&amp;IF(AND($B218&lt;&gt;"",$J218&lt;&gt;"",$J218&lt;&gt;"Contracte menor a càrrec del RAE"),"Té codi RAE però no és de tipus RAE. ","")&amp;IF($N218="","Falta l'indicador del Pla. ","")&amp;IF($R218="","Falta el gestor. ","")&amp;IF($S218="","Falta indicar si és recurrent. ",""))))</f>
        <v/>
      </c>
    </row>
    <row r="219">
      <c r="A219" s="10">
        <f>IF($D219="","","27_"&amp;IFERROR(INDEX(Objectius!$E$2:$E$183,MATCH($D219,Objectius!$A$2:$A$183,0)),"??")&amp;"_"&amp;TEXT(COUNTIF($I$6:$I219,$I219),"00"))</f>
        <v/>
      </c>
      <c r="B219" s="11" t="n"/>
      <c r="C219" s="11" t="n"/>
      <c r="D219" s="11" t="n"/>
      <c r="E219" s="10">
        <f>IF($D219="","",IFERROR(INDEX(Objectius!$C$2:$C$183,MATCH($D219,Objectius!$A$2:$A$183,0)),"Objectiu no trobat al Pla"))</f>
        <v/>
      </c>
      <c r="F219" s="11" t="n"/>
      <c r="G219" s="11" t="n"/>
      <c r="H219" s="11" t="n"/>
      <c r="I219" s="10">
        <f>IF($D219="","",IFERROR(INDEX(Objectius!$D$2:$D$183,MATCH($D219,Objectius!$A$2:$A$183,0)),""))</f>
        <v/>
      </c>
      <c r="J219" s="11" t="n"/>
      <c r="K219" s="11" t="n"/>
      <c r="L219" s="11" t="n"/>
      <c r="M219" s="12" t="n"/>
      <c r="N219" s="11" t="n"/>
      <c r="O219" s="10">
        <f>IF($N219="","",IFERROR(INDEX('PLA ESTRATÈGIC'!$G$4:$G$452,MATCH($N219,'PLA ESTRATÈGIC'!$Q$4:$Q$452,0)),""))</f>
        <v/>
      </c>
      <c r="P219" s="10">
        <f>IF($N219="","",IFERROR(INDEX('PLA ESTRATÈGIC'!$H$4:$H$452,MATCH($N219,'PLA ESTRATÈGIC'!$Q$4:$Q$452,0)),""))</f>
        <v/>
      </c>
      <c r="Q219" s="13" t="n"/>
      <c r="R219" s="11" t="n"/>
      <c r="S219" s="11" t="n"/>
      <c r="T219" s="11" t="n"/>
      <c r="U219" s="11" t="n"/>
      <c r="V219" s="10">
        <f>IF(COUNTA($C219,$D219,$J219,$M219)=0,"",IF(TRIM(IF($C219="","Falta l'actuació. ","")&amp;IF($D219="","Falta l'objectiu. ","")&amp;IF($J219="","Falta el tipus de despesa. ","")&amp;IF(AND($J219&lt;&gt;"",$J219&lt;&gt;"Mitjans propis",$J219&lt;&gt;"Altres",$M219=""),"Falta l'import. ","")&amp;IF(AND($J219="Contracte menor a càrrec del RAE",$K219=""),"Falta la partida RAE. ","")&amp;IF(AND($B219&lt;&gt;"",COUNTIF($B$6:$B$705,$B219)&gt;1),"Codi RAE repetit. ","")&amp;IF(AND($B219&lt;&gt;"",$J219&lt;&gt;"",$J219&lt;&gt;"Contracte menor a càrrec del RAE"),"Té codi RAE però no és de tipus RAE. ","")&amp;IF($N219="","Falta l'indicador del Pla. ","")&amp;IF($R219="","Falta el gestor. ","")&amp;IF($S219="","Falta indicar si és recurrent. ",""))="","✔",TRIM(IF($C219="","Falta l'actuació. ","")&amp;IF($D219="","Falta l'objectiu. ","")&amp;IF($J219="","Falta el tipus de despesa. ","")&amp;IF(AND($J219&lt;&gt;"",$J219&lt;&gt;"Mitjans propis",$J219&lt;&gt;"Altres",$M219=""),"Falta l'import. ","")&amp;IF(AND($J219="Contracte menor a càrrec del RAE",$K219=""),"Falta la partida RAE. ","")&amp;IF(AND($B219&lt;&gt;"",COUNTIF($B$6:$B$705,$B219)&gt;1),"Codi RAE repetit. ","")&amp;IF(AND($B219&lt;&gt;"",$J219&lt;&gt;"",$J219&lt;&gt;"Contracte menor a càrrec del RAE"),"Té codi RAE però no és de tipus RAE. ","")&amp;IF($N219="","Falta l'indicador del Pla. ","")&amp;IF($R219="","Falta el gestor. ","")&amp;IF($S219="","Falta indicar si és recurrent. ",""))))</f>
        <v/>
      </c>
    </row>
    <row r="220">
      <c r="A220" s="10">
        <f>IF($D220="","","27_"&amp;IFERROR(INDEX(Objectius!$E$2:$E$183,MATCH($D220,Objectius!$A$2:$A$183,0)),"??")&amp;"_"&amp;TEXT(COUNTIF($I$6:$I220,$I220),"00"))</f>
        <v/>
      </c>
      <c r="B220" s="11" t="n"/>
      <c r="C220" s="11" t="n"/>
      <c r="D220" s="11" t="n"/>
      <c r="E220" s="10">
        <f>IF($D220="","",IFERROR(INDEX(Objectius!$C$2:$C$183,MATCH($D220,Objectius!$A$2:$A$183,0)),"Objectiu no trobat al Pla"))</f>
        <v/>
      </c>
      <c r="F220" s="11" t="n"/>
      <c r="G220" s="11" t="n"/>
      <c r="H220" s="11" t="n"/>
      <c r="I220" s="10">
        <f>IF($D220="","",IFERROR(INDEX(Objectius!$D$2:$D$183,MATCH($D220,Objectius!$A$2:$A$183,0)),""))</f>
        <v/>
      </c>
      <c r="J220" s="11" t="n"/>
      <c r="K220" s="11" t="n"/>
      <c r="L220" s="11" t="n"/>
      <c r="M220" s="12" t="n"/>
      <c r="N220" s="11" t="n"/>
      <c r="O220" s="10">
        <f>IF($N220="","",IFERROR(INDEX('PLA ESTRATÈGIC'!$G$4:$G$452,MATCH($N220,'PLA ESTRATÈGIC'!$Q$4:$Q$452,0)),""))</f>
        <v/>
      </c>
      <c r="P220" s="10">
        <f>IF($N220="","",IFERROR(INDEX('PLA ESTRATÈGIC'!$H$4:$H$452,MATCH($N220,'PLA ESTRATÈGIC'!$Q$4:$Q$452,0)),""))</f>
        <v/>
      </c>
      <c r="Q220" s="13" t="n"/>
      <c r="R220" s="11" t="n"/>
      <c r="S220" s="11" t="n"/>
      <c r="T220" s="11" t="n"/>
      <c r="U220" s="11" t="n"/>
      <c r="V220" s="10">
        <f>IF(COUNTA($C220,$D220,$J220,$M220)=0,"",IF(TRIM(IF($C220="","Falta l'actuació. ","")&amp;IF($D220="","Falta l'objectiu. ","")&amp;IF($J220="","Falta el tipus de despesa. ","")&amp;IF(AND($J220&lt;&gt;"",$J220&lt;&gt;"Mitjans propis",$J220&lt;&gt;"Altres",$M220=""),"Falta l'import. ","")&amp;IF(AND($J220="Contracte menor a càrrec del RAE",$K220=""),"Falta la partida RAE. ","")&amp;IF(AND($B220&lt;&gt;"",COUNTIF($B$6:$B$705,$B220)&gt;1),"Codi RAE repetit. ","")&amp;IF(AND($B220&lt;&gt;"",$J220&lt;&gt;"",$J220&lt;&gt;"Contracte menor a càrrec del RAE"),"Té codi RAE però no és de tipus RAE. ","")&amp;IF($N220="","Falta l'indicador del Pla. ","")&amp;IF($R220="","Falta el gestor. ","")&amp;IF($S220="","Falta indicar si és recurrent. ",""))="","✔",TRIM(IF($C220="","Falta l'actuació. ","")&amp;IF($D220="","Falta l'objectiu. ","")&amp;IF($J220="","Falta el tipus de despesa. ","")&amp;IF(AND($J220&lt;&gt;"",$J220&lt;&gt;"Mitjans propis",$J220&lt;&gt;"Altres",$M220=""),"Falta l'import. ","")&amp;IF(AND($J220="Contracte menor a càrrec del RAE",$K220=""),"Falta la partida RAE. ","")&amp;IF(AND($B220&lt;&gt;"",COUNTIF($B$6:$B$705,$B220)&gt;1),"Codi RAE repetit. ","")&amp;IF(AND($B220&lt;&gt;"",$J220&lt;&gt;"",$J220&lt;&gt;"Contracte menor a càrrec del RAE"),"Té codi RAE però no és de tipus RAE. ","")&amp;IF($N220="","Falta l'indicador del Pla. ","")&amp;IF($R220="","Falta el gestor. ","")&amp;IF($S220="","Falta indicar si és recurrent. ",""))))</f>
        <v/>
      </c>
    </row>
    <row r="221">
      <c r="A221" s="10">
        <f>IF($D221="","","27_"&amp;IFERROR(INDEX(Objectius!$E$2:$E$183,MATCH($D221,Objectius!$A$2:$A$183,0)),"??")&amp;"_"&amp;TEXT(COUNTIF($I$6:$I221,$I221),"00"))</f>
        <v/>
      </c>
      <c r="B221" s="11" t="n"/>
      <c r="C221" s="11" t="n"/>
      <c r="D221" s="11" t="n"/>
      <c r="E221" s="10">
        <f>IF($D221="","",IFERROR(INDEX(Objectius!$C$2:$C$183,MATCH($D221,Objectius!$A$2:$A$183,0)),"Objectiu no trobat al Pla"))</f>
        <v/>
      </c>
      <c r="F221" s="11" t="n"/>
      <c r="G221" s="11" t="n"/>
      <c r="H221" s="11" t="n"/>
      <c r="I221" s="10">
        <f>IF($D221="","",IFERROR(INDEX(Objectius!$D$2:$D$183,MATCH($D221,Objectius!$A$2:$A$183,0)),""))</f>
        <v/>
      </c>
      <c r="J221" s="11" t="n"/>
      <c r="K221" s="11" t="n"/>
      <c r="L221" s="11" t="n"/>
      <c r="M221" s="12" t="n"/>
      <c r="N221" s="11" t="n"/>
      <c r="O221" s="10">
        <f>IF($N221="","",IFERROR(INDEX('PLA ESTRATÈGIC'!$G$4:$G$452,MATCH($N221,'PLA ESTRATÈGIC'!$Q$4:$Q$452,0)),""))</f>
        <v/>
      </c>
      <c r="P221" s="10">
        <f>IF($N221="","",IFERROR(INDEX('PLA ESTRATÈGIC'!$H$4:$H$452,MATCH($N221,'PLA ESTRATÈGIC'!$Q$4:$Q$452,0)),""))</f>
        <v/>
      </c>
      <c r="Q221" s="13" t="n"/>
      <c r="R221" s="11" t="n"/>
      <c r="S221" s="11" t="n"/>
      <c r="T221" s="11" t="n"/>
      <c r="U221" s="11" t="n"/>
      <c r="V221" s="10">
        <f>IF(COUNTA($C221,$D221,$J221,$M221)=0,"",IF(TRIM(IF($C221="","Falta l'actuació. ","")&amp;IF($D221="","Falta l'objectiu. ","")&amp;IF($J221="","Falta el tipus de despesa. ","")&amp;IF(AND($J221&lt;&gt;"",$J221&lt;&gt;"Mitjans propis",$J221&lt;&gt;"Altres",$M221=""),"Falta l'import. ","")&amp;IF(AND($J221="Contracte menor a càrrec del RAE",$K221=""),"Falta la partida RAE. ","")&amp;IF(AND($B221&lt;&gt;"",COUNTIF($B$6:$B$705,$B221)&gt;1),"Codi RAE repetit. ","")&amp;IF(AND($B221&lt;&gt;"",$J221&lt;&gt;"",$J221&lt;&gt;"Contracte menor a càrrec del RAE"),"Té codi RAE però no és de tipus RAE. ","")&amp;IF($N221="","Falta l'indicador del Pla. ","")&amp;IF($R221="","Falta el gestor. ","")&amp;IF($S221="","Falta indicar si és recurrent. ",""))="","✔",TRIM(IF($C221="","Falta l'actuació. ","")&amp;IF($D221="","Falta l'objectiu. ","")&amp;IF($J221="","Falta el tipus de despesa. ","")&amp;IF(AND($J221&lt;&gt;"",$J221&lt;&gt;"Mitjans propis",$J221&lt;&gt;"Altres",$M221=""),"Falta l'import. ","")&amp;IF(AND($J221="Contracte menor a càrrec del RAE",$K221=""),"Falta la partida RAE. ","")&amp;IF(AND($B221&lt;&gt;"",COUNTIF($B$6:$B$705,$B221)&gt;1),"Codi RAE repetit. ","")&amp;IF(AND($B221&lt;&gt;"",$J221&lt;&gt;"",$J221&lt;&gt;"Contracte menor a càrrec del RAE"),"Té codi RAE però no és de tipus RAE. ","")&amp;IF($N221="","Falta l'indicador del Pla. ","")&amp;IF($R221="","Falta el gestor. ","")&amp;IF($S221="","Falta indicar si és recurrent. ",""))))</f>
        <v/>
      </c>
    </row>
    <row r="222">
      <c r="A222" s="10">
        <f>IF($D222="","","27_"&amp;IFERROR(INDEX(Objectius!$E$2:$E$183,MATCH($D222,Objectius!$A$2:$A$183,0)),"??")&amp;"_"&amp;TEXT(COUNTIF($I$6:$I222,$I222),"00"))</f>
        <v/>
      </c>
      <c r="B222" s="11" t="n"/>
      <c r="C222" s="11" t="n"/>
      <c r="D222" s="11" t="n"/>
      <c r="E222" s="10">
        <f>IF($D222="","",IFERROR(INDEX(Objectius!$C$2:$C$183,MATCH($D222,Objectius!$A$2:$A$183,0)),"Objectiu no trobat al Pla"))</f>
        <v/>
      </c>
      <c r="F222" s="11" t="n"/>
      <c r="G222" s="11" t="n"/>
      <c r="H222" s="11" t="n"/>
      <c r="I222" s="10">
        <f>IF($D222="","",IFERROR(INDEX(Objectius!$D$2:$D$183,MATCH($D222,Objectius!$A$2:$A$183,0)),""))</f>
        <v/>
      </c>
      <c r="J222" s="11" t="n"/>
      <c r="K222" s="11" t="n"/>
      <c r="L222" s="11" t="n"/>
      <c r="M222" s="12" t="n"/>
      <c r="N222" s="11" t="n"/>
      <c r="O222" s="10">
        <f>IF($N222="","",IFERROR(INDEX('PLA ESTRATÈGIC'!$G$4:$G$452,MATCH($N222,'PLA ESTRATÈGIC'!$Q$4:$Q$452,0)),""))</f>
        <v/>
      </c>
      <c r="P222" s="10">
        <f>IF($N222="","",IFERROR(INDEX('PLA ESTRATÈGIC'!$H$4:$H$452,MATCH($N222,'PLA ESTRATÈGIC'!$Q$4:$Q$452,0)),""))</f>
        <v/>
      </c>
      <c r="Q222" s="13" t="n"/>
      <c r="R222" s="11" t="n"/>
      <c r="S222" s="11" t="n"/>
      <c r="T222" s="11" t="n"/>
      <c r="U222" s="11" t="n"/>
      <c r="V222" s="10">
        <f>IF(COUNTA($C222,$D222,$J222,$M222)=0,"",IF(TRIM(IF($C222="","Falta l'actuació. ","")&amp;IF($D222="","Falta l'objectiu. ","")&amp;IF($J222="","Falta el tipus de despesa. ","")&amp;IF(AND($J222&lt;&gt;"",$J222&lt;&gt;"Mitjans propis",$J222&lt;&gt;"Altres",$M222=""),"Falta l'import. ","")&amp;IF(AND($J222="Contracte menor a càrrec del RAE",$K222=""),"Falta la partida RAE. ","")&amp;IF(AND($B222&lt;&gt;"",COUNTIF($B$6:$B$705,$B222)&gt;1),"Codi RAE repetit. ","")&amp;IF(AND($B222&lt;&gt;"",$J222&lt;&gt;"",$J222&lt;&gt;"Contracte menor a càrrec del RAE"),"Té codi RAE però no és de tipus RAE. ","")&amp;IF($N222="","Falta l'indicador del Pla. ","")&amp;IF($R222="","Falta el gestor. ","")&amp;IF($S222="","Falta indicar si és recurrent. ",""))="","✔",TRIM(IF($C222="","Falta l'actuació. ","")&amp;IF($D222="","Falta l'objectiu. ","")&amp;IF($J222="","Falta el tipus de despesa. ","")&amp;IF(AND($J222&lt;&gt;"",$J222&lt;&gt;"Mitjans propis",$J222&lt;&gt;"Altres",$M222=""),"Falta l'import. ","")&amp;IF(AND($J222="Contracte menor a càrrec del RAE",$K222=""),"Falta la partida RAE. ","")&amp;IF(AND($B222&lt;&gt;"",COUNTIF($B$6:$B$705,$B222)&gt;1),"Codi RAE repetit. ","")&amp;IF(AND($B222&lt;&gt;"",$J222&lt;&gt;"",$J222&lt;&gt;"Contracte menor a càrrec del RAE"),"Té codi RAE però no és de tipus RAE. ","")&amp;IF($N222="","Falta l'indicador del Pla. ","")&amp;IF($R222="","Falta el gestor. ","")&amp;IF($S222="","Falta indicar si és recurrent. ",""))))</f>
        <v/>
      </c>
    </row>
    <row r="223">
      <c r="A223" s="10">
        <f>IF($D223="","","27_"&amp;IFERROR(INDEX(Objectius!$E$2:$E$183,MATCH($D223,Objectius!$A$2:$A$183,0)),"??")&amp;"_"&amp;TEXT(COUNTIF($I$6:$I223,$I223),"00"))</f>
        <v/>
      </c>
      <c r="B223" s="11" t="n"/>
      <c r="C223" s="11" t="n"/>
      <c r="D223" s="11" t="n"/>
      <c r="E223" s="10">
        <f>IF($D223="","",IFERROR(INDEX(Objectius!$C$2:$C$183,MATCH($D223,Objectius!$A$2:$A$183,0)),"Objectiu no trobat al Pla"))</f>
        <v/>
      </c>
      <c r="F223" s="11" t="n"/>
      <c r="G223" s="11" t="n"/>
      <c r="H223" s="11" t="n"/>
      <c r="I223" s="10">
        <f>IF($D223="","",IFERROR(INDEX(Objectius!$D$2:$D$183,MATCH($D223,Objectius!$A$2:$A$183,0)),""))</f>
        <v/>
      </c>
      <c r="J223" s="11" t="n"/>
      <c r="K223" s="11" t="n"/>
      <c r="L223" s="11" t="n"/>
      <c r="M223" s="12" t="n"/>
      <c r="N223" s="11" t="n"/>
      <c r="O223" s="10">
        <f>IF($N223="","",IFERROR(INDEX('PLA ESTRATÈGIC'!$G$4:$G$452,MATCH($N223,'PLA ESTRATÈGIC'!$Q$4:$Q$452,0)),""))</f>
        <v/>
      </c>
      <c r="P223" s="10">
        <f>IF($N223="","",IFERROR(INDEX('PLA ESTRATÈGIC'!$H$4:$H$452,MATCH($N223,'PLA ESTRATÈGIC'!$Q$4:$Q$452,0)),""))</f>
        <v/>
      </c>
      <c r="Q223" s="13" t="n"/>
      <c r="R223" s="11" t="n"/>
      <c r="S223" s="11" t="n"/>
      <c r="T223" s="11" t="n"/>
      <c r="U223" s="11" t="n"/>
      <c r="V223" s="10">
        <f>IF(COUNTA($C223,$D223,$J223,$M223)=0,"",IF(TRIM(IF($C223="","Falta l'actuació. ","")&amp;IF($D223="","Falta l'objectiu. ","")&amp;IF($J223="","Falta el tipus de despesa. ","")&amp;IF(AND($J223&lt;&gt;"",$J223&lt;&gt;"Mitjans propis",$J223&lt;&gt;"Altres",$M223=""),"Falta l'import. ","")&amp;IF(AND($J223="Contracte menor a càrrec del RAE",$K223=""),"Falta la partida RAE. ","")&amp;IF(AND($B223&lt;&gt;"",COUNTIF($B$6:$B$705,$B223)&gt;1),"Codi RAE repetit. ","")&amp;IF(AND($B223&lt;&gt;"",$J223&lt;&gt;"",$J223&lt;&gt;"Contracte menor a càrrec del RAE"),"Té codi RAE però no és de tipus RAE. ","")&amp;IF($N223="","Falta l'indicador del Pla. ","")&amp;IF($R223="","Falta el gestor. ","")&amp;IF($S223="","Falta indicar si és recurrent. ",""))="","✔",TRIM(IF($C223="","Falta l'actuació. ","")&amp;IF($D223="","Falta l'objectiu. ","")&amp;IF($J223="","Falta el tipus de despesa. ","")&amp;IF(AND($J223&lt;&gt;"",$J223&lt;&gt;"Mitjans propis",$J223&lt;&gt;"Altres",$M223=""),"Falta l'import. ","")&amp;IF(AND($J223="Contracte menor a càrrec del RAE",$K223=""),"Falta la partida RAE. ","")&amp;IF(AND($B223&lt;&gt;"",COUNTIF($B$6:$B$705,$B223)&gt;1),"Codi RAE repetit. ","")&amp;IF(AND($B223&lt;&gt;"",$J223&lt;&gt;"",$J223&lt;&gt;"Contracte menor a càrrec del RAE"),"Té codi RAE però no és de tipus RAE. ","")&amp;IF($N223="","Falta l'indicador del Pla. ","")&amp;IF($R223="","Falta el gestor. ","")&amp;IF($S223="","Falta indicar si és recurrent. ",""))))</f>
        <v/>
      </c>
    </row>
    <row r="224">
      <c r="A224" s="10">
        <f>IF($D224="","","27_"&amp;IFERROR(INDEX(Objectius!$E$2:$E$183,MATCH($D224,Objectius!$A$2:$A$183,0)),"??")&amp;"_"&amp;TEXT(COUNTIF($I$6:$I224,$I224),"00"))</f>
        <v/>
      </c>
      <c r="B224" s="11" t="n"/>
      <c r="C224" s="11" t="n"/>
      <c r="D224" s="11" t="n"/>
      <c r="E224" s="10">
        <f>IF($D224="","",IFERROR(INDEX(Objectius!$C$2:$C$183,MATCH($D224,Objectius!$A$2:$A$183,0)),"Objectiu no trobat al Pla"))</f>
        <v/>
      </c>
      <c r="F224" s="11" t="n"/>
      <c r="G224" s="11" t="n"/>
      <c r="H224" s="11" t="n"/>
      <c r="I224" s="10">
        <f>IF($D224="","",IFERROR(INDEX(Objectius!$D$2:$D$183,MATCH($D224,Objectius!$A$2:$A$183,0)),""))</f>
        <v/>
      </c>
      <c r="J224" s="11" t="n"/>
      <c r="K224" s="11" t="n"/>
      <c r="L224" s="11" t="n"/>
      <c r="M224" s="12" t="n"/>
      <c r="N224" s="11" t="n"/>
      <c r="O224" s="10">
        <f>IF($N224="","",IFERROR(INDEX('PLA ESTRATÈGIC'!$G$4:$G$452,MATCH($N224,'PLA ESTRATÈGIC'!$Q$4:$Q$452,0)),""))</f>
        <v/>
      </c>
      <c r="P224" s="10">
        <f>IF($N224="","",IFERROR(INDEX('PLA ESTRATÈGIC'!$H$4:$H$452,MATCH($N224,'PLA ESTRATÈGIC'!$Q$4:$Q$452,0)),""))</f>
        <v/>
      </c>
      <c r="Q224" s="13" t="n"/>
      <c r="R224" s="11" t="n"/>
      <c r="S224" s="11" t="n"/>
      <c r="T224" s="11" t="n"/>
      <c r="U224" s="11" t="n"/>
      <c r="V224" s="10">
        <f>IF(COUNTA($C224,$D224,$J224,$M224)=0,"",IF(TRIM(IF($C224="","Falta l'actuació. ","")&amp;IF($D224="","Falta l'objectiu. ","")&amp;IF($J224="","Falta el tipus de despesa. ","")&amp;IF(AND($J224&lt;&gt;"",$J224&lt;&gt;"Mitjans propis",$J224&lt;&gt;"Altres",$M224=""),"Falta l'import. ","")&amp;IF(AND($J224="Contracte menor a càrrec del RAE",$K224=""),"Falta la partida RAE. ","")&amp;IF(AND($B224&lt;&gt;"",COUNTIF($B$6:$B$705,$B224)&gt;1),"Codi RAE repetit. ","")&amp;IF(AND($B224&lt;&gt;"",$J224&lt;&gt;"",$J224&lt;&gt;"Contracte menor a càrrec del RAE"),"Té codi RAE però no és de tipus RAE. ","")&amp;IF($N224="","Falta l'indicador del Pla. ","")&amp;IF($R224="","Falta el gestor. ","")&amp;IF($S224="","Falta indicar si és recurrent. ",""))="","✔",TRIM(IF($C224="","Falta l'actuació. ","")&amp;IF($D224="","Falta l'objectiu. ","")&amp;IF($J224="","Falta el tipus de despesa. ","")&amp;IF(AND($J224&lt;&gt;"",$J224&lt;&gt;"Mitjans propis",$J224&lt;&gt;"Altres",$M224=""),"Falta l'import. ","")&amp;IF(AND($J224="Contracte menor a càrrec del RAE",$K224=""),"Falta la partida RAE. ","")&amp;IF(AND($B224&lt;&gt;"",COUNTIF($B$6:$B$705,$B224)&gt;1),"Codi RAE repetit. ","")&amp;IF(AND($B224&lt;&gt;"",$J224&lt;&gt;"",$J224&lt;&gt;"Contracte menor a càrrec del RAE"),"Té codi RAE però no és de tipus RAE. ","")&amp;IF($N224="","Falta l'indicador del Pla. ","")&amp;IF($R224="","Falta el gestor. ","")&amp;IF($S224="","Falta indicar si és recurrent. ",""))))</f>
        <v/>
      </c>
    </row>
    <row r="225">
      <c r="A225" s="10">
        <f>IF($D225="","","27_"&amp;IFERROR(INDEX(Objectius!$E$2:$E$183,MATCH($D225,Objectius!$A$2:$A$183,0)),"??")&amp;"_"&amp;TEXT(COUNTIF($I$6:$I225,$I225),"00"))</f>
        <v/>
      </c>
      <c r="B225" s="11" t="n"/>
      <c r="C225" s="11" t="n"/>
      <c r="D225" s="11" t="n"/>
      <c r="E225" s="10">
        <f>IF($D225="","",IFERROR(INDEX(Objectius!$C$2:$C$183,MATCH($D225,Objectius!$A$2:$A$183,0)),"Objectiu no trobat al Pla"))</f>
        <v/>
      </c>
      <c r="F225" s="11" t="n"/>
      <c r="G225" s="11" t="n"/>
      <c r="H225" s="11" t="n"/>
      <c r="I225" s="10">
        <f>IF($D225="","",IFERROR(INDEX(Objectius!$D$2:$D$183,MATCH($D225,Objectius!$A$2:$A$183,0)),""))</f>
        <v/>
      </c>
      <c r="J225" s="11" t="n"/>
      <c r="K225" s="11" t="n"/>
      <c r="L225" s="11" t="n"/>
      <c r="M225" s="12" t="n"/>
      <c r="N225" s="11" t="n"/>
      <c r="O225" s="10">
        <f>IF($N225="","",IFERROR(INDEX('PLA ESTRATÈGIC'!$G$4:$G$452,MATCH($N225,'PLA ESTRATÈGIC'!$Q$4:$Q$452,0)),""))</f>
        <v/>
      </c>
      <c r="P225" s="10">
        <f>IF($N225="","",IFERROR(INDEX('PLA ESTRATÈGIC'!$H$4:$H$452,MATCH($N225,'PLA ESTRATÈGIC'!$Q$4:$Q$452,0)),""))</f>
        <v/>
      </c>
      <c r="Q225" s="13" t="n"/>
      <c r="R225" s="11" t="n"/>
      <c r="S225" s="11" t="n"/>
      <c r="T225" s="11" t="n"/>
      <c r="U225" s="11" t="n"/>
      <c r="V225" s="10">
        <f>IF(COUNTA($C225,$D225,$J225,$M225)=0,"",IF(TRIM(IF($C225="","Falta l'actuació. ","")&amp;IF($D225="","Falta l'objectiu. ","")&amp;IF($J225="","Falta el tipus de despesa. ","")&amp;IF(AND($J225&lt;&gt;"",$J225&lt;&gt;"Mitjans propis",$J225&lt;&gt;"Altres",$M225=""),"Falta l'import. ","")&amp;IF(AND($J225="Contracte menor a càrrec del RAE",$K225=""),"Falta la partida RAE. ","")&amp;IF(AND($B225&lt;&gt;"",COUNTIF($B$6:$B$705,$B225)&gt;1),"Codi RAE repetit. ","")&amp;IF(AND($B225&lt;&gt;"",$J225&lt;&gt;"",$J225&lt;&gt;"Contracte menor a càrrec del RAE"),"Té codi RAE però no és de tipus RAE. ","")&amp;IF($N225="","Falta l'indicador del Pla. ","")&amp;IF($R225="","Falta el gestor. ","")&amp;IF($S225="","Falta indicar si és recurrent. ",""))="","✔",TRIM(IF($C225="","Falta l'actuació. ","")&amp;IF($D225="","Falta l'objectiu. ","")&amp;IF($J225="","Falta el tipus de despesa. ","")&amp;IF(AND($J225&lt;&gt;"",$J225&lt;&gt;"Mitjans propis",$J225&lt;&gt;"Altres",$M225=""),"Falta l'import. ","")&amp;IF(AND($J225="Contracte menor a càrrec del RAE",$K225=""),"Falta la partida RAE. ","")&amp;IF(AND($B225&lt;&gt;"",COUNTIF($B$6:$B$705,$B225)&gt;1),"Codi RAE repetit. ","")&amp;IF(AND($B225&lt;&gt;"",$J225&lt;&gt;"",$J225&lt;&gt;"Contracte menor a càrrec del RAE"),"Té codi RAE però no és de tipus RAE. ","")&amp;IF($N225="","Falta l'indicador del Pla. ","")&amp;IF($R225="","Falta el gestor. ","")&amp;IF($S225="","Falta indicar si és recurrent. ",""))))</f>
        <v/>
      </c>
    </row>
    <row r="226">
      <c r="A226" s="10">
        <f>IF($D226="","","27_"&amp;IFERROR(INDEX(Objectius!$E$2:$E$183,MATCH($D226,Objectius!$A$2:$A$183,0)),"??")&amp;"_"&amp;TEXT(COUNTIF($I$6:$I226,$I226),"00"))</f>
        <v/>
      </c>
      <c r="B226" s="11" t="n"/>
      <c r="C226" s="11" t="n"/>
      <c r="D226" s="11" t="n"/>
      <c r="E226" s="10">
        <f>IF($D226="","",IFERROR(INDEX(Objectius!$C$2:$C$183,MATCH($D226,Objectius!$A$2:$A$183,0)),"Objectiu no trobat al Pla"))</f>
        <v/>
      </c>
      <c r="F226" s="11" t="n"/>
      <c r="G226" s="11" t="n"/>
      <c r="H226" s="11" t="n"/>
      <c r="I226" s="10">
        <f>IF($D226="","",IFERROR(INDEX(Objectius!$D$2:$D$183,MATCH($D226,Objectius!$A$2:$A$183,0)),""))</f>
        <v/>
      </c>
      <c r="J226" s="11" t="n"/>
      <c r="K226" s="11" t="n"/>
      <c r="L226" s="11" t="n"/>
      <c r="M226" s="12" t="n"/>
      <c r="N226" s="11" t="n"/>
      <c r="O226" s="10">
        <f>IF($N226="","",IFERROR(INDEX('PLA ESTRATÈGIC'!$G$4:$G$452,MATCH($N226,'PLA ESTRATÈGIC'!$Q$4:$Q$452,0)),""))</f>
        <v/>
      </c>
      <c r="P226" s="10">
        <f>IF($N226="","",IFERROR(INDEX('PLA ESTRATÈGIC'!$H$4:$H$452,MATCH($N226,'PLA ESTRATÈGIC'!$Q$4:$Q$452,0)),""))</f>
        <v/>
      </c>
      <c r="Q226" s="13" t="n"/>
      <c r="R226" s="11" t="n"/>
      <c r="S226" s="11" t="n"/>
      <c r="T226" s="11" t="n"/>
      <c r="U226" s="11" t="n"/>
      <c r="V226" s="10">
        <f>IF(COUNTA($C226,$D226,$J226,$M226)=0,"",IF(TRIM(IF($C226="","Falta l'actuació. ","")&amp;IF($D226="","Falta l'objectiu. ","")&amp;IF($J226="","Falta el tipus de despesa. ","")&amp;IF(AND($J226&lt;&gt;"",$J226&lt;&gt;"Mitjans propis",$J226&lt;&gt;"Altres",$M226=""),"Falta l'import. ","")&amp;IF(AND($J226="Contracte menor a càrrec del RAE",$K226=""),"Falta la partida RAE. ","")&amp;IF(AND($B226&lt;&gt;"",COUNTIF($B$6:$B$705,$B226)&gt;1),"Codi RAE repetit. ","")&amp;IF(AND($B226&lt;&gt;"",$J226&lt;&gt;"",$J226&lt;&gt;"Contracte menor a càrrec del RAE"),"Té codi RAE però no és de tipus RAE. ","")&amp;IF($N226="","Falta l'indicador del Pla. ","")&amp;IF($R226="","Falta el gestor. ","")&amp;IF($S226="","Falta indicar si és recurrent. ",""))="","✔",TRIM(IF($C226="","Falta l'actuació. ","")&amp;IF($D226="","Falta l'objectiu. ","")&amp;IF($J226="","Falta el tipus de despesa. ","")&amp;IF(AND($J226&lt;&gt;"",$J226&lt;&gt;"Mitjans propis",$J226&lt;&gt;"Altres",$M226=""),"Falta l'import. ","")&amp;IF(AND($J226="Contracte menor a càrrec del RAE",$K226=""),"Falta la partida RAE. ","")&amp;IF(AND($B226&lt;&gt;"",COUNTIF($B$6:$B$705,$B226)&gt;1),"Codi RAE repetit. ","")&amp;IF(AND($B226&lt;&gt;"",$J226&lt;&gt;"",$J226&lt;&gt;"Contracte menor a càrrec del RAE"),"Té codi RAE però no és de tipus RAE. ","")&amp;IF($N226="","Falta l'indicador del Pla. ","")&amp;IF($R226="","Falta el gestor. ","")&amp;IF($S226="","Falta indicar si és recurrent. ",""))))</f>
        <v/>
      </c>
    </row>
    <row r="227">
      <c r="A227" s="10">
        <f>IF($D227="","","27_"&amp;IFERROR(INDEX(Objectius!$E$2:$E$183,MATCH($D227,Objectius!$A$2:$A$183,0)),"??")&amp;"_"&amp;TEXT(COUNTIF($I$6:$I227,$I227),"00"))</f>
        <v/>
      </c>
      <c r="B227" s="11" t="n"/>
      <c r="C227" s="11" t="n"/>
      <c r="D227" s="11" t="n"/>
      <c r="E227" s="10">
        <f>IF($D227="","",IFERROR(INDEX(Objectius!$C$2:$C$183,MATCH($D227,Objectius!$A$2:$A$183,0)),"Objectiu no trobat al Pla"))</f>
        <v/>
      </c>
      <c r="F227" s="11" t="n"/>
      <c r="G227" s="11" t="n"/>
      <c r="H227" s="11" t="n"/>
      <c r="I227" s="10">
        <f>IF($D227="","",IFERROR(INDEX(Objectius!$D$2:$D$183,MATCH($D227,Objectius!$A$2:$A$183,0)),""))</f>
        <v/>
      </c>
      <c r="J227" s="11" t="n"/>
      <c r="K227" s="11" t="n"/>
      <c r="L227" s="11" t="n"/>
      <c r="M227" s="12" t="n"/>
      <c r="N227" s="11" t="n"/>
      <c r="O227" s="10">
        <f>IF($N227="","",IFERROR(INDEX('PLA ESTRATÈGIC'!$G$4:$G$452,MATCH($N227,'PLA ESTRATÈGIC'!$Q$4:$Q$452,0)),""))</f>
        <v/>
      </c>
      <c r="P227" s="10">
        <f>IF($N227="","",IFERROR(INDEX('PLA ESTRATÈGIC'!$H$4:$H$452,MATCH($N227,'PLA ESTRATÈGIC'!$Q$4:$Q$452,0)),""))</f>
        <v/>
      </c>
      <c r="Q227" s="13" t="n"/>
      <c r="R227" s="11" t="n"/>
      <c r="S227" s="11" t="n"/>
      <c r="T227" s="11" t="n"/>
      <c r="U227" s="11" t="n"/>
      <c r="V227" s="10">
        <f>IF(COUNTA($C227,$D227,$J227,$M227)=0,"",IF(TRIM(IF($C227="","Falta l'actuació. ","")&amp;IF($D227="","Falta l'objectiu. ","")&amp;IF($J227="","Falta el tipus de despesa. ","")&amp;IF(AND($J227&lt;&gt;"",$J227&lt;&gt;"Mitjans propis",$J227&lt;&gt;"Altres",$M227=""),"Falta l'import. ","")&amp;IF(AND($J227="Contracte menor a càrrec del RAE",$K227=""),"Falta la partida RAE. ","")&amp;IF(AND($B227&lt;&gt;"",COUNTIF($B$6:$B$705,$B227)&gt;1),"Codi RAE repetit. ","")&amp;IF(AND($B227&lt;&gt;"",$J227&lt;&gt;"",$J227&lt;&gt;"Contracte menor a càrrec del RAE"),"Té codi RAE però no és de tipus RAE. ","")&amp;IF($N227="","Falta l'indicador del Pla. ","")&amp;IF($R227="","Falta el gestor. ","")&amp;IF($S227="","Falta indicar si és recurrent. ",""))="","✔",TRIM(IF($C227="","Falta l'actuació. ","")&amp;IF($D227="","Falta l'objectiu. ","")&amp;IF($J227="","Falta el tipus de despesa. ","")&amp;IF(AND($J227&lt;&gt;"",$J227&lt;&gt;"Mitjans propis",$J227&lt;&gt;"Altres",$M227=""),"Falta l'import. ","")&amp;IF(AND($J227="Contracte menor a càrrec del RAE",$K227=""),"Falta la partida RAE. ","")&amp;IF(AND($B227&lt;&gt;"",COUNTIF($B$6:$B$705,$B227)&gt;1),"Codi RAE repetit. ","")&amp;IF(AND($B227&lt;&gt;"",$J227&lt;&gt;"",$J227&lt;&gt;"Contracte menor a càrrec del RAE"),"Té codi RAE però no és de tipus RAE. ","")&amp;IF($N227="","Falta l'indicador del Pla. ","")&amp;IF($R227="","Falta el gestor. ","")&amp;IF($S227="","Falta indicar si és recurrent. ",""))))</f>
        <v/>
      </c>
    </row>
    <row r="228">
      <c r="A228" s="10">
        <f>IF($D228="","","27_"&amp;IFERROR(INDEX(Objectius!$E$2:$E$183,MATCH($D228,Objectius!$A$2:$A$183,0)),"??")&amp;"_"&amp;TEXT(COUNTIF($I$6:$I228,$I228),"00"))</f>
        <v/>
      </c>
      <c r="B228" s="11" t="n"/>
      <c r="C228" s="11" t="n"/>
      <c r="D228" s="11" t="n"/>
      <c r="E228" s="10">
        <f>IF($D228="","",IFERROR(INDEX(Objectius!$C$2:$C$183,MATCH($D228,Objectius!$A$2:$A$183,0)),"Objectiu no trobat al Pla"))</f>
        <v/>
      </c>
      <c r="F228" s="11" t="n"/>
      <c r="G228" s="11" t="n"/>
      <c r="H228" s="11" t="n"/>
      <c r="I228" s="10">
        <f>IF($D228="","",IFERROR(INDEX(Objectius!$D$2:$D$183,MATCH($D228,Objectius!$A$2:$A$183,0)),""))</f>
        <v/>
      </c>
      <c r="J228" s="11" t="n"/>
      <c r="K228" s="11" t="n"/>
      <c r="L228" s="11" t="n"/>
      <c r="M228" s="12" t="n"/>
      <c r="N228" s="11" t="n"/>
      <c r="O228" s="10">
        <f>IF($N228="","",IFERROR(INDEX('PLA ESTRATÈGIC'!$G$4:$G$452,MATCH($N228,'PLA ESTRATÈGIC'!$Q$4:$Q$452,0)),""))</f>
        <v/>
      </c>
      <c r="P228" s="10">
        <f>IF($N228="","",IFERROR(INDEX('PLA ESTRATÈGIC'!$H$4:$H$452,MATCH($N228,'PLA ESTRATÈGIC'!$Q$4:$Q$452,0)),""))</f>
        <v/>
      </c>
      <c r="Q228" s="13" t="n"/>
      <c r="R228" s="11" t="n"/>
      <c r="S228" s="11" t="n"/>
      <c r="T228" s="11" t="n"/>
      <c r="U228" s="11" t="n"/>
      <c r="V228" s="10">
        <f>IF(COUNTA($C228,$D228,$J228,$M228)=0,"",IF(TRIM(IF($C228="","Falta l'actuació. ","")&amp;IF($D228="","Falta l'objectiu. ","")&amp;IF($J228="","Falta el tipus de despesa. ","")&amp;IF(AND($J228&lt;&gt;"",$J228&lt;&gt;"Mitjans propis",$J228&lt;&gt;"Altres",$M228=""),"Falta l'import. ","")&amp;IF(AND($J228="Contracte menor a càrrec del RAE",$K228=""),"Falta la partida RAE. ","")&amp;IF(AND($B228&lt;&gt;"",COUNTIF($B$6:$B$705,$B228)&gt;1),"Codi RAE repetit. ","")&amp;IF(AND($B228&lt;&gt;"",$J228&lt;&gt;"",$J228&lt;&gt;"Contracte menor a càrrec del RAE"),"Té codi RAE però no és de tipus RAE. ","")&amp;IF($N228="","Falta l'indicador del Pla. ","")&amp;IF($R228="","Falta el gestor. ","")&amp;IF($S228="","Falta indicar si és recurrent. ",""))="","✔",TRIM(IF($C228="","Falta l'actuació. ","")&amp;IF($D228="","Falta l'objectiu. ","")&amp;IF($J228="","Falta el tipus de despesa. ","")&amp;IF(AND($J228&lt;&gt;"",$J228&lt;&gt;"Mitjans propis",$J228&lt;&gt;"Altres",$M228=""),"Falta l'import. ","")&amp;IF(AND($J228="Contracte menor a càrrec del RAE",$K228=""),"Falta la partida RAE. ","")&amp;IF(AND($B228&lt;&gt;"",COUNTIF($B$6:$B$705,$B228)&gt;1),"Codi RAE repetit. ","")&amp;IF(AND($B228&lt;&gt;"",$J228&lt;&gt;"",$J228&lt;&gt;"Contracte menor a càrrec del RAE"),"Té codi RAE però no és de tipus RAE. ","")&amp;IF($N228="","Falta l'indicador del Pla. ","")&amp;IF($R228="","Falta el gestor. ","")&amp;IF($S228="","Falta indicar si és recurrent. ",""))))</f>
        <v/>
      </c>
    </row>
    <row r="229">
      <c r="A229" s="10">
        <f>IF($D229="","","27_"&amp;IFERROR(INDEX(Objectius!$E$2:$E$183,MATCH($D229,Objectius!$A$2:$A$183,0)),"??")&amp;"_"&amp;TEXT(COUNTIF($I$6:$I229,$I229),"00"))</f>
        <v/>
      </c>
      <c r="B229" s="11" t="n"/>
      <c r="C229" s="11" t="n"/>
      <c r="D229" s="11" t="n"/>
      <c r="E229" s="10">
        <f>IF($D229="","",IFERROR(INDEX(Objectius!$C$2:$C$183,MATCH($D229,Objectius!$A$2:$A$183,0)),"Objectiu no trobat al Pla"))</f>
        <v/>
      </c>
      <c r="F229" s="11" t="n"/>
      <c r="G229" s="11" t="n"/>
      <c r="H229" s="11" t="n"/>
      <c r="I229" s="10">
        <f>IF($D229="","",IFERROR(INDEX(Objectius!$D$2:$D$183,MATCH($D229,Objectius!$A$2:$A$183,0)),""))</f>
        <v/>
      </c>
      <c r="J229" s="11" t="n"/>
      <c r="K229" s="11" t="n"/>
      <c r="L229" s="11" t="n"/>
      <c r="M229" s="12" t="n"/>
      <c r="N229" s="11" t="n"/>
      <c r="O229" s="10">
        <f>IF($N229="","",IFERROR(INDEX('PLA ESTRATÈGIC'!$G$4:$G$452,MATCH($N229,'PLA ESTRATÈGIC'!$Q$4:$Q$452,0)),""))</f>
        <v/>
      </c>
      <c r="P229" s="10">
        <f>IF($N229="","",IFERROR(INDEX('PLA ESTRATÈGIC'!$H$4:$H$452,MATCH($N229,'PLA ESTRATÈGIC'!$Q$4:$Q$452,0)),""))</f>
        <v/>
      </c>
      <c r="Q229" s="13" t="n"/>
      <c r="R229" s="11" t="n"/>
      <c r="S229" s="11" t="n"/>
      <c r="T229" s="11" t="n"/>
      <c r="U229" s="11" t="n"/>
      <c r="V229" s="10">
        <f>IF(COUNTA($C229,$D229,$J229,$M229)=0,"",IF(TRIM(IF($C229="","Falta l'actuació. ","")&amp;IF($D229="","Falta l'objectiu. ","")&amp;IF($J229="","Falta el tipus de despesa. ","")&amp;IF(AND($J229&lt;&gt;"",$J229&lt;&gt;"Mitjans propis",$J229&lt;&gt;"Altres",$M229=""),"Falta l'import. ","")&amp;IF(AND($J229="Contracte menor a càrrec del RAE",$K229=""),"Falta la partida RAE. ","")&amp;IF(AND($B229&lt;&gt;"",COUNTIF($B$6:$B$705,$B229)&gt;1),"Codi RAE repetit. ","")&amp;IF(AND($B229&lt;&gt;"",$J229&lt;&gt;"",$J229&lt;&gt;"Contracte menor a càrrec del RAE"),"Té codi RAE però no és de tipus RAE. ","")&amp;IF($N229="","Falta l'indicador del Pla. ","")&amp;IF($R229="","Falta el gestor. ","")&amp;IF($S229="","Falta indicar si és recurrent. ",""))="","✔",TRIM(IF($C229="","Falta l'actuació. ","")&amp;IF($D229="","Falta l'objectiu. ","")&amp;IF($J229="","Falta el tipus de despesa. ","")&amp;IF(AND($J229&lt;&gt;"",$J229&lt;&gt;"Mitjans propis",$J229&lt;&gt;"Altres",$M229=""),"Falta l'import. ","")&amp;IF(AND($J229="Contracte menor a càrrec del RAE",$K229=""),"Falta la partida RAE. ","")&amp;IF(AND($B229&lt;&gt;"",COUNTIF($B$6:$B$705,$B229)&gt;1),"Codi RAE repetit. ","")&amp;IF(AND($B229&lt;&gt;"",$J229&lt;&gt;"",$J229&lt;&gt;"Contracte menor a càrrec del RAE"),"Té codi RAE però no és de tipus RAE. ","")&amp;IF($N229="","Falta l'indicador del Pla. ","")&amp;IF($R229="","Falta el gestor. ","")&amp;IF($S229="","Falta indicar si és recurrent. ",""))))</f>
        <v/>
      </c>
    </row>
    <row r="230">
      <c r="A230" s="10">
        <f>IF($D230="","","27_"&amp;IFERROR(INDEX(Objectius!$E$2:$E$183,MATCH($D230,Objectius!$A$2:$A$183,0)),"??")&amp;"_"&amp;TEXT(COUNTIF($I$6:$I230,$I230),"00"))</f>
        <v/>
      </c>
      <c r="B230" s="11" t="n"/>
      <c r="C230" s="11" t="n"/>
      <c r="D230" s="11" t="n"/>
      <c r="E230" s="10">
        <f>IF($D230="","",IFERROR(INDEX(Objectius!$C$2:$C$183,MATCH($D230,Objectius!$A$2:$A$183,0)),"Objectiu no trobat al Pla"))</f>
        <v/>
      </c>
      <c r="F230" s="11" t="n"/>
      <c r="G230" s="11" t="n"/>
      <c r="H230" s="11" t="n"/>
      <c r="I230" s="10">
        <f>IF($D230="","",IFERROR(INDEX(Objectius!$D$2:$D$183,MATCH($D230,Objectius!$A$2:$A$183,0)),""))</f>
        <v/>
      </c>
      <c r="J230" s="11" t="n"/>
      <c r="K230" s="11" t="n"/>
      <c r="L230" s="11" t="n"/>
      <c r="M230" s="12" t="n"/>
      <c r="N230" s="11" t="n"/>
      <c r="O230" s="10">
        <f>IF($N230="","",IFERROR(INDEX('PLA ESTRATÈGIC'!$G$4:$G$452,MATCH($N230,'PLA ESTRATÈGIC'!$Q$4:$Q$452,0)),""))</f>
        <v/>
      </c>
      <c r="P230" s="10">
        <f>IF($N230="","",IFERROR(INDEX('PLA ESTRATÈGIC'!$H$4:$H$452,MATCH($N230,'PLA ESTRATÈGIC'!$Q$4:$Q$452,0)),""))</f>
        <v/>
      </c>
      <c r="Q230" s="13" t="n"/>
      <c r="R230" s="11" t="n"/>
      <c r="S230" s="11" t="n"/>
      <c r="T230" s="11" t="n"/>
      <c r="U230" s="11" t="n"/>
      <c r="V230" s="10">
        <f>IF(COUNTA($C230,$D230,$J230,$M230)=0,"",IF(TRIM(IF($C230="","Falta l'actuació. ","")&amp;IF($D230="","Falta l'objectiu. ","")&amp;IF($J230="","Falta el tipus de despesa. ","")&amp;IF(AND($J230&lt;&gt;"",$J230&lt;&gt;"Mitjans propis",$J230&lt;&gt;"Altres",$M230=""),"Falta l'import. ","")&amp;IF(AND($J230="Contracte menor a càrrec del RAE",$K230=""),"Falta la partida RAE. ","")&amp;IF(AND($B230&lt;&gt;"",COUNTIF($B$6:$B$705,$B230)&gt;1),"Codi RAE repetit. ","")&amp;IF(AND($B230&lt;&gt;"",$J230&lt;&gt;"",$J230&lt;&gt;"Contracte menor a càrrec del RAE"),"Té codi RAE però no és de tipus RAE. ","")&amp;IF($N230="","Falta l'indicador del Pla. ","")&amp;IF($R230="","Falta el gestor. ","")&amp;IF($S230="","Falta indicar si és recurrent. ",""))="","✔",TRIM(IF($C230="","Falta l'actuació. ","")&amp;IF($D230="","Falta l'objectiu. ","")&amp;IF($J230="","Falta el tipus de despesa. ","")&amp;IF(AND($J230&lt;&gt;"",$J230&lt;&gt;"Mitjans propis",$J230&lt;&gt;"Altres",$M230=""),"Falta l'import. ","")&amp;IF(AND($J230="Contracte menor a càrrec del RAE",$K230=""),"Falta la partida RAE. ","")&amp;IF(AND($B230&lt;&gt;"",COUNTIF($B$6:$B$705,$B230)&gt;1),"Codi RAE repetit. ","")&amp;IF(AND($B230&lt;&gt;"",$J230&lt;&gt;"",$J230&lt;&gt;"Contracte menor a càrrec del RAE"),"Té codi RAE però no és de tipus RAE. ","")&amp;IF($N230="","Falta l'indicador del Pla. ","")&amp;IF($R230="","Falta el gestor. ","")&amp;IF($S230="","Falta indicar si és recurrent. ",""))))</f>
        <v/>
      </c>
    </row>
    <row r="231">
      <c r="A231" s="10">
        <f>IF($D231="","","27_"&amp;IFERROR(INDEX(Objectius!$E$2:$E$183,MATCH($D231,Objectius!$A$2:$A$183,0)),"??")&amp;"_"&amp;TEXT(COUNTIF($I$6:$I231,$I231),"00"))</f>
        <v/>
      </c>
      <c r="B231" s="11" t="n"/>
      <c r="C231" s="11" t="n"/>
      <c r="D231" s="11" t="n"/>
      <c r="E231" s="10">
        <f>IF($D231="","",IFERROR(INDEX(Objectius!$C$2:$C$183,MATCH($D231,Objectius!$A$2:$A$183,0)),"Objectiu no trobat al Pla"))</f>
        <v/>
      </c>
      <c r="F231" s="11" t="n"/>
      <c r="G231" s="11" t="n"/>
      <c r="H231" s="11" t="n"/>
      <c r="I231" s="10">
        <f>IF($D231="","",IFERROR(INDEX(Objectius!$D$2:$D$183,MATCH($D231,Objectius!$A$2:$A$183,0)),""))</f>
        <v/>
      </c>
      <c r="J231" s="11" t="n"/>
      <c r="K231" s="11" t="n"/>
      <c r="L231" s="11" t="n"/>
      <c r="M231" s="12" t="n"/>
      <c r="N231" s="11" t="n"/>
      <c r="O231" s="10">
        <f>IF($N231="","",IFERROR(INDEX('PLA ESTRATÈGIC'!$G$4:$G$452,MATCH($N231,'PLA ESTRATÈGIC'!$Q$4:$Q$452,0)),""))</f>
        <v/>
      </c>
      <c r="P231" s="10">
        <f>IF($N231="","",IFERROR(INDEX('PLA ESTRATÈGIC'!$H$4:$H$452,MATCH($N231,'PLA ESTRATÈGIC'!$Q$4:$Q$452,0)),""))</f>
        <v/>
      </c>
      <c r="Q231" s="13" t="n"/>
      <c r="R231" s="11" t="n"/>
      <c r="S231" s="11" t="n"/>
      <c r="T231" s="11" t="n"/>
      <c r="U231" s="11" t="n"/>
      <c r="V231" s="10">
        <f>IF(COUNTA($C231,$D231,$J231,$M231)=0,"",IF(TRIM(IF($C231="","Falta l'actuació. ","")&amp;IF($D231="","Falta l'objectiu. ","")&amp;IF($J231="","Falta el tipus de despesa. ","")&amp;IF(AND($J231&lt;&gt;"",$J231&lt;&gt;"Mitjans propis",$J231&lt;&gt;"Altres",$M231=""),"Falta l'import. ","")&amp;IF(AND($J231="Contracte menor a càrrec del RAE",$K231=""),"Falta la partida RAE. ","")&amp;IF(AND($B231&lt;&gt;"",COUNTIF($B$6:$B$705,$B231)&gt;1),"Codi RAE repetit. ","")&amp;IF(AND($B231&lt;&gt;"",$J231&lt;&gt;"",$J231&lt;&gt;"Contracte menor a càrrec del RAE"),"Té codi RAE però no és de tipus RAE. ","")&amp;IF($N231="","Falta l'indicador del Pla. ","")&amp;IF($R231="","Falta el gestor. ","")&amp;IF($S231="","Falta indicar si és recurrent. ",""))="","✔",TRIM(IF($C231="","Falta l'actuació. ","")&amp;IF($D231="","Falta l'objectiu. ","")&amp;IF($J231="","Falta el tipus de despesa. ","")&amp;IF(AND($J231&lt;&gt;"",$J231&lt;&gt;"Mitjans propis",$J231&lt;&gt;"Altres",$M231=""),"Falta l'import. ","")&amp;IF(AND($J231="Contracte menor a càrrec del RAE",$K231=""),"Falta la partida RAE. ","")&amp;IF(AND($B231&lt;&gt;"",COUNTIF($B$6:$B$705,$B231)&gt;1),"Codi RAE repetit. ","")&amp;IF(AND($B231&lt;&gt;"",$J231&lt;&gt;"",$J231&lt;&gt;"Contracte menor a càrrec del RAE"),"Té codi RAE però no és de tipus RAE. ","")&amp;IF($N231="","Falta l'indicador del Pla. ","")&amp;IF($R231="","Falta el gestor. ","")&amp;IF($S231="","Falta indicar si és recurrent. ",""))))</f>
        <v/>
      </c>
    </row>
    <row r="232">
      <c r="A232" s="10">
        <f>IF($D232="","","27_"&amp;IFERROR(INDEX(Objectius!$E$2:$E$183,MATCH($D232,Objectius!$A$2:$A$183,0)),"??")&amp;"_"&amp;TEXT(COUNTIF($I$6:$I232,$I232),"00"))</f>
        <v/>
      </c>
      <c r="B232" s="11" t="n"/>
      <c r="C232" s="11" t="n"/>
      <c r="D232" s="11" t="n"/>
      <c r="E232" s="10">
        <f>IF($D232="","",IFERROR(INDEX(Objectius!$C$2:$C$183,MATCH($D232,Objectius!$A$2:$A$183,0)),"Objectiu no trobat al Pla"))</f>
        <v/>
      </c>
      <c r="F232" s="11" t="n"/>
      <c r="G232" s="11" t="n"/>
      <c r="H232" s="11" t="n"/>
      <c r="I232" s="10">
        <f>IF($D232="","",IFERROR(INDEX(Objectius!$D$2:$D$183,MATCH($D232,Objectius!$A$2:$A$183,0)),""))</f>
        <v/>
      </c>
      <c r="J232" s="11" t="n"/>
      <c r="K232" s="11" t="n"/>
      <c r="L232" s="11" t="n"/>
      <c r="M232" s="12" t="n"/>
      <c r="N232" s="11" t="n"/>
      <c r="O232" s="10">
        <f>IF($N232="","",IFERROR(INDEX('PLA ESTRATÈGIC'!$G$4:$G$452,MATCH($N232,'PLA ESTRATÈGIC'!$Q$4:$Q$452,0)),""))</f>
        <v/>
      </c>
      <c r="P232" s="10">
        <f>IF($N232="","",IFERROR(INDEX('PLA ESTRATÈGIC'!$H$4:$H$452,MATCH($N232,'PLA ESTRATÈGIC'!$Q$4:$Q$452,0)),""))</f>
        <v/>
      </c>
      <c r="Q232" s="13" t="n"/>
      <c r="R232" s="11" t="n"/>
      <c r="S232" s="11" t="n"/>
      <c r="T232" s="11" t="n"/>
      <c r="U232" s="11" t="n"/>
      <c r="V232" s="10">
        <f>IF(COUNTA($C232,$D232,$J232,$M232)=0,"",IF(TRIM(IF($C232="","Falta l'actuació. ","")&amp;IF($D232="","Falta l'objectiu. ","")&amp;IF($J232="","Falta el tipus de despesa. ","")&amp;IF(AND($J232&lt;&gt;"",$J232&lt;&gt;"Mitjans propis",$J232&lt;&gt;"Altres",$M232=""),"Falta l'import. ","")&amp;IF(AND($J232="Contracte menor a càrrec del RAE",$K232=""),"Falta la partida RAE. ","")&amp;IF(AND($B232&lt;&gt;"",COUNTIF($B$6:$B$705,$B232)&gt;1),"Codi RAE repetit. ","")&amp;IF(AND($B232&lt;&gt;"",$J232&lt;&gt;"",$J232&lt;&gt;"Contracte menor a càrrec del RAE"),"Té codi RAE però no és de tipus RAE. ","")&amp;IF($N232="","Falta l'indicador del Pla. ","")&amp;IF($R232="","Falta el gestor. ","")&amp;IF($S232="","Falta indicar si és recurrent. ",""))="","✔",TRIM(IF($C232="","Falta l'actuació. ","")&amp;IF($D232="","Falta l'objectiu. ","")&amp;IF($J232="","Falta el tipus de despesa. ","")&amp;IF(AND($J232&lt;&gt;"",$J232&lt;&gt;"Mitjans propis",$J232&lt;&gt;"Altres",$M232=""),"Falta l'import. ","")&amp;IF(AND($J232="Contracte menor a càrrec del RAE",$K232=""),"Falta la partida RAE. ","")&amp;IF(AND($B232&lt;&gt;"",COUNTIF($B$6:$B$705,$B232)&gt;1),"Codi RAE repetit. ","")&amp;IF(AND($B232&lt;&gt;"",$J232&lt;&gt;"",$J232&lt;&gt;"Contracte menor a càrrec del RAE"),"Té codi RAE però no és de tipus RAE. ","")&amp;IF($N232="","Falta l'indicador del Pla. ","")&amp;IF($R232="","Falta el gestor. ","")&amp;IF($S232="","Falta indicar si és recurrent. ",""))))</f>
        <v/>
      </c>
    </row>
    <row r="233">
      <c r="A233" s="10">
        <f>IF($D233="","","27_"&amp;IFERROR(INDEX(Objectius!$E$2:$E$183,MATCH($D233,Objectius!$A$2:$A$183,0)),"??")&amp;"_"&amp;TEXT(COUNTIF($I$6:$I233,$I233),"00"))</f>
        <v/>
      </c>
      <c r="B233" s="11" t="n"/>
      <c r="C233" s="11" t="n"/>
      <c r="D233" s="11" t="n"/>
      <c r="E233" s="10">
        <f>IF($D233="","",IFERROR(INDEX(Objectius!$C$2:$C$183,MATCH($D233,Objectius!$A$2:$A$183,0)),"Objectiu no trobat al Pla"))</f>
        <v/>
      </c>
      <c r="F233" s="11" t="n"/>
      <c r="G233" s="11" t="n"/>
      <c r="H233" s="11" t="n"/>
      <c r="I233" s="10">
        <f>IF($D233="","",IFERROR(INDEX(Objectius!$D$2:$D$183,MATCH($D233,Objectius!$A$2:$A$183,0)),""))</f>
        <v/>
      </c>
      <c r="J233" s="11" t="n"/>
      <c r="K233" s="11" t="n"/>
      <c r="L233" s="11" t="n"/>
      <c r="M233" s="12" t="n"/>
      <c r="N233" s="11" t="n"/>
      <c r="O233" s="10">
        <f>IF($N233="","",IFERROR(INDEX('PLA ESTRATÈGIC'!$G$4:$G$452,MATCH($N233,'PLA ESTRATÈGIC'!$Q$4:$Q$452,0)),""))</f>
        <v/>
      </c>
      <c r="P233" s="10">
        <f>IF($N233="","",IFERROR(INDEX('PLA ESTRATÈGIC'!$H$4:$H$452,MATCH($N233,'PLA ESTRATÈGIC'!$Q$4:$Q$452,0)),""))</f>
        <v/>
      </c>
      <c r="Q233" s="13" t="n"/>
      <c r="R233" s="11" t="n"/>
      <c r="S233" s="11" t="n"/>
      <c r="T233" s="11" t="n"/>
      <c r="U233" s="11" t="n"/>
      <c r="V233" s="10">
        <f>IF(COUNTA($C233,$D233,$J233,$M233)=0,"",IF(TRIM(IF($C233="","Falta l'actuació. ","")&amp;IF($D233="","Falta l'objectiu. ","")&amp;IF($J233="","Falta el tipus de despesa. ","")&amp;IF(AND($J233&lt;&gt;"",$J233&lt;&gt;"Mitjans propis",$J233&lt;&gt;"Altres",$M233=""),"Falta l'import. ","")&amp;IF(AND($J233="Contracte menor a càrrec del RAE",$K233=""),"Falta la partida RAE. ","")&amp;IF(AND($B233&lt;&gt;"",COUNTIF($B$6:$B$705,$B233)&gt;1),"Codi RAE repetit. ","")&amp;IF(AND($B233&lt;&gt;"",$J233&lt;&gt;"",$J233&lt;&gt;"Contracte menor a càrrec del RAE"),"Té codi RAE però no és de tipus RAE. ","")&amp;IF($N233="","Falta l'indicador del Pla. ","")&amp;IF($R233="","Falta el gestor. ","")&amp;IF($S233="","Falta indicar si és recurrent. ",""))="","✔",TRIM(IF($C233="","Falta l'actuació. ","")&amp;IF($D233="","Falta l'objectiu. ","")&amp;IF($J233="","Falta el tipus de despesa. ","")&amp;IF(AND($J233&lt;&gt;"",$J233&lt;&gt;"Mitjans propis",$J233&lt;&gt;"Altres",$M233=""),"Falta l'import. ","")&amp;IF(AND($J233="Contracte menor a càrrec del RAE",$K233=""),"Falta la partida RAE. ","")&amp;IF(AND($B233&lt;&gt;"",COUNTIF($B$6:$B$705,$B233)&gt;1),"Codi RAE repetit. ","")&amp;IF(AND($B233&lt;&gt;"",$J233&lt;&gt;"",$J233&lt;&gt;"Contracte menor a càrrec del RAE"),"Té codi RAE però no és de tipus RAE. ","")&amp;IF($N233="","Falta l'indicador del Pla. ","")&amp;IF($R233="","Falta el gestor. ","")&amp;IF($S233="","Falta indicar si és recurrent. ",""))))</f>
        <v/>
      </c>
    </row>
    <row r="234">
      <c r="A234" s="10">
        <f>IF($D234="","","27_"&amp;IFERROR(INDEX(Objectius!$E$2:$E$183,MATCH($D234,Objectius!$A$2:$A$183,0)),"??")&amp;"_"&amp;TEXT(COUNTIF($I$6:$I234,$I234),"00"))</f>
        <v/>
      </c>
      <c r="B234" s="11" t="n"/>
      <c r="C234" s="11" t="n"/>
      <c r="D234" s="11" t="n"/>
      <c r="E234" s="10">
        <f>IF($D234="","",IFERROR(INDEX(Objectius!$C$2:$C$183,MATCH($D234,Objectius!$A$2:$A$183,0)),"Objectiu no trobat al Pla"))</f>
        <v/>
      </c>
      <c r="F234" s="11" t="n"/>
      <c r="G234" s="11" t="n"/>
      <c r="H234" s="11" t="n"/>
      <c r="I234" s="10">
        <f>IF($D234="","",IFERROR(INDEX(Objectius!$D$2:$D$183,MATCH($D234,Objectius!$A$2:$A$183,0)),""))</f>
        <v/>
      </c>
      <c r="J234" s="11" t="n"/>
      <c r="K234" s="11" t="n"/>
      <c r="L234" s="11" t="n"/>
      <c r="M234" s="12" t="n"/>
      <c r="N234" s="11" t="n"/>
      <c r="O234" s="10">
        <f>IF($N234="","",IFERROR(INDEX('PLA ESTRATÈGIC'!$G$4:$G$452,MATCH($N234,'PLA ESTRATÈGIC'!$Q$4:$Q$452,0)),""))</f>
        <v/>
      </c>
      <c r="P234" s="10">
        <f>IF($N234="","",IFERROR(INDEX('PLA ESTRATÈGIC'!$H$4:$H$452,MATCH($N234,'PLA ESTRATÈGIC'!$Q$4:$Q$452,0)),""))</f>
        <v/>
      </c>
      <c r="Q234" s="13" t="n"/>
      <c r="R234" s="11" t="n"/>
      <c r="S234" s="11" t="n"/>
      <c r="T234" s="11" t="n"/>
      <c r="U234" s="11" t="n"/>
      <c r="V234" s="10">
        <f>IF(COUNTA($C234,$D234,$J234,$M234)=0,"",IF(TRIM(IF($C234="","Falta l'actuació. ","")&amp;IF($D234="","Falta l'objectiu. ","")&amp;IF($J234="","Falta el tipus de despesa. ","")&amp;IF(AND($J234&lt;&gt;"",$J234&lt;&gt;"Mitjans propis",$J234&lt;&gt;"Altres",$M234=""),"Falta l'import. ","")&amp;IF(AND($J234="Contracte menor a càrrec del RAE",$K234=""),"Falta la partida RAE. ","")&amp;IF(AND($B234&lt;&gt;"",COUNTIF($B$6:$B$705,$B234)&gt;1),"Codi RAE repetit. ","")&amp;IF(AND($B234&lt;&gt;"",$J234&lt;&gt;"",$J234&lt;&gt;"Contracte menor a càrrec del RAE"),"Té codi RAE però no és de tipus RAE. ","")&amp;IF($N234="","Falta l'indicador del Pla. ","")&amp;IF($R234="","Falta el gestor. ","")&amp;IF($S234="","Falta indicar si és recurrent. ",""))="","✔",TRIM(IF($C234="","Falta l'actuació. ","")&amp;IF($D234="","Falta l'objectiu. ","")&amp;IF($J234="","Falta el tipus de despesa. ","")&amp;IF(AND($J234&lt;&gt;"",$J234&lt;&gt;"Mitjans propis",$J234&lt;&gt;"Altres",$M234=""),"Falta l'import. ","")&amp;IF(AND($J234="Contracte menor a càrrec del RAE",$K234=""),"Falta la partida RAE. ","")&amp;IF(AND($B234&lt;&gt;"",COUNTIF($B$6:$B$705,$B234)&gt;1),"Codi RAE repetit. ","")&amp;IF(AND($B234&lt;&gt;"",$J234&lt;&gt;"",$J234&lt;&gt;"Contracte menor a càrrec del RAE"),"Té codi RAE però no és de tipus RAE. ","")&amp;IF($N234="","Falta l'indicador del Pla. ","")&amp;IF($R234="","Falta el gestor. ","")&amp;IF($S234="","Falta indicar si és recurrent. ",""))))</f>
        <v/>
      </c>
    </row>
    <row r="235">
      <c r="A235" s="10">
        <f>IF($D235="","","27_"&amp;IFERROR(INDEX(Objectius!$E$2:$E$183,MATCH($D235,Objectius!$A$2:$A$183,0)),"??")&amp;"_"&amp;TEXT(COUNTIF($I$6:$I235,$I235),"00"))</f>
        <v/>
      </c>
      <c r="B235" s="11" t="n"/>
      <c r="C235" s="11" t="n"/>
      <c r="D235" s="11" t="n"/>
      <c r="E235" s="10">
        <f>IF($D235="","",IFERROR(INDEX(Objectius!$C$2:$C$183,MATCH($D235,Objectius!$A$2:$A$183,0)),"Objectiu no trobat al Pla"))</f>
        <v/>
      </c>
      <c r="F235" s="11" t="n"/>
      <c r="G235" s="11" t="n"/>
      <c r="H235" s="11" t="n"/>
      <c r="I235" s="10">
        <f>IF($D235="","",IFERROR(INDEX(Objectius!$D$2:$D$183,MATCH($D235,Objectius!$A$2:$A$183,0)),""))</f>
        <v/>
      </c>
      <c r="J235" s="11" t="n"/>
      <c r="K235" s="11" t="n"/>
      <c r="L235" s="11" t="n"/>
      <c r="M235" s="12" t="n"/>
      <c r="N235" s="11" t="n"/>
      <c r="O235" s="10">
        <f>IF($N235="","",IFERROR(INDEX('PLA ESTRATÈGIC'!$G$4:$G$452,MATCH($N235,'PLA ESTRATÈGIC'!$Q$4:$Q$452,0)),""))</f>
        <v/>
      </c>
      <c r="P235" s="10">
        <f>IF($N235="","",IFERROR(INDEX('PLA ESTRATÈGIC'!$H$4:$H$452,MATCH($N235,'PLA ESTRATÈGIC'!$Q$4:$Q$452,0)),""))</f>
        <v/>
      </c>
      <c r="Q235" s="13" t="n"/>
      <c r="R235" s="11" t="n"/>
      <c r="S235" s="11" t="n"/>
      <c r="T235" s="11" t="n"/>
      <c r="U235" s="11" t="n"/>
      <c r="V235" s="10">
        <f>IF(COUNTA($C235,$D235,$J235,$M235)=0,"",IF(TRIM(IF($C235="","Falta l'actuació. ","")&amp;IF($D235="","Falta l'objectiu. ","")&amp;IF($J235="","Falta el tipus de despesa. ","")&amp;IF(AND($J235&lt;&gt;"",$J235&lt;&gt;"Mitjans propis",$J235&lt;&gt;"Altres",$M235=""),"Falta l'import. ","")&amp;IF(AND($J235="Contracte menor a càrrec del RAE",$K235=""),"Falta la partida RAE. ","")&amp;IF(AND($B235&lt;&gt;"",COUNTIF($B$6:$B$705,$B235)&gt;1),"Codi RAE repetit. ","")&amp;IF(AND($B235&lt;&gt;"",$J235&lt;&gt;"",$J235&lt;&gt;"Contracte menor a càrrec del RAE"),"Té codi RAE però no és de tipus RAE. ","")&amp;IF($N235="","Falta l'indicador del Pla. ","")&amp;IF($R235="","Falta el gestor. ","")&amp;IF($S235="","Falta indicar si és recurrent. ",""))="","✔",TRIM(IF($C235="","Falta l'actuació. ","")&amp;IF($D235="","Falta l'objectiu. ","")&amp;IF($J235="","Falta el tipus de despesa. ","")&amp;IF(AND($J235&lt;&gt;"",$J235&lt;&gt;"Mitjans propis",$J235&lt;&gt;"Altres",$M235=""),"Falta l'import. ","")&amp;IF(AND($J235="Contracte menor a càrrec del RAE",$K235=""),"Falta la partida RAE. ","")&amp;IF(AND($B235&lt;&gt;"",COUNTIF($B$6:$B$705,$B235)&gt;1),"Codi RAE repetit. ","")&amp;IF(AND($B235&lt;&gt;"",$J235&lt;&gt;"",$J235&lt;&gt;"Contracte menor a càrrec del RAE"),"Té codi RAE però no és de tipus RAE. ","")&amp;IF($N235="","Falta l'indicador del Pla. ","")&amp;IF($R235="","Falta el gestor. ","")&amp;IF($S235="","Falta indicar si és recurrent. ",""))))</f>
        <v/>
      </c>
    </row>
    <row r="236">
      <c r="A236" s="10">
        <f>IF($D236="","","27_"&amp;IFERROR(INDEX(Objectius!$E$2:$E$183,MATCH($D236,Objectius!$A$2:$A$183,0)),"??")&amp;"_"&amp;TEXT(COUNTIF($I$6:$I236,$I236),"00"))</f>
        <v/>
      </c>
      <c r="B236" s="11" t="n"/>
      <c r="C236" s="11" t="n"/>
      <c r="D236" s="11" t="n"/>
      <c r="E236" s="10">
        <f>IF($D236="","",IFERROR(INDEX(Objectius!$C$2:$C$183,MATCH($D236,Objectius!$A$2:$A$183,0)),"Objectiu no trobat al Pla"))</f>
        <v/>
      </c>
      <c r="F236" s="11" t="n"/>
      <c r="G236" s="11" t="n"/>
      <c r="H236" s="11" t="n"/>
      <c r="I236" s="10">
        <f>IF($D236="","",IFERROR(INDEX(Objectius!$D$2:$D$183,MATCH($D236,Objectius!$A$2:$A$183,0)),""))</f>
        <v/>
      </c>
      <c r="J236" s="11" t="n"/>
      <c r="K236" s="11" t="n"/>
      <c r="L236" s="11" t="n"/>
      <c r="M236" s="12" t="n"/>
      <c r="N236" s="11" t="n"/>
      <c r="O236" s="10">
        <f>IF($N236="","",IFERROR(INDEX('PLA ESTRATÈGIC'!$G$4:$G$452,MATCH($N236,'PLA ESTRATÈGIC'!$Q$4:$Q$452,0)),""))</f>
        <v/>
      </c>
      <c r="P236" s="10">
        <f>IF($N236="","",IFERROR(INDEX('PLA ESTRATÈGIC'!$H$4:$H$452,MATCH($N236,'PLA ESTRATÈGIC'!$Q$4:$Q$452,0)),""))</f>
        <v/>
      </c>
      <c r="Q236" s="13" t="n"/>
      <c r="R236" s="11" t="n"/>
      <c r="S236" s="11" t="n"/>
      <c r="T236" s="11" t="n"/>
      <c r="U236" s="11" t="n"/>
      <c r="V236" s="10">
        <f>IF(COUNTA($C236,$D236,$J236,$M236)=0,"",IF(TRIM(IF($C236="","Falta l'actuació. ","")&amp;IF($D236="","Falta l'objectiu. ","")&amp;IF($J236="","Falta el tipus de despesa. ","")&amp;IF(AND($J236&lt;&gt;"",$J236&lt;&gt;"Mitjans propis",$J236&lt;&gt;"Altres",$M236=""),"Falta l'import. ","")&amp;IF(AND($J236="Contracte menor a càrrec del RAE",$K236=""),"Falta la partida RAE. ","")&amp;IF(AND($B236&lt;&gt;"",COUNTIF($B$6:$B$705,$B236)&gt;1),"Codi RAE repetit. ","")&amp;IF(AND($B236&lt;&gt;"",$J236&lt;&gt;"",$J236&lt;&gt;"Contracte menor a càrrec del RAE"),"Té codi RAE però no és de tipus RAE. ","")&amp;IF($N236="","Falta l'indicador del Pla. ","")&amp;IF($R236="","Falta el gestor. ","")&amp;IF($S236="","Falta indicar si és recurrent. ",""))="","✔",TRIM(IF($C236="","Falta l'actuació. ","")&amp;IF($D236="","Falta l'objectiu. ","")&amp;IF($J236="","Falta el tipus de despesa. ","")&amp;IF(AND($J236&lt;&gt;"",$J236&lt;&gt;"Mitjans propis",$J236&lt;&gt;"Altres",$M236=""),"Falta l'import. ","")&amp;IF(AND($J236="Contracte menor a càrrec del RAE",$K236=""),"Falta la partida RAE. ","")&amp;IF(AND($B236&lt;&gt;"",COUNTIF($B$6:$B$705,$B236)&gt;1),"Codi RAE repetit. ","")&amp;IF(AND($B236&lt;&gt;"",$J236&lt;&gt;"",$J236&lt;&gt;"Contracte menor a càrrec del RAE"),"Té codi RAE però no és de tipus RAE. ","")&amp;IF($N236="","Falta l'indicador del Pla. ","")&amp;IF($R236="","Falta el gestor. ","")&amp;IF($S236="","Falta indicar si és recurrent. ",""))))</f>
        <v/>
      </c>
    </row>
    <row r="237">
      <c r="A237" s="10">
        <f>IF($D237="","","27_"&amp;IFERROR(INDEX(Objectius!$E$2:$E$183,MATCH($D237,Objectius!$A$2:$A$183,0)),"??")&amp;"_"&amp;TEXT(COUNTIF($I$6:$I237,$I237),"00"))</f>
        <v/>
      </c>
      <c r="B237" s="11" t="n"/>
      <c r="C237" s="11" t="n"/>
      <c r="D237" s="11" t="n"/>
      <c r="E237" s="10">
        <f>IF($D237="","",IFERROR(INDEX(Objectius!$C$2:$C$183,MATCH($D237,Objectius!$A$2:$A$183,0)),"Objectiu no trobat al Pla"))</f>
        <v/>
      </c>
      <c r="F237" s="11" t="n"/>
      <c r="G237" s="11" t="n"/>
      <c r="H237" s="11" t="n"/>
      <c r="I237" s="10">
        <f>IF($D237="","",IFERROR(INDEX(Objectius!$D$2:$D$183,MATCH($D237,Objectius!$A$2:$A$183,0)),""))</f>
        <v/>
      </c>
      <c r="J237" s="11" t="n"/>
      <c r="K237" s="11" t="n"/>
      <c r="L237" s="11" t="n"/>
      <c r="M237" s="12" t="n"/>
      <c r="N237" s="11" t="n"/>
      <c r="O237" s="10">
        <f>IF($N237="","",IFERROR(INDEX('PLA ESTRATÈGIC'!$G$4:$G$452,MATCH($N237,'PLA ESTRATÈGIC'!$Q$4:$Q$452,0)),""))</f>
        <v/>
      </c>
      <c r="P237" s="10">
        <f>IF($N237="","",IFERROR(INDEX('PLA ESTRATÈGIC'!$H$4:$H$452,MATCH($N237,'PLA ESTRATÈGIC'!$Q$4:$Q$452,0)),""))</f>
        <v/>
      </c>
      <c r="Q237" s="13" t="n"/>
      <c r="R237" s="11" t="n"/>
      <c r="S237" s="11" t="n"/>
      <c r="T237" s="11" t="n"/>
      <c r="U237" s="11" t="n"/>
      <c r="V237" s="10">
        <f>IF(COUNTA($C237,$D237,$J237,$M237)=0,"",IF(TRIM(IF($C237="","Falta l'actuació. ","")&amp;IF($D237="","Falta l'objectiu. ","")&amp;IF($J237="","Falta el tipus de despesa. ","")&amp;IF(AND($J237&lt;&gt;"",$J237&lt;&gt;"Mitjans propis",$J237&lt;&gt;"Altres",$M237=""),"Falta l'import. ","")&amp;IF(AND($J237="Contracte menor a càrrec del RAE",$K237=""),"Falta la partida RAE. ","")&amp;IF(AND($B237&lt;&gt;"",COUNTIF($B$6:$B$705,$B237)&gt;1),"Codi RAE repetit. ","")&amp;IF(AND($B237&lt;&gt;"",$J237&lt;&gt;"",$J237&lt;&gt;"Contracte menor a càrrec del RAE"),"Té codi RAE però no és de tipus RAE. ","")&amp;IF($N237="","Falta l'indicador del Pla. ","")&amp;IF($R237="","Falta el gestor. ","")&amp;IF($S237="","Falta indicar si és recurrent. ",""))="","✔",TRIM(IF($C237="","Falta l'actuació. ","")&amp;IF($D237="","Falta l'objectiu. ","")&amp;IF($J237="","Falta el tipus de despesa. ","")&amp;IF(AND($J237&lt;&gt;"",$J237&lt;&gt;"Mitjans propis",$J237&lt;&gt;"Altres",$M237=""),"Falta l'import. ","")&amp;IF(AND($J237="Contracte menor a càrrec del RAE",$K237=""),"Falta la partida RAE. ","")&amp;IF(AND($B237&lt;&gt;"",COUNTIF($B$6:$B$705,$B237)&gt;1),"Codi RAE repetit. ","")&amp;IF(AND($B237&lt;&gt;"",$J237&lt;&gt;"",$J237&lt;&gt;"Contracte menor a càrrec del RAE"),"Té codi RAE però no és de tipus RAE. ","")&amp;IF($N237="","Falta l'indicador del Pla. ","")&amp;IF($R237="","Falta el gestor. ","")&amp;IF($S237="","Falta indicar si és recurrent. ",""))))</f>
        <v/>
      </c>
    </row>
    <row r="238">
      <c r="A238" s="10">
        <f>IF($D238="","","27_"&amp;IFERROR(INDEX(Objectius!$E$2:$E$183,MATCH($D238,Objectius!$A$2:$A$183,0)),"??")&amp;"_"&amp;TEXT(COUNTIF($I$6:$I238,$I238),"00"))</f>
        <v/>
      </c>
      <c r="B238" s="11" t="n"/>
      <c r="C238" s="11" t="n"/>
      <c r="D238" s="11" t="n"/>
      <c r="E238" s="10">
        <f>IF($D238="","",IFERROR(INDEX(Objectius!$C$2:$C$183,MATCH($D238,Objectius!$A$2:$A$183,0)),"Objectiu no trobat al Pla"))</f>
        <v/>
      </c>
      <c r="F238" s="11" t="n"/>
      <c r="G238" s="11" t="n"/>
      <c r="H238" s="11" t="n"/>
      <c r="I238" s="10">
        <f>IF($D238="","",IFERROR(INDEX(Objectius!$D$2:$D$183,MATCH($D238,Objectius!$A$2:$A$183,0)),""))</f>
        <v/>
      </c>
      <c r="J238" s="11" t="n"/>
      <c r="K238" s="11" t="n"/>
      <c r="L238" s="11" t="n"/>
      <c r="M238" s="12" t="n"/>
      <c r="N238" s="11" t="n"/>
      <c r="O238" s="10">
        <f>IF($N238="","",IFERROR(INDEX('PLA ESTRATÈGIC'!$G$4:$G$452,MATCH($N238,'PLA ESTRATÈGIC'!$Q$4:$Q$452,0)),""))</f>
        <v/>
      </c>
      <c r="P238" s="10">
        <f>IF($N238="","",IFERROR(INDEX('PLA ESTRATÈGIC'!$H$4:$H$452,MATCH($N238,'PLA ESTRATÈGIC'!$Q$4:$Q$452,0)),""))</f>
        <v/>
      </c>
      <c r="Q238" s="13" t="n"/>
      <c r="R238" s="11" t="n"/>
      <c r="S238" s="11" t="n"/>
      <c r="T238" s="11" t="n"/>
      <c r="U238" s="11" t="n"/>
      <c r="V238" s="10">
        <f>IF(COUNTA($C238,$D238,$J238,$M238)=0,"",IF(TRIM(IF($C238="","Falta l'actuació. ","")&amp;IF($D238="","Falta l'objectiu. ","")&amp;IF($J238="","Falta el tipus de despesa. ","")&amp;IF(AND($J238&lt;&gt;"",$J238&lt;&gt;"Mitjans propis",$J238&lt;&gt;"Altres",$M238=""),"Falta l'import. ","")&amp;IF(AND($J238="Contracte menor a càrrec del RAE",$K238=""),"Falta la partida RAE. ","")&amp;IF(AND($B238&lt;&gt;"",COUNTIF($B$6:$B$705,$B238)&gt;1),"Codi RAE repetit. ","")&amp;IF(AND($B238&lt;&gt;"",$J238&lt;&gt;"",$J238&lt;&gt;"Contracte menor a càrrec del RAE"),"Té codi RAE però no és de tipus RAE. ","")&amp;IF($N238="","Falta l'indicador del Pla. ","")&amp;IF($R238="","Falta el gestor. ","")&amp;IF($S238="","Falta indicar si és recurrent. ",""))="","✔",TRIM(IF($C238="","Falta l'actuació. ","")&amp;IF($D238="","Falta l'objectiu. ","")&amp;IF($J238="","Falta el tipus de despesa. ","")&amp;IF(AND($J238&lt;&gt;"",$J238&lt;&gt;"Mitjans propis",$J238&lt;&gt;"Altres",$M238=""),"Falta l'import. ","")&amp;IF(AND($J238="Contracte menor a càrrec del RAE",$K238=""),"Falta la partida RAE. ","")&amp;IF(AND($B238&lt;&gt;"",COUNTIF($B$6:$B$705,$B238)&gt;1),"Codi RAE repetit. ","")&amp;IF(AND($B238&lt;&gt;"",$J238&lt;&gt;"",$J238&lt;&gt;"Contracte menor a càrrec del RAE"),"Té codi RAE però no és de tipus RAE. ","")&amp;IF($N238="","Falta l'indicador del Pla. ","")&amp;IF($R238="","Falta el gestor. ","")&amp;IF($S238="","Falta indicar si és recurrent. ",""))))</f>
        <v/>
      </c>
    </row>
    <row r="239">
      <c r="A239" s="10">
        <f>IF($D239="","","27_"&amp;IFERROR(INDEX(Objectius!$E$2:$E$183,MATCH($D239,Objectius!$A$2:$A$183,0)),"??")&amp;"_"&amp;TEXT(COUNTIF($I$6:$I239,$I239),"00"))</f>
        <v/>
      </c>
      <c r="B239" s="11" t="n"/>
      <c r="C239" s="11" t="n"/>
      <c r="D239" s="11" t="n"/>
      <c r="E239" s="10">
        <f>IF($D239="","",IFERROR(INDEX(Objectius!$C$2:$C$183,MATCH($D239,Objectius!$A$2:$A$183,0)),"Objectiu no trobat al Pla"))</f>
        <v/>
      </c>
      <c r="F239" s="11" t="n"/>
      <c r="G239" s="11" t="n"/>
      <c r="H239" s="11" t="n"/>
      <c r="I239" s="10">
        <f>IF($D239="","",IFERROR(INDEX(Objectius!$D$2:$D$183,MATCH($D239,Objectius!$A$2:$A$183,0)),""))</f>
        <v/>
      </c>
      <c r="J239" s="11" t="n"/>
      <c r="K239" s="11" t="n"/>
      <c r="L239" s="11" t="n"/>
      <c r="M239" s="12" t="n"/>
      <c r="N239" s="11" t="n"/>
      <c r="O239" s="10">
        <f>IF($N239="","",IFERROR(INDEX('PLA ESTRATÈGIC'!$G$4:$G$452,MATCH($N239,'PLA ESTRATÈGIC'!$Q$4:$Q$452,0)),""))</f>
        <v/>
      </c>
      <c r="P239" s="10">
        <f>IF($N239="","",IFERROR(INDEX('PLA ESTRATÈGIC'!$H$4:$H$452,MATCH($N239,'PLA ESTRATÈGIC'!$Q$4:$Q$452,0)),""))</f>
        <v/>
      </c>
      <c r="Q239" s="13" t="n"/>
      <c r="R239" s="11" t="n"/>
      <c r="S239" s="11" t="n"/>
      <c r="T239" s="11" t="n"/>
      <c r="U239" s="11" t="n"/>
      <c r="V239" s="10">
        <f>IF(COUNTA($C239,$D239,$J239,$M239)=0,"",IF(TRIM(IF($C239="","Falta l'actuació. ","")&amp;IF($D239="","Falta l'objectiu. ","")&amp;IF($J239="","Falta el tipus de despesa. ","")&amp;IF(AND($J239&lt;&gt;"",$J239&lt;&gt;"Mitjans propis",$J239&lt;&gt;"Altres",$M239=""),"Falta l'import. ","")&amp;IF(AND($J239="Contracte menor a càrrec del RAE",$K239=""),"Falta la partida RAE. ","")&amp;IF(AND($B239&lt;&gt;"",COUNTIF($B$6:$B$705,$B239)&gt;1),"Codi RAE repetit. ","")&amp;IF(AND($B239&lt;&gt;"",$J239&lt;&gt;"",$J239&lt;&gt;"Contracte menor a càrrec del RAE"),"Té codi RAE però no és de tipus RAE. ","")&amp;IF($N239="","Falta l'indicador del Pla. ","")&amp;IF($R239="","Falta el gestor. ","")&amp;IF($S239="","Falta indicar si és recurrent. ",""))="","✔",TRIM(IF($C239="","Falta l'actuació. ","")&amp;IF($D239="","Falta l'objectiu. ","")&amp;IF($J239="","Falta el tipus de despesa. ","")&amp;IF(AND($J239&lt;&gt;"",$J239&lt;&gt;"Mitjans propis",$J239&lt;&gt;"Altres",$M239=""),"Falta l'import. ","")&amp;IF(AND($J239="Contracte menor a càrrec del RAE",$K239=""),"Falta la partida RAE. ","")&amp;IF(AND($B239&lt;&gt;"",COUNTIF($B$6:$B$705,$B239)&gt;1),"Codi RAE repetit. ","")&amp;IF(AND($B239&lt;&gt;"",$J239&lt;&gt;"",$J239&lt;&gt;"Contracte menor a càrrec del RAE"),"Té codi RAE però no és de tipus RAE. ","")&amp;IF($N239="","Falta l'indicador del Pla. ","")&amp;IF($R239="","Falta el gestor. ","")&amp;IF($S239="","Falta indicar si és recurrent. ",""))))</f>
        <v/>
      </c>
    </row>
    <row r="240">
      <c r="A240" s="10">
        <f>IF($D240="","","27_"&amp;IFERROR(INDEX(Objectius!$E$2:$E$183,MATCH($D240,Objectius!$A$2:$A$183,0)),"??")&amp;"_"&amp;TEXT(COUNTIF($I$6:$I240,$I240),"00"))</f>
        <v/>
      </c>
      <c r="B240" s="11" t="n"/>
      <c r="C240" s="11" t="n"/>
      <c r="D240" s="11" t="n"/>
      <c r="E240" s="10">
        <f>IF($D240="","",IFERROR(INDEX(Objectius!$C$2:$C$183,MATCH($D240,Objectius!$A$2:$A$183,0)),"Objectiu no trobat al Pla"))</f>
        <v/>
      </c>
      <c r="F240" s="11" t="n"/>
      <c r="G240" s="11" t="n"/>
      <c r="H240" s="11" t="n"/>
      <c r="I240" s="10">
        <f>IF($D240="","",IFERROR(INDEX(Objectius!$D$2:$D$183,MATCH($D240,Objectius!$A$2:$A$183,0)),""))</f>
        <v/>
      </c>
      <c r="J240" s="11" t="n"/>
      <c r="K240" s="11" t="n"/>
      <c r="L240" s="11" t="n"/>
      <c r="M240" s="12" t="n"/>
      <c r="N240" s="11" t="n"/>
      <c r="O240" s="10">
        <f>IF($N240="","",IFERROR(INDEX('PLA ESTRATÈGIC'!$G$4:$G$452,MATCH($N240,'PLA ESTRATÈGIC'!$Q$4:$Q$452,0)),""))</f>
        <v/>
      </c>
      <c r="P240" s="10">
        <f>IF($N240="","",IFERROR(INDEX('PLA ESTRATÈGIC'!$H$4:$H$452,MATCH($N240,'PLA ESTRATÈGIC'!$Q$4:$Q$452,0)),""))</f>
        <v/>
      </c>
      <c r="Q240" s="13" t="n"/>
      <c r="R240" s="11" t="n"/>
      <c r="S240" s="11" t="n"/>
      <c r="T240" s="11" t="n"/>
      <c r="U240" s="11" t="n"/>
      <c r="V240" s="10">
        <f>IF(COUNTA($C240,$D240,$J240,$M240)=0,"",IF(TRIM(IF($C240="","Falta l'actuació. ","")&amp;IF($D240="","Falta l'objectiu. ","")&amp;IF($J240="","Falta el tipus de despesa. ","")&amp;IF(AND($J240&lt;&gt;"",$J240&lt;&gt;"Mitjans propis",$J240&lt;&gt;"Altres",$M240=""),"Falta l'import. ","")&amp;IF(AND($J240="Contracte menor a càrrec del RAE",$K240=""),"Falta la partida RAE. ","")&amp;IF(AND($B240&lt;&gt;"",COUNTIF($B$6:$B$705,$B240)&gt;1),"Codi RAE repetit. ","")&amp;IF(AND($B240&lt;&gt;"",$J240&lt;&gt;"",$J240&lt;&gt;"Contracte menor a càrrec del RAE"),"Té codi RAE però no és de tipus RAE. ","")&amp;IF($N240="","Falta l'indicador del Pla. ","")&amp;IF($R240="","Falta el gestor. ","")&amp;IF($S240="","Falta indicar si és recurrent. ",""))="","✔",TRIM(IF($C240="","Falta l'actuació. ","")&amp;IF($D240="","Falta l'objectiu. ","")&amp;IF($J240="","Falta el tipus de despesa. ","")&amp;IF(AND($J240&lt;&gt;"",$J240&lt;&gt;"Mitjans propis",$J240&lt;&gt;"Altres",$M240=""),"Falta l'import. ","")&amp;IF(AND($J240="Contracte menor a càrrec del RAE",$K240=""),"Falta la partida RAE. ","")&amp;IF(AND($B240&lt;&gt;"",COUNTIF($B$6:$B$705,$B240)&gt;1),"Codi RAE repetit. ","")&amp;IF(AND($B240&lt;&gt;"",$J240&lt;&gt;"",$J240&lt;&gt;"Contracte menor a càrrec del RAE"),"Té codi RAE però no és de tipus RAE. ","")&amp;IF($N240="","Falta l'indicador del Pla. ","")&amp;IF($R240="","Falta el gestor. ","")&amp;IF($S240="","Falta indicar si és recurrent. ",""))))</f>
        <v/>
      </c>
    </row>
    <row r="241">
      <c r="A241" s="10">
        <f>IF($D241="","","27_"&amp;IFERROR(INDEX(Objectius!$E$2:$E$183,MATCH($D241,Objectius!$A$2:$A$183,0)),"??")&amp;"_"&amp;TEXT(COUNTIF($I$6:$I241,$I241),"00"))</f>
        <v/>
      </c>
      <c r="B241" s="11" t="n"/>
      <c r="C241" s="11" t="n"/>
      <c r="D241" s="11" t="n"/>
      <c r="E241" s="10">
        <f>IF($D241="","",IFERROR(INDEX(Objectius!$C$2:$C$183,MATCH($D241,Objectius!$A$2:$A$183,0)),"Objectiu no trobat al Pla"))</f>
        <v/>
      </c>
      <c r="F241" s="11" t="n"/>
      <c r="G241" s="11" t="n"/>
      <c r="H241" s="11" t="n"/>
      <c r="I241" s="10">
        <f>IF($D241="","",IFERROR(INDEX(Objectius!$D$2:$D$183,MATCH($D241,Objectius!$A$2:$A$183,0)),""))</f>
        <v/>
      </c>
      <c r="J241" s="11" t="n"/>
      <c r="K241" s="11" t="n"/>
      <c r="L241" s="11" t="n"/>
      <c r="M241" s="12" t="n"/>
      <c r="N241" s="11" t="n"/>
      <c r="O241" s="10">
        <f>IF($N241="","",IFERROR(INDEX('PLA ESTRATÈGIC'!$G$4:$G$452,MATCH($N241,'PLA ESTRATÈGIC'!$Q$4:$Q$452,0)),""))</f>
        <v/>
      </c>
      <c r="P241" s="10">
        <f>IF($N241="","",IFERROR(INDEX('PLA ESTRATÈGIC'!$H$4:$H$452,MATCH($N241,'PLA ESTRATÈGIC'!$Q$4:$Q$452,0)),""))</f>
        <v/>
      </c>
      <c r="Q241" s="13" t="n"/>
      <c r="R241" s="11" t="n"/>
      <c r="S241" s="11" t="n"/>
      <c r="T241" s="11" t="n"/>
      <c r="U241" s="11" t="n"/>
      <c r="V241" s="10">
        <f>IF(COUNTA($C241,$D241,$J241,$M241)=0,"",IF(TRIM(IF($C241="","Falta l'actuació. ","")&amp;IF($D241="","Falta l'objectiu. ","")&amp;IF($J241="","Falta el tipus de despesa. ","")&amp;IF(AND($J241&lt;&gt;"",$J241&lt;&gt;"Mitjans propis",$J241&lt;&gt;"Altres",$M241=""),"Falta l'import. ","")&amp;IF(AND($J241="Contracte menor a càrrec del RAE",$K241=""),"Falta la partida RAE. ","")&amp;IF(AND($B241&lt;&gt;"",COUNTIF($B$6:$B$705,$B241)&gt;1),"Codi RAE repetit. ","")&amp;IF(AND($B241&lt;&gt;"",$J241&lt;&gt;"",$J241&lt;&gt;"Contracte menor a càrrec del RAE"),"Té codi RAE però no és de tipus RAE. ","")&amp;IF($N241="","Falta l'indicador del Pla. ","")&amp;IF($R241="","Falta el gestor. ","")&amp;IF($S241="","Falta indicar si és recurrent. ",""))="","✔",TRIM(IF($C241="","Falta l'actuació. ","")&amp;IF($D241="","Falta l'objectiu. ","")&amp;IF($J241="","Falta el tipus de despesa. ","")&amp;IF(AND($J241&lt;&gt;"",$J241&lt;&gt;"Mitjans propis",$J241&lt;&gt;"Altres",$M241=""),"Falta l'import. ","")&amp;IF(AND($J241="Contracte menor a càrrec del RAE",$K241=""),"Falta la partida RAE. ","")&amp;IF(AND($B241&lt;&gt;"",COUNTIF($B$6:$B$705,$B241)&gt;1),"Codi RAE repetit. ","")&amp;IF(AND($B241&lt;&gt;"",$J241&lt;&gt;"",$J241&lt;&gt;"Contracte menor a càrrec del RAE"),"Té codi RAE però no és de tipus RAE. ","")&amp;IF($N241="","Falta l'indicador del Pla. ","")&amp;IF($R241="","Falta el gestor. ","")&amp;IF($S241="","Falta indicar si és recurrent. ",""))))</f>
        <v/>
      </c>
    </row>
    <row r="242">
      <c r="A242" s="10">
        <f>IF($D242="","","27_"&amp;IFERROR(INDEX(Objectius!$E$2:$E$183,MATCH($D242,Objectius!$A$2:$A$183,0)),"??")&amp;"_"&amp;TEXT(COUNTIF($I$6:$I242,$I242),"00"))</f>
        <v/>
      </c>
      <c r="B242" s="11" t="n"/>
      <c r="C242" s="11" t="n"/>
      <c r="D242" s="11" t="n"/>
      <c r="E242" s="10">
        <f>IF($D242="","",IFERROR(INDEX(Objectius!$C$2:$C$183,MATCH($D242,Objectius!$A$2:$A$183,0)),"Objectiu no trobat al Pla"))</f>
        <v/>
      </c>
      <c r="F242" s="11" t="n"/>
      <c r="G242" s="11" t="n"/>
      <c r="H242" s="11" t="n"/>
      <c r="I242" s="10">
        <f>IF($D242="","",IFERROR(INDEX(Objectius!$D$2:$D$183,MATCH($D242,Objectius!$A$2:$A$183,0)),""))</f>
        <v/>
      </c>
      <c r="J242" s="11" t="n"/>
      <c r="K242" s="11" t="n"/>
      <c r="L242" s="11" t="n"/>
      <c r="M242" s="12" t="n"/>
      <c r="N242" s="11" t="n"/>
      <c r="O242" s="10">
        <f>IF($N242="","",IFERROR(INDEX('PLA ESTRATÈGIC'!$G$4:$G$452,MATCH($N242,'PLA ESTRATÈGIC'!$Q$4:$Q$452,0)),""))</f>
        <v/>
      </c>
      <c r="P242" s="10">
        <f>IF($N242="","",IFERROR(INDEX('PLA ESTRATÈGIC'!$H$4:$H$452,MATCH($N242,'PLA ESTRATÈGIC'!$Q$4:$Q$452,0)),""))</f>
        <v/>
      </c>
      <c r="Q242" s="13" t="n"/>
      <c r="R242" s="11" t="n"/>
      <c r="S242" s="11" t="n"/>
      <c r="T242" s="11" t="n"/>
      <c r="U242" s="11" t="n"/>
      <c r="V242" s="10">
        <f>IF(COUNTA($C242,$D242,$J242,$M242)=0,"",IF(TRIM(IF($C242="","Falta l'actuació. ","")&amp;IF($D242="","Falta l'objectiu. ","")&amp;IF($J242="","Falta el tipus de despesa. ","")&amp;IF(AND($J242&lt;&gt;"",$J242&lt;&gt;"Mitjans propis",$J242&lt;&gt;"Altres",$M242=""),"Falta l'import. ","")&amp;IF(AND($J242="Contracte menor a càrrec del RAE",$K242=""),"Falta la partida RAE. ","")&amp;IF(AND($B242&lt;&gt;"",COUNTIF($B$6:$B$705,$B242)&gt;1),"Codi RAE repetit. ","")&amp;IF(AND($B242&lt;&gt;"",$J242&lt;&gt;"",$J242&lt;&gt;"Contracte menor a càrrec del RAE"),"Té codi RAE però no és de tipus RAE. ","")&amp;IF($N242="","Falta l'indicador del Pla. ","")&amp;IF($R242="","Falta el gestor. ","")&amp;IF($S242="","Falta indicar si és recurrent. ",""))="","✔",TRIM(IF($C242="","Falta l'actuació. ","")&amp;IF($D242="","Falta l'objectiu. ","")&amp;IF($J242="","Falta el tipus de despesa. ","")&amp;IF(AND($J242&lt;&gt;"",$J242&lt;&gt;"Mitjans propis",$J242&lt;&gt;"Altres",$M242=""),"Falta l'import. ","")&amp;IF(AND($J242="Contracte menor a càrrec del RAE",$K242=""),"Falta la partida RAE. ","")&amp;IF(AND($B242&lt;&gt;"",COUNTIF($B$6:$B$705,$B242)&gt;1),"Codi RAE repetit. ","")&amp;IF(AND($B242&lt;&gt;"",$J242&lt;&gt;"",$J242&lt;&gt;"Contracte menor a càrrec del RAE"),"Té codi RAE però no és de tipus RAE. ","")&amp;IF($N242="","Falta l'indicador del Pla. ","")&amp;IF($R242="","Falta el gestor. ","")&amp;IF($S242="","Falta indicar si és recurrent. ",""))))</f>
        <v/>
      </c>
    </row>
    <row r="243">
      <c r="A243" s="10">
        <f>IF($D243="","","27_"&amp;IFERROR(INDEX(Objectius!$E$2:$E$183,MATCH($D243,Objectius!$A$2:$A$183,0)),"??")&amp;"_"&amp;TEXT(COUNTIF($I$6:$I243,$I243),"00"))</f>
        <v/>
      </c>
      <c r="B243" s="11" t="n"/>
      <c r="C243" s="11" t="n"/>
      <c r="D243" s="11" t="n"/>
      <c r="E243" s="10">
        <f>IF($D243="","",IFERROR(INDEX(Objectius!$C$2:$C$183,MATCH($D243,Objectius!$A$2:$A$183,0)),"Objectiu no trobat al Pla"))</f>
        <v/>
      </c>
      <c r="F243" s="11" t="n"/>
      <c r="G243" s="11" t="n"/>
      <c r="H243" s="11" t="n"/>
      <c r="I243" s="10">
        <f>IF($D243="","",IFERROR(INDEX(Objectius!$D$2:$D$183,MATCH($D243,Objectius!$A$2:$A$183,0)),""))</f>
        <v/>
      </c>
      <c r="J243" s="11" t="n"/>
      <c r="K243" s="11" t="n"/>
      <c r="L243" s="11" t="n"/>
      <c r="M243" s="12" t="n"/>
      <c r="N243" s="11" t="n"/>
      <c r="O243" s="10">
        <f>IF($N243="","",IFERROR(INDEX('PLA ESTRATÈGIC'!$G$4:$G$452,MATCH($N243,'PLA ESTRATÈGIC'!$Q$4:$Q$452,0)),""))</f>
        <v/>
      </c>
      <c r="P243" s="10">
        <f>IF($N243="","",IFERROR(INDEX('PLA ESTRATÈGIC'!$H$4:$H$452,MATCH($N243,'PLA ESTRATÈGIC'!$Q$4:$Q$452,0)),""))</f>
        <v/>
      </c>
      <c r="Q243" s="13" t="n"/>
      <c r="R243" s="11" t="n"/>
      <c r="S243" s="11" t="n"/>
      <c r="T243" s="11" t="n"/>
      <c r="U243" s="11" t="n"/>
      <c r="V243" s="10">
        <f>IF(COUNTA($C243,$D243,$J243,$M243)=0,"",IF(TRIM(IF($C243="","Falta l'actuació. ","")&amp;IF($D243="","Falta l'objectiu. ","")&amp;IF($J243="","Falta el tipus de despesa. ","")&amp;IF(AND($J243&lt;&gt;"",$J243&lt;&gt;"Mitjans propis",$J243&lt;&gt;"Altres",$M243=""),"Falta l'import. ","")&amp;IF(AND($J243="Contracte menor a càrrec del RAE",$K243=""),"Falta la partida RAE. ","")&amp;IF(AND($B243&lt;&gt;"",COUNTIF($B$6:$B$705,$B243)&gt;1),"Codi RAE repetit. ","")&amp;IF(AND($B243&lt;&gt;"",$J243&lt;&gt;"",$J243&lt;&gt;"Contracte menor a càrrec del RAE"),"Té codi RAE però no és de tipus RAE. ","")&amp;IF($N243="","Falta l'indicador del Pla. ","")&amp;IF($R243="","Falta el gestor. ","")&amp;IF($S243="","Falta indicar si és recurrent. ",""))="","✔",TRIM(IF($C243="","Falta l'actuació. ","")&amp;IF($D243="","Falta l'objectiu. ","")&amp;IF($J243="","Falta el tipus de despesa. ","")&amp;IF(AND($J243&lt;&gt;"",$J243&lt;&gt;"Mitjans propis",$J243&lt;&gt;"Altres",$M243=""),"Falta l'import. ","")&amp;IF(AND($J243="Contracte menor a càrrec del RAE",$K243=""),"Falta la partida RAE. ","")&amp;IF(AND($B243&lt;&gt;"",COUNTIF($B$6:$B$705,$B243)&gt;1),"Codi RAE repetit. ","")&amp;IF(AND($B243&lt;&gt;"",$J243&lt;&gt;"",$J243&lt;&gt;"Contracte menor a càrrec del RAE"),"Té codi RAE però no és de tipus RAE. ","")&amp;IF($N243="","Falta l'indicador del Pla. ","")&amp;IF($R243="","Falta el gestor. ","")&amp;IF($S243="","Falta indicar si és recurrent. ",""))))</f>
        <v/>
      </c>
    </row>
    <row r="244">
      <c r="A244" s="10">
        <f>IF($D244="","","27_"&amp;IFERROR(INDEX(Objectius!$E$2:$E$183,MATCH($D244,Objectius!$A$2:$A$183,0)),"??")&amp;"_"&amp;TEXT(COUNTIF($I$6:$I244,$I244),"00"))</f>
        <v/>
      </c>
      <c r="B244" s="11" t="n"/>
      <c r="C244" s="11" t="n"/>
      <c r="D244" s="11" t="n"/>
      <c r="E244" s="10">
        <f>IF($D244="","",IFERROR(INDEX(Objectius!$C$2:$C$183,MATCH($D244,Objectius!$A$2:$A$183,0)),"Objectiu no trobat al Pla"))</f>
        <v/>
      </c>
      <c r="F244" s="11" t="n"/>
      <c r="G244" s="11" t="n"/>
      <c r="H244" s="11" t="n"/>
      <c r="I244" s="10">
        <f>IF($D244="","",IFERROR(INDEX(Objectius!$D$2:$D$183,MATCH($D244,Objectius!$A$2:$A$183,0)),""))</f>
        <v/>
      </c>
      <c r="J244" s="11" t="n"/>
      <c r="K244" s="11" t="n"/>
      <c r="L244" s="11" t="n"/>
      <c r="M244" s="12" t="n"/>
      <c r="N244" s="11" t="n"/>
      <c r="O244" s="10">
        <f>IF($N244="","",IFERROR(INDEX('PLA ESTRATÈGIC'!$G$4:$G$452,MATCH($N244,'PLA ESTRATÈGIC'!$Q$4:$Q$452,0)),""))</f>
        <v/>
      </c>
      <c r="P244" s="10">
        <f>IF($N244="","",IFERROR(INDEX('PLA ESTRATÈGIC'!$H$4:$H$452,MATCH($N244,'PLA ESTRATÈGIC'!$Q$4:$Q$452,0)),""))</f>
        <v/>
      </c>
      <c r="Q244" s="13" t="n"/>
      <c r="R244" s="11" t="n"/>
      <c r="S244" s="11" t="n"/>
      <c r="T244" s="11" t="n"/>
      <c r="U244" s="11" t="n"/>
      <c r="V244" s="10">
        <f>IF(COUNTA($C244,$D244,$J244,$M244)=0,"",IF(TRIM(IF($C244="","Falta l'actuació. ","")&amp;IF($D244="","Falta l'objectiu. ","")&amp;IF($J244="","Falta el tipus de despesa. ","")&amp;IF(AND($J244&lt;&gt;"",$J244&lt;&gt;"Mitjans propis",$J244&lt;&gt;"Altres",$M244=""),"Falta l'import. ","")&amp;IF(AND($J244="Contracte menor a càrrec del RAE",$K244=""),"Falta la partida RAE. ","")&amp;IF(AND($B244&lt;&gt;"",COUNTIF($B$6:$B$705,$B244)&gt;1),"Codi RAE repetit. ","")&amp;IF(AND($B244&lt;&gt;"",$J244&lt;&gt;"",$J244&lt;&gt;"Contracte menor a càrrec del RAE"),"Té codi RAE però no és de tipus RAE. ","")&amp;IF($N244="","Falta l'indicador del Pla. ","")&amp;IF($R244="","Falta el gestor. ","")&amp;IF($S244="","Falta indicar si és recurrent. ",""))="","✔",TRIM(IF($C244="","Falta l'actuació. ","")&amp;IF($D244="","Falta l'objectiu. ","")&amp;IF($J244="","Falta el tipus de despesa. ","")&amp;IF(AND($J244&lt;&gt;"",$J244&lt;&gt;"Mitjans propis",$J244&lt;&gt;"Altres",$M244=""),"Falta l'import. ","")&amp;IF(AND($J244="Contracte menor a càrrec del RAE",$K244=""),"Falta la partida RAE. ","")&amp;IF(AND($B244&lt;&gt;"",COUNTIF($B$6:$B$705,$B244)&gt;1),"Codi RAE repetit. ","")&amp;IF(AND($B244&lt;&gt;"",$J244&lt;&gt;"",$J244&lt;&gt;"Contracte menor a càrrec del RAE"),"Té codi RAE però no és de tipus RAE. ","")&amp;IF($N244="","Falta l'indicador del Pla. ","")&amp;IF($R244="","Falta el gestor. ","")&amp;IF($S244="","Falta indicar si és recurrent. ",""))))</f>
        <v/>
      </c>
    </row>
    <row r="245">
      <c r="A245" s="10">
        <f>IF($D245="","","27_"&amp;IFERROR(INDEX(Objectius!$E$2:$E$183,MATCH($D245,Objectius!$A$2:$A$183,0)),"??")&amp;"_"&amp;TEXT(COUNTIF($I$6:$I245,$I245),"00"))</f>
        <v/>
      </c>
      <c r="B245" s="11" t="n"/>
      <c r="C245" s="11" t="n"/>
      <c r="D245" s="11" t="n"/>
      <c r="E245" s="10">
        <f>IF($D245="","",IFERROR(INDEX(Objectius!$C$2:$C$183,MATCH($D245,Objectius!$A$2:$A$183,0)),"Objectiu no trobat al Pla"))</f>
        <v/>
      </c>
      <c r="F245" s="11" t="n"/>
      <c r="G245" s="11" t="n"/>
      <c r="H245" s="11" t="n"/>
      <c r="I245" s="10">
        <f>IF($D245="","",IFERROR(INDEX(Objectius!$D$2:$D$183,MATCH($D245,Objectius!$A$2:$A$183,0)),""))</f>
        <v/>
      </c>
      <c r="J245" s="11" t="n"/>
      <c r="K245" s="11" t="n"/>
      <c r="L245" s="11" t="n"/>
      <c r="M245" s="12" t="n"/>
      <c r="N245" s="11" t="n"/>
      <c r="O245" s="10">
        <f>IF($N245="","",IFERROR(INDEX('PLA ESTRATÈGIC'!$G$4:$G$452,MATCH($N245,'PLA ESTRATÈGIC'!$Q$4:$Q$452,0)),""))</f>
        <v/>
      </c>
      <c r="P245" s="10">
        <f>IF($N245="","",IFERROR(INDEX('PLA ESTRATÈGIC'!$H$4:$H$452,MATCH($N245,'PLA ESTRATÈGIC'!$Q$4:$Q$452,0)),""))</f>
        <v/>
      </c>
      <c r="Q245" s="13" t="n"/>
      <c r="R245" s="11" t="n"/>
      <c r="S245" s="11" t="n"/>
      <c r="T245" s="11" t="n"/>
      <c r="U245" s="11" t="n"/>
      <c r="V245" s="10">
        <f>IF(COUNTA($C245,$D245,$J245,$M245)=0,"",IF(TRIM(IF($C245="","Falta l'actuació. ","")&amp;IF($D245="","Falta l'objectiu. ","")&amp;IF($J245="","Falta el tipus de despesa. ","")&amp;IF(AND($J245&lt;&gt;"",$J245&lt;&gt;"Mitjans propis",$J245&lt;&gt;"Altres",$M245=""),"Falta l'import. ","")&amp;IF(AND($J245="Contracte menor a càrrec del RAE",$K245=""),"Falta la partida RAE. ","")&amp;IF(AND($B245&lt;&gt;"",COUNTIF($B$6:$B$705,$B245)&gt;1),"Codi RAE repetit. ","")&amp;IF(AND($B245&lt;&gt;"",$J245&lt;&gt;"",$J245&lt;&gt;"Contracte menor a càrrec del RAE"),"Té codi RAE però no és de tipus RAE. ","")&amp;IF($N245="","Falta l'indicador del Pla. ","")&amp;IF($R245="","Falta el gestor. ","")&amp;IF($S245="","Falta indicar si és recurrent. ",""))="","✔",TRIM(IF($C245="","Falta l'actuació. ","")&amp;IF($D245="","Falta l'objectiu. ","")&amp;IF($J245="","Falta el tipus de despesa. ","")&amp;IF(AND($J245&lt;&gt;"",$J245&lt;&gt;"Mitjans propis",$J245&lt;&gt;"Altres",$M245=""),"Falta l'import. ","")&amp;IF(AND($J245="Contracte menor a càrrec del RAE",$K245=""),"Falta la partida RAE. ","")&amp;IF(AND($B245&lt;&gt;"",COUNTIF($B$6:$B$705,$B245)&gt;1),"Codi RAE repetit. ","")&amp;IF(AND($B245&lt;&gt;"",$J245&lt;&gt;"",$J245&lt;&gt;"Contracte menor a càrrec del RAE"),"Té codi RAE però no és de tipus RAE. ","")&amp;IF($N245="","Falta l'indicador del Pla. ","")&amp;IF($R245="","Falta el gestor. ","")&amp;IF($S245="","Falta indicar si és recurrent. ",""))))</f>
        <v/>
      </c>
    </row>
    <row r="246">
      <c r="A246" s="10">
        <f>IF($D246="","","27_"&amp;IFERROR(INDEX(Objectius!$E$2:$E$183,MATCH($D246,Objectius!$A$2:$A$183,0)),"??")&amp;"_"&amp;TEXT(COUNTIF($I$6:$I246,$I246),"00"))</f>
        <v/>
      </c>
      <c r="B246" s="11" t="n"/>
      <c r="C246" s="11" t="n"/>
      <c r="D246" s="11" t="n"/>
      <c r="E246" s="10">
        <f>IF($D246="","",IFERROR(INDEX(Objectius!$C$2:$C$183,MATCH($D246,Objectius!$A$2:$A$183,0)),"Objectiu no trobat al Pla"))</f>
        <v/>
      </c>
      <c r="F246" s="11" t="n"/>
      <c r="G246" s="11" t="n"/>
      <c r="H246" s="11" t="n"/>
      <c r="I246" s="10">
        <f>IF($D246="","",IFERROR(INDEX(Objectius!$D$2:$D$183,MATCH($D246,Objectius!$A$2:$A$183,0)),""))</f>
        <v/>
      </c>
      <c r="J246" s="11" t="n"/>
      <c r="K246" s="11" t="n"/>
      <c r="L246" s="11" t="n"/>
      <c r="M246" s="12" t="n"/>
      <c r="N246" s="11" t="n"/>
      <c r="O246" s="10">
        <f>IF($N246="","",IFERROR(INDEX('PLA ESTRATÈGIC'!$G$4:$G$452,MATCH($N246,'PLA ESTRATÈGIC'!$Q$4:$Q$452,0)),""))</f>
        <v/>
      </c>
      <c r="P246" s="10">
        <f>IF($N246="","",IFERROR(INDEX('PLA ESTRATÈGIC'!$H$4:$H$452,MATCH($N246,'PLA ESTRATÈGIC'!$Q$4:$Q$452,0)),""))</f>
        <v/>
      </c>
      <c r="Q246" s="13" t="n"/>
      <c r="R246" s="11" t="n"/>
      <c r="S246" s="11" t="n"/>
      <c r="T246" s="11" t="n"/>
      <c r="U246" s="11" t="n"/>
      <c r="V246" s="10">
        <f>IF(COUNTA($C246,$D246,$J246,$M246)=0,"",IF(TRIM(IF($C246="","Falta l'actuació. ","")&amp;IF($D246="","Falta l'objectiu. ","")&amp;IF($J246="","Falta el tipus de despesa. ","")&amp;IF(AND($J246&lt;&gt;"",$J246&lt;&gt;"Mitjans propis",$J246&lt;&gt;"Altres",$M246=""),"Falta l'import. ","")&amp;IF(AND($J246="Contracte menor a càrrec del RAE",$K246=""),"Falta la partida RAE. ","")&amp;IF(AND($B246&lt;&gt;"",COUNTIF($B$6:$B$705,$B246)&gt;1),"Codi RAE repetit. ","")&amp;IF(AND($B246&lt;&gt;"",$J246&lt;&gt;"",$J246&lt;&gt;"Contracte menor a càrrec del RAE"),"Té codi RAE però no és de tipus RAE. ","")&amp;IF($N246="","Falta l'indicador del Pla. ","")&amp;IF($R246="","Falta el gestor. ","")&amp;IF($S246="","Falta indicar si és recurrent. ",""))="","✔",TRIM(IF($C246="","Falta l'actuació. ","")&amp;IF($D246="","Falta l'objectiu. ","")&amp;IF($J246="","Falta el tipus de despesa. ","")&amp;IF(AND($J246&lt;&gt;"",$J246&lt;&gt;"Mitjans propis",$J246&lt;&gt;"Altres",$M246=""),"Falta l'import. ","")&amp;IF(AND($J246="Contracte menor a càrrec del RAE",$K246=""),"Falta la partida RAE. ","")&amp;IF(AND($B246&lt;&gt;"",COUNTIF($B$6:$B$705,$B246)&gt;1),"Codi RAE repetit. ","")&amp;IF(AND($B246&lt;&gt;"",$J246&lt;&gt;"",$J246&lt;&gt;"Contracte menor a càrrec del RAE"),"Té codi RAE però no és de tipus RAE. ","")&amp;IF($N246="","Falta l'indicador del Pla. ","")&amp;IF($R246="","Falta el gestor. ","")&amp;IF($S246="","Falta indicar si és recurrent. ",""))))</f>
        <v/>
      </c>
    </row>
    <row r="247">
      <c r="A247" s="10">
        <f>IF($D247="","","27_"&amp;IFERROR(INDEX(Objectius!$E$2:$E$183,MATCH($D247,Objectius!$A$2:$A$183,0)),"??")&amp;"_"&amp;TEXT(COUNTIF($I$6:$I247,$I247),"00"))</f>
        <v/>
      </c>
      <c r="B247" s="11" t="n"/>
      <c r="C247" s="11" t="n"/>
      <c r="D247" s="11" t="n"/>
      <c r="E247" s="10">
        <f>IF($D247="","",IFERROR(INDEX(Objectius!$C$2:$C$183,MATCH($D247,Objectius!$A$2:$A$183,0)),"Objectiu no trobat al Pla"))</f>
        <v/>
      </c>
      <c r="F247" s="11" t="n"/>
      <c r="G247" s="11" t="n"/>
      <c r="H247" s="11" t="n"/>
      <c r="I247" s="10">
        <f>IF($D247="","",IFERROR(INDEX(Objectius!$D$2:$D$183,MATCH($D247,Objectius!$A$2:$A$183,0)),""))</f>
        <v/>
      </c>
      <c r="J247" s="11" t="n"/>
      <c r="K247" s="11" t="n"/>
      <c r="L247" s="11" t="n"/>
      <c r="M247" s="12" t="n"/>
      <c r="N247" s="11" t="n"/>
      <c r="O247" s="10">
        <f>IF($N247="","",IFERROR(INDEX('PLA ESTRATÈGIC'!$G$4:$G$452,MATCH($N247,'PLA ESTRATÈGIC'!$Q$4:$Q$452,0)),""))</f>
        <v/>
      </c>
      <c r="P247" s="10">
        <f>IF($N247="","",IFERROR(INDEX('PLA ESTRATÈGIC'!$H$4:$H$452,MATCH($N247,'PLA ESTRATÈGIC'!$Q$4:$Q$452,0)),""))</f>
        <v/>
      </c>
      <c r="Q247" s="13" t="n"/>
      <c r="R247" s="11" t="n"/>
      <c r="S247" s="11" t="n"/>
      <c r="T247" s="11" t="n"/>
      <c r="U247" s="11" t="n"/>
      <c r="V247" s="10">
        <f>IF(COUNTA($C247,$D247,$J247,$M247)=0,"",IF(TRIM(IF($C247="","Falta l'actuació. ","")&amp;IF($D247="","Falta l'objectiu. ","")&amp;IF($J247="","Falta el tipus de despesa. ","")&amp;IF(AND($J247&lt;&gt;"",$J247&lt;&gt;"Mitjans propis",$J247&lt;&gt;"Altres",$M247=""),"Falta l'import. ","")&amp;IF(AND($J247="Contracte menor a càrrec del RAE",$K247=""),"Falta la partida RAE. ","")&amp;IF(AND($B247&lt;&gt;"",COUNTIF($B$6:$B$705,$B247)&gt;1),"Codi RAE repetit. ","")&amp;IF(AND($B247&lt;&gt;"",$J247&lt;&gt;"",$J247&lt;&gt;"Contracte menor a càrrec del RAE"),"Té codi RAE però no és de tipus RAE. ","")&amp;IF($N247="","Falta l'indicador del Pla. ","")&amp;IF($R247="","Falta el gestor. ","")&amp;IF($S247="","Falta indicar si és recurrent. ",""))="","✔",TRIM(IF($C247="","Falta l'actuació. ","")&amp;IF($D247="","Falta l'objectiu. ","")&amp;IF($J247="","Falta el tipus de despesa. ","")&amp;IF(AND($J247&lt;&gt;"",$J247&lt;&gt;"Mitjans propis",$J247&lt;&gt;"Altres",$M247=""),"Falta l'import. ","")&amp;IF(AND($J247="Contracte menor a càrrec del RAE",$K247=""),"Falta la partida RAE. ","")&amp;IF(AND($B247&lt;&gt;"",COUNTIF($B$6:$B$705,$B247)&gt;1),"Codi RAE repetit. ","")&amp;IF(AND($B247&lt;&gt;"",$J247&lt;&gt;"",$J247&lt;&gt;"Contracte menor a càrrec del RAE"),"Té codi RAE però no és de tipus RAE. ","")&amp;IF($N247="","Falta l'indicador del Pla. ","")&amp;IF($R247="","Falta el gestor. ","")&amp;IF($S247="","Falta indicar si és recurrent. ",""))))</f>
        <v/>
      </c>
    </row>
    <row r="248">
      <c r="A248" s="10">
        <f>IF($D248="","","27_"&amp;IFERROR(INDEX(Objectius!$E$2:$E$183,MATCH($D248,Objectius!$A$2:$A$183,0)),"??")&amp;"_"&amp;TEXT(COUNTIF($I$6:$I248,$I248),"00"))</f>
        <v/>
      </c>
      <c r="B248" s="11" t="n"/>
      <c r="C248" s="11" t="n"/>
      <c r="D248" s="11" t="n"/>
      <c r="E248" s="10">
        <f>IF($D248="","",IFERROR(INDEX(Objectius!$C$2:$C$183,MATCH($D248,Objectius!$A$2:$A$183,0)),"Objectiu no trobat al Pla"))</f>
        <v/>
      </c>
      <c r="F248" s="11" t="n"/>
      <c r="G248" s="11" t="n"/>
      <c r="H248" s="11" t="n"/>
      <c r="I248" s="10">
        <f>IF($D248="","",IFERROR(INDEX(Objectius!$D$2:$D$183,MATCH($D248,Objectius!$A$2:$A$183,0)),""))</f>
        <v/>
      </c>
      <c r="J248" s="11" t="n"/>
      <c r="K248" s="11" t="n"/>
      <c r="L248" s="11" t="n"/>
      <c r="M248" s="12" t="n"/>
      <c r="N248" s="11" t="n"/>
      <c r="O248" s="10">
        <f>IF($N248="","",IFERROR(INDEX('PLA ESTRATÈGIC'!$G$4:$G$452,MATCH($N248,'PLA ESTRATÈGIC'!$Q$4:$Q$452,0)),""))</f>
        <v/>
      </c>
      <c r="P248" s="10">
        <f>IF($N248="","",IFERROR(INDEX('PLA ESTRATÈGIC'!$H$4:$H$452,MATCH($N248,'PLA ESTRATÈGIC'!$Q$4:$Q$452,0)),""))</f>
        <v/>
      </c>
      <c r="Q248" s="13" t="n"/>
      <c r="R248" s="11" t="n"/>
      <c r="S248" s="11" t="n"/>
      <c r="T248" s="11" t="n"/>
      <c r="U248" s="11" t="n"/>
      <c r="V248" s="10">
        <f>IF(COUNTA($C248,$D248,$J248,$M248)=0,"",IF(TRIM(IF($C248="","Falta l'actuació. ","")&amp;IF($D248="","Falta l'objectiu. ","")&amp;IF($J248="","Falta el tipus de despesa. ","")&amp;IF(AND($J248&lt;&gt;"",$J248&lt;&gt;"Mitjans propis",$J248&lt;&gt;"Altres",$M248=""),"Falta l'import. ","")&amp;IF(AND($J248="Contracte menor a càrrec del RAE",$K248=""),"Falta la partida RAE. ","")&amp;IF(AND($B248&lt;&gt;"",COUNTIF($B$6:$B$705,$B248)&gt;1),"Codi RAE repetit. ","")&amp;IF(AND($B248&lt;&gt;"",$J248&lt;&gt;"",$J248&lt;&gt;"Contracte menor a càrrec del RAE"),"Té codi RAE però no és de tipus RAE. ","")&amp;IF($N248="","Falta l'indicador del Pla. ","")&amp;IF($R248="","Falta el gestor. ","")&amp;IF($S248="","Falta indicar si és recurrent. ",""))="","✔",TRIM(IF($C248="","Falta l'actuació. ","")&amp;IF($D248="","Falta l'objectiu. ","")&amp;IF($J248="","Falta el tipus de despesa. ","")&amp;IF(AND($J248&lt;&gt;"",$J248&lt;&gt;"Mitjans propis",$J248&lt;&gt;"Altres",$M248=""),"Falta l'import. ","")&amp;IF(AND($J248="Contracte menor a càrrec del RAE",$K248=""),"Falta la partida RAE. ","")&amp;IF(AND($B248&lt;&gt;"",COUNTIF($B$6:$B$705,$B248)&gt;1),"Codi RAE repetit. ","")&amp;IF(AND($B248&lt;&gt;"",$J248&lt;&gt;"",$J248&lt;&gt;"Contracte menor a càrrec del RAE"),"Té codi RAE però no és de tipus RAE. ","")&amp;IF($N248="","Falta l'indicador del Pla. ","")&amp;IF($R248="","Falta el gestor. ","")&amp;IF($S248="","Falta indicar si és recurrent. ",""))))</f>
        <v/>
      </c>
    </row>
    <row r="249">
      <c r="A249" s="10">
        <f>IF($D249="","","27_"&amp;IFERROR(INDEX(Objectius!$E$2:$E$183,MATCH($D249,Objectius!$A$2:$A$183,0)),"??")&amp;"_"&amp;TEXT(COUNTIF($I$6:$I249,$I249),"00"))</f>
        <v/>
      </c>
      <c r="B249" s="11" t="n"/>
      <c r="C249" s="11" t="n"/>
      <c r="D249" s="11" t="n"/>
      <c r="E249" s="10">
        <f>IF($D249="","",IFERROR(INDEX(Objectius!$C$2:$C$183,MATCH($D249,Objectius!$A$2:$A$183,0)),"Objectiu no trobat al Pla"))</f>
        <v/>
      </c>
      <c r="F249" s="11" t="n"/>
      <c r="G249" s="11" t="n"/>
      <c r="H249" s="11" t="n"/>
      <c r="I249" s="10">
        <f>IF($D249="","",IFERROR(INDEX(Objectius!$D$2:$D$183,MATCH($D249,Objectius!$A$2:$A$183,0)),""))</f>
        <v/>
      </c>
      <c r="J249" s="11" t="n"/>
      <c r="K249" s="11" t="n"/>
      <c r="L249" s="11" t="n"/>
      <c r="M249" s="12" t="n"/>
      <c r="N249" s="11" t="n"/>
      <c r="O249" s="10">
        <f>IF($N249="","",IFERROR(INDEX('PLA ESTRATÈGIC'!$G$4:$G$452,MATCH($N249,'PLA ESTRATÈGIC'!$Q$4:$Q$452,0)),""))</f>
        <v/>
      </c>
      <c r="P249" s="10">
        <f>IF($N249="","",IFERROR(INDEX('PLA ESTRATÈGIC'!$H$4:$H$452,MATCH($N249,'PLA ESTRATÈGIC'!$Q$4:$Q$452,0)),""))</f>
        <v/>
      </c>
      <c r="Q249" s="13" t="n"/>
      <c r="R249" s="11" t="n"/>
      <c r="S249" s="11" t="n"/>
      <c r="T249" s="11" t="n"/>
      <c r="U249" s="11" t="n"/>
      <c r="V249" s="10">
        <f>IF(COUNTA($C249,$D249,$J249,$M249)=0,"",IF(TRIM(IF($C249="","Falta l'actuació. ","")&amp;IF($D249="","Falta l'objectiu. ","")&amp;IF($J249="","Falta el tipus de despesa. ","")&amp;IF(AND($J249&lt;&gt;"",$J249&lt;&gt;"Mitjans propis",$J249&lt;&gt;"Altres",$M249=""),"Falta l'import. ","")&amp;IF(AND($J249="Contracte menor a càrrec del RAE",$K249=""),"Falta la partida RAE. ","")&amp;IF(AND($B249&lt;&gt;"",COUNTIF($B$6:$B$705,$B249)&gt;1),"Codi RAE repetit. ","")&amp;IF(AND($B249&lt;&gt;"",$J249&lt;&gt;"",$J249&lt;&gt;"Contracte menor a càrrec del RAE"),"Té codi RAE però no és de tipus RAE. ","")&amp;IF($N249="","Falta l'indicador del Pla. ","")&amp;IF($R249="","Falta el gestor. ","")&amp;IF($S249="","Falta indicar si és recurrent. ",""))="","✔",TRIM(IF($C249="","Falta l'actuació. ","")&amp;IF($D249="","Falta l'objectiu. ","")&amp;IF($J249="","Falta el tipus de despesa. ","")&amp;IF(AND($J249&lt;&gt;"",$J249&lt;&gt;"Mitjans propis",$J249&lt;&gt;"Altres",$M249=""),"Falta l'import. ","")&amp;IF(AND($J249="Contracte menor a càrrec del RAE",$K249=""),"Falta la partida RAE. ","")&amp;IF(AND($B249&lt;&gt;"",COUNTIF($B$6:$B$705,$B249)&gt;1),"Codi RAE repetit. ","")&amp;IF(AND($B249&lt;&gt;"",$J249&lt;&gt;"",$J249&lt;&gt;"Contracte menor a càrrec del RAE"),"Té codi RAE però no és de tipus RAE. ","")&amp;IF($N249="","Falta l'indicador del Pla. ","")&amp;IF($R249="","Falta el gestor. ","")&amp;IF($S249="","Falta indicar si és recurrent. ",""))))</f>
        <v/>
      </c>
    </row>
    <row r="250">
      <c r="A250" s="10">
        <f>IF($D250="","","27_"&amp;IFERROR(INDEX(Objectius!$E$2:$E$183,MATCH($D250,Objectius!$A$2:$A$183,0)),"??")&amp;"_"&amp;TEXT(COUNTIF($I$6:$I250,$I250),"00"))</f>
        <v/>
      </c>
      <c r="B250" s="11" t="n"/>
      <c r="C250" s="11" t="n"/>
      <c r="D250" s="11" t="n"/>
      <c r="E250" s="10">
        <f>IF($D250="","",IFERROR(INDEX(Objectius!$C$2:$C$183,MATCH($D250,Objectius!$A$2:$A$183,0)),"Objectiu no trobat al Pla"))</f>
        <v/>
      </c>
      <c r="F250" s="11" t="n"/>
      <c r="G250" s="11" t="n"/>
      <c r="H250" s="11" t="n"/>
      <c r="I250" s="10">
        <f>IF($D250="","",IFERROR(INDEX(Objectius!$D$2:$D$183,MATCH($D250,Objectius!$A$2:$A$183,0)),""))</f>
        <v/>
      </c>
      <c r="J250" s="11" t="n"/>
      <c r="K250" s="11" t="n"/>
      <c r="L250" s="11" t="n"/>
      <c r="M250" s="12" t="n"/>
      <c r="N250" s="11" t="n"/>
      <c r="O250" s="10">
        <f>IF($N250="","",IFERROR(INDEX('PLA ESTRATÈGIC'!$G$4:$G$452,MATCH($N250,'PLA ESTRATÈGIC'!$Q$4:$Q$452,0)),""))</f>
        <v/>
      </c>
      <c r="P250" s="10">
        <f>IF($N250="","",IFERROR(INDEX('PLA ESTRATÈGIC'!$H$4:$H$452,MATCH($N250,'PLA ESTRATÈGIC'!$Q$4:$Q$452,0)),""))</f>
        <v/>
      </c>
      <c r="Q250" s="13" t="n"/>
      <c r="R250" s="11" t="n"/>
      <c r="S250" s="11" t="n"/>
      <c r="T250" s="11" t="n"/>
      <c r="U250" s="11" t="n"/>
      <c r="V250" s="10">
        <f>IF(COUNTA($C250,$D250,$J250,$M250)=0,"",IF(TRIM(IF($C250="","Falta l'actuació. ","")&amp;IF($D250="","Falta l'objectiu. ","")&amp;IF($J250="","Falta el tipus de despesa. ","")&amp;IF(AND($J250&lt;&gt;"",$J250&lt;&gt;"Mitjans propis",$J250&lt;&gt;"Altres",$M250=""),"Falta l'import. ","")&amp;IF(AND($J250="Contracte menor a càrrec del RAE",$K250=""),"Falta la partida RAE. ","")&amp;IF(AND($B250&lt;&gt;"",COUNTIF($B$6:$B$705,$B250)&gt;1),"Codi RAE repetit. ","")&amp;IF(AND($B250&lt;&gt;"",$J250&lt;&gt;"",$J250&lt;&gt;"Contracte menor a càrrec del RAE"),"Té codi RAE però no és de tipus RAE. ","")&amp;IF($N250="","Falta l'indicador del Pla. ","")&amp;IF($R250="","Falta el gestor. ","")&amp;IF($S250="","Falta indicar si és recurrent. ",""))="","✔",TRIM(IF($C250="","Falta l'actuació. ","")&amp;IF($D250="","Falta l'objectiu. ","")&amp;IF($J250="","Falta el tipus de despesa. ","")&amp;IF(AND($J250&lt;&gt;"",$J250&lt;&gt;"Mitjans propis",$J250&lt;&gt;"Altres",$M250=""),"Falta l'import. ","")&amp;IF(AND($J250="Contracte menor a càrrec del RAE",$K250=""),"Falta la partida RAE. ","")&amp;IF(AND($B250&lt;&gt;"",COUNTIF($B$6:$B$705,$B250)&gt;1),"Codi RAE repetit. ","")&amp;IF(AND($B250&lt;&gt;"",$J250&lt;&gt;"",$J250&lt;&gt;"Contracte menor a càrrec del RAE"),"Té codi RAE però no és de tipus RAE. ","")&amp;IF($N250="","Falta l'indicador del Pla. ","")&amp;IF($R250="","Falta el gestor. ","")&amp;IF($S250="","Falta indicar si és recurrent. ",""))))</f>
        <v/>
      </c>
    </row>
    <row r="251">
      <c r="A251" s="10">
        <f>IF($D251="","","27_"&amp;IFERROR(INDEX(Objectius!$E$2:$E$183,MATCH($D251,Objectius!$A$2:$A$183,0)),"??")&amp;"_"&amp;TEXT(COUNTIF($I$6:$I251,$I251),"00"))</f>
        <v/>
      </c>
      <c r="B251" s="11" t="n"/>
      <c r="C251" s="11" t="n"/>
      <c r="D251" s="11" t="n"/>
      <c r="E251" s="10">
        <f>IF($D251="","",IFERROR(INDEX(Objectius!$C$2:$C$183,MATCH($D251,Objectius!$A$2:$A$183,0)),"Objectiu no trobat al Pla"))</f>
        <v/>
      </c>
      <c r="F251" s="11" t="n"/>
      <c r="G251" s="11" t="n"/>
      <c r="H251" s="11" t="n"/>
      <c r="I251" s="10">
        <f>IF($D251="","",IFERROR(INDEX(Objectius!$D$2:$D$183,MATCH($D251,Objectius!$A$2:$A$183,0)),""))</f>
        <v/>
      </c>
      <c r="J251" s="11" t="n"/>
      <c r="K251" s="11" t="n"/>
      <c r="L251" s="11" t="n"/>
      <c r="M251" s="12" t="n"/>
      <c r="N251" s="11" t="n"/>
      <c r="O251" s="10">
        <f>IF($N251="","",IFERROR(INDEX('PLA ESTRATÈGIC'!$G$4:$G$452,MATCH($N251,'PLA ESTRATÈGIC'!$Q$4:$Q$452,0)),""))</f>
        <v/>
      </c>
      <c r="P251" s="10">
        <f>IF($N251="","",IFERROR(INDEX('PLA ESTRATÈGIC'!$H$4:$H$452,MATCH($N251,'PLA ESTRATÈGIC'!$Q$4:$Q$452,0)),""))</f>
        <v/>
      </c>
      <c r="Q251" s="13" t="n"/>
      <c r="R251" s="11" t="n"/>
      <c r="S251" s="11" t="n"/>
      <c r="T251" s="11" t="n"/>
      <c r="U251" s="11" t="n"/>
      <c r="V251" s="10">
        <f>IF(COUNTA($C251,$D251,$J251,$M251)=0,"",IF(TRIM(IF($C251="","Falta l'actuació. ","")&amp;IF($D251="","Falta l'objectiu. ","")&amp;IF($J251="","Falta el tipus de despesa. ","")&amp;IF(AND($J251&lt;&gt;"",$J251&lt;&gt;"Mitjans propis",$J251&lt;&gt;"Altres",$M251=""),"Falta l'import. ","")&amp;IF(AND($J251="Contracte menor a càrrec del RAE",$K251=""),"Falta la partida RAE. ","")&amp;IF(AND($B251&lt;&gt;"",COUNTIF($B$6:$B$705,$B251)&gt;1),"Codi RAE repetit. ","")&amp;IF(AND($B251&lt;&gt;"",$J251&lt;&gt;"",$J251&lt;&gt;"Contracte menor a càrrec del RAE"),"Té codi RAE però no és de tipus RAE. ","")&amp;IF($N251="","Falta l'indicador del Pla. ","")&amp;IF($R251="","Falta el gestor. ","")&amp;IF($S251="","Falta indicar si és recurrent. ",""))="","✔",TRIM(IF($C251="","Falta l'actuació. ","")&amp;IF($D251="","Falta l'objectiu. ","")&amp;IF($J251="","Falta el tipus de despesa. ","")&amp;IF(AND($J251&lt;&gt;"",$J251&lt;&gt;"Mitjans propis",$J251&lt;&gt;"Altres",$M251=""),"Falta l'import. ","")&amp;IF(AND($J251="Contracte menor a càrrec del RAE",$K251=""),"Falta la partida RAE. ","")&amp;IF(AND($B251&lt;&gt;"",COUNTIF($B$6:$B$705,$B251)&gt;1),"Codi RAE repetit. ","")&amp;IF(AND($B251&lt;&gt;"",$J251&lt;&gt;"",$J251&lt;&gt;"Contracte menor a càrrec del RAE"),"Té codi RAE però no és de tipus RAE. ","")&amp;IF($N251="","Falta l'indicador del Pla. ","")&amp;IF($R251="","Falta el gestor. ","")&amp;IF($S251="","Falta indicar si és recurrent. ",""))))</f>
        <v/>
      </c>
    </row>
    <row r="252">
      <c r="A252" s="10">
        <f>IF($D252="","","27_"&amp;IFERROR(INDEX(Objectius!$E$2:$E$183,MATCH($D252,Objectius!$A$2:$A$183,0)),"??")&amp;"_"&amp;TEXT(COUNTIF($I$6:$I252,$I252),"00"))</f>
        <v/>
      </c>
      <c r="B252" s="11" t="n"/>
      <c r="C252" s="11" t="n"/>
      <c r="D252" s="11" t="n"/>
      <c r="E252" s="10">
        <f>IF($D252="","",IFERROR(INDEX(Objectius!$C$2:$C$183,MATCH($D252,Objectius!$A$2:$A$183,0)),"Objectiu no trobat al Pla"))</f>
        <v/>
      </c>
      <c r="F252" s="11" t="n"/>
      <c r="G252" s="11" t="n"/>
      <c r="H252" s="11" t="n"/>
      <c r="I252" s="10">
        <f>IF($D252="","",IFERROR(INDEX(Objectius!$D$2:$D$183,MATCH($D252,Objectius!$A$2:$A$183,0)),""))</f>
        <v/>
      </c>
      <c r="J252" s="11" t="n"/>
      <c r="K252" s="11" t="n"/>
      <c r="L252" s="11" t="n"/>
      <c r="M252" s="12" t="n"/>
      <c r="N252" s="11" t="n"/>
      <c r="O252" s="10">
        <f>IF($N252="","",IFERROR(INDEX('PLA ESTRATÈGIC'!$G$4:$G$452,MATCH($N252,'PLA ESTRATÈGIC'!$Q$4:$Q$452,0)),""))</f>
        <v/>
      </c>
      <c r="P252" s="10">
        <f>IF($N252="","",IFERROR(INDEX('PLA ESTRATÈGIC'!$H$4:$H$452,MATCH($N252,'PLA ESTRATÈGIC'!$Q$4:$Q$452,0)),""))</f>
        <v/>
      </c>
      <c r="Q252" s="13" t="n"/>
      <c r="R252" s="11" t="n"/>
      <c r="S252" s="11" t="n"/>
      <c r="T252" s="11" t="n"/>
      <c r="U252" s="11" t="n"/>
      <c r="V252" s="10">
        <f>IF(COUNTA($C252,$D252,$J252,$M252)=0,"",IF(TRIM(IF($C252="","Falta l'actuació. ","")&amp;IF($D252="","Falta l'objectiu. ","")&amp;IF($J252="","Falta el tipus de despesa. ","")&amp;IF(AND($J252&lt;&gt;"",$J252&lt;&gt;"Mitjans propis",$J252&lt;&gt;"Altres",$M252=""),"Falta l'import. ","")&amp;IF(AND($J252="Contracte menor a càrrec del RAE",$K252=""),"Falta la partida RAE. ","")&amp;IF(AND($B252&lt;&gt;"",COUNTIF($B$6:$B$705,$B252)&gt;1),"Codi RAE repetit. ","")&amp;IF(AND($B252&lt;&gt;"",$J252&lt;&gt;"",$J252&lt;&gt;"Contracte menor a càrrec del RAE"),"Té codi RAE però no és de tipus RAE. ","")&amp;IF($N252="","Falta l'indicador del Pla. ","")&amp;IF($R252="","Falta el gestor. ","")&amp;IF($S252="","Falta indicar si és recurrent. ",""))="","✔",TRIM(IF($C252="","Falta l'actuació. ","")&amp;IF($D252="","Falta l'objectiu. ","")&amp;IF($J252="","Falta el tipus de despesa. ","")&amp;IF(AND($J252&lt;&gt;"",$J252&lt;&gt;"Mitjans propis",$J252&lt;&gt;"Altres",$M252=""),"Falta l'import. ","")&amp;IF(AND($J252="Contracte menor a càrrec del RAE",$K252=""),"Falta la partida RAE. ","")&amp;IF(AND($B252&lt;&gt;"",COUNTIF($B$6:$B$705,$B252)&gt;1),"Codi RAE repetit. ","")&amp;IF(AND($B252&lt;&gt;"",$J252&lt;&gt;"",$J252&lt;&gt;"Contracte menor a càrrec del RAE"),"Té codi RAE però no és de tipus RAE. ","")&amp;IF($N252="","Falta l'indicador del Pla. ","")&amp;IF($R252="","Falta el gestor. ","")&amp;IF($S252="","Falta indicar si és recurrent. ",""))))</f>
        <v/>
      </c>
    </row>
    <row r="253">
      <c r="A253" s="10">
        <f>IF($D253="","","27_"&amp;IFERROR(INDEX(Objectius!$E$2:$E$183,MATCH($D253,Objectius!$A$2:$A$183,0)),"??")&amp;"_"&amp;TEXT(COUNTIF($I$6:$I253,$I253),"00"))</f>
        <v/>
      </c>
      <c r="B253" s="11" t="n"/>
      <c r="C253" s="11" t="n"/>
      <c r="D253" s="11" t="n"/>
      <c r="E253" s="10">
        <f>IF($D253="","",IFERROR(INDEX(Objectius!$C$2:$C$183,MATCH($D253,Objectius!$A$2:$A$183,0)),"Objectiu no trobat al Pla"))</f>
        <v/>
      </c>
      <c r="F253" s="11" t="n"/>
      <c r="G253" s="11" t="n"/>
      <c r="H253" s="11" t="n"/>
      <c r="I253" s="10">
        <f>IF($D253="","",IFERROR(INDEX(Objectius!$D$2:$D$183,MATCH($D253,Objectius!$A$2:$A$183,0)),""))</f>
        <v/>
      </c>
      <c r="J253" s="11" t="n"/>
      <c r="K253" s="11" t="n"/>
      <c r="L253" s="11" t="n"/>
      <c r="M253" s="12" t="n"/>
      <c r="N253" s="11" t="n"/>
      <c r="O253" s="10">
        <f>IF($N253="","",IFERROR(INDEX('PLA ESTRATÈGIC'!$G$4:$G$452,MATCH($N253,'PLA ESTRATÈGIC'!$Q$4:$Q$452,0)),""))</f>
        <v/>
      </c>
      <c r="P253" s="10">
        <f>IF($N253="","",IFERROR(INDEX('PLA ESTRATÈGIC'!$H$4:$H$452,MATCH($N253,'PLA ESTRATÈGIC'!$Q$4:$Q$452,0)),""))</f>
        <v/>
      </c>
      <c r="Q253" s="13" t="n"/>
      <c r="R253" s="11" t="n"/>
      <c r="S253" s="11" t="n"/>
      <c r="T253" s="11" t="n"/>
      <c r="U253" s="11" t="n"/>
      <c r="V253" s="10">
        <f>IF(COUNTA($C253,$D253,$J253,$M253)=0,"",IF(TRIM(IF($C253="","Falta l'actuació. ","")&amp;IF($D253="","Falta l'objectiu. ","")&amp;IF($J253="","Falta el tipus de despesa. ","")&amp;IF(AND($J253&lt;&gt;"",$J253&lt;&gt;"Mitjans propis",$J253&lt;&gt;"Altres",$M253=""),"Falta l'import. ","")&amp;IF(AND($J253="Contracte menor a càrrec del RAE",$K253=""),"Falta la partida RAE. ","")&amp;IF(AND($B253&lt;&gt;"",COUNTIF($B$6:$B$705,$B253)&gt;1),"Codi RAE repetit. ","")&amp;IF(AND($B253&lt;&gt;"",$J253&lt;&gt;"",$J253&lt;&gt;"Contracte menor a càrrec del RAE"),"Té codi RAE però no és de tipus RAE. ","")&amp;IF($N253="","Falta l'indicador del Pla. ","")&amp;IF($R253="","Falta el gestor. ","")&amp;IF($S253="","Falta indicar si és recurrent. ",""))="","✔",TRIM(IF($C253="","Falta l'actuació. ","")&amp;IF($D253="","Falta l'objectiu. ","")&amp;IF($J253="","Falta el tipus de despesa. ","")&amp;IF(AND($J253&lt;&gt;"",$J253&lt;&gt;"Mitjans propis",$J253&lt;&gt;"Altres",$M253=""),"Falta l'import. ","")&amp;IF(AND($J253="Contracte menor a càrrec del RAE",$K253=""),"Falta la partida RAE. ","")&amp;IF(AND($B253&lt;&gt;"",COUNTIF($B$6:$B$705,$B253)&gt;1),"Codi RAE repetit. ","")&amp;IF(AND($B253&lt;&gt;"",$J253&lt;&gt;"",$J253&lt;&gt;"Contracte menor a càrrec del RAE"),"Té codi RAE però no és de tipus RAE. ","")&amp;IF($N253="","Falta l'indicador del Pla. ","")&amp;IF($R253="","Falta el gestor. ","")&amp;IF($S253="","Falta indicar si és recurrent. ",""))))</f>
        <v/>
      </c>
    </row>
    <row r="254">
      <c r="A254" s="10">
        <f>IF($D254="","","27_"&amp;IFERROR(INDEX(Objectius!$E$2:$E$183,MATCH($D254,Objectius!$A$2:$A$183,0)),"??")&amp;"_"&amp;TEXT(COUNTIF($I$6:$I254,$I254),"00"))</f>
        <v/>
      </c>
      <c r="B254" s="11" t="n"/>
      <c r="C254" s="11" t="n"/>
      <c r="D254" s="11" t="n"/>
      <c r="E254" s="10">
        <f>IF($D254="","",IFERROR(INDEX(Objectius!$C$2:$C$183,MATCH($D254,Objectius!$A$2:$A$183,0)),"Objectiu no trobat al Pla"))</f>
        <v/>
      </c>
      <c r="F254" s="11" t="n"/>
      <c r="G254" s="11" t="n"/>
      <c r="H254" s="11" t="n"/>
      <c r="I254" s="10">
        <f>IF($D254="","",IFERROR(INDEX(Objectius!$D$2:$D$183,MATCH($D254,Objectius!$A$2:$A$183,0)),""))</f>
        <v/>
      </c>
      <c r="J254" s="11" t="n"/>
      <c r="K254" s="11" t="n"/>
      <c r="L254" s="11" t="n"/>
      <c r="M254" s="12" t="n"/>
      <c r="N254" s="11" t="n"/>
      <c r="O254" s="10">
        <f>IF($N254="","",IFERROR(INDEX('PLA ESTRATÈGIC'!$G$4:$G$452,MATCH($N254,'PLA ESTRATÈGIC'!$Q$4:$Q$452,0)),""))</f>
        <v/>
      </c>
      <c r="P254" s="10">
        <f>IF($N254="","",IFERROR(INDEX('PLA ESTRATÈGIC'!$H$4:$H$452,MATCH($N254,'PLA ESTRATÈGIC'!$Q$4:$Q$452,0)),""))</f>
        <v/>
      </c>
      <c r="Q254" s="13" t="n"/>
      <c r="R254" s="11" t="n"/>
      <c r="S254" s="11" t="n"/>
      <c r="T254" s="11" t="n"/>
      <c r="U254" s="11" t="n"/>
      <c r="V254" s="10">
        <f>IF(COUNTA($C254,$D254,$J254,$M254)=0,"",IF(TRIM(IF($C254="","Falta l'actuació. ","")&amp;IF($D254="","Falta l'objectiu. ","")&amp;IF($J254="","Falta el tipus de despesa. ","")&amp;IF(AND($J254&lt;&gt;"",$J254&lt;&gt;"Mitjans propis",$J254&lt;&gt;"Altres",$M254=""),"Falta l'import. ","")&amp;IF(AND($J254="Contracte menor a càrrec del RAE",$K254=""),"Falta la partida RAE. ","")&amp;IF(AND($B254&lt;&gt;"",COUNTIF($B$6:$B$705,$B254)&gt;1),"Codi RAE repetit. ","")&amp;IF(AND($B254&lt;&gt;"",$J254&lt;&gt;"",$J254&lt;&gt;"Contracte menor a càrrec del RAE"),"Té codi RAE però no és de tipus RAE. ","")&amp;IF($N254="","Falta l'indicador del Pla. ","")&amp;IF($R254="","Falta el gestor. ","")&amp;IF($S254="","Falta indicar si és recurrent. ",""))="","✔",TRIM(IF($C254="","Falta l'actuació. ","")&amp;IF($D254="","Falta l'objectiu. ","")&amp;IF($J254="","Falta el tipus de despesa. ","")&amp;IF(AND($J254&lt;&gt;"",$J254&lt;&gt;"Mitjans propis",$J254&lt;&gt;"Altres",$M254=""),"Falta l'import. ","")&amp;IF(AND($J254="Contracte menor a càrrec del RAE",$K254=""),"Falta la partida RAE. ","")&amp;IF(AND($B254&lt;&gt;"",COUNTIF($B$6:$B$705,$B254)&gt;1),"Codi RAE repetit. ","")&amp;IF(AND($B254&lt;&gt;"",$J254&lt;&gt;"",$J254&lt;&gt;"Contracte menor a càrrec del RAE"),"Té codi RAE però no és de tipus RAE. ","")&amp;IF($N254="","Falta l'indicador del Pla. ","")&amp;IF($R254="","Falta el gestor. ","")&amp;IF($S254="","Falta indicar si és recurrent. ",""))))</f>
        <v/>
      </c>
    </row>
    <row r="255">
      <c r="A255" s="10">
        <f>IF($D255="","","27_"&amp;IFERROR(INDEX(Objectius!$E$2:$E$183,MATCH($D255,Objectius!$A$2:$A$183,0)),"??")&amp;"_"&amp;TEXT(COUNTIF($I$6:$I255,$I255),"00"))</f>
        <v/>
      </c>
      <c r="B255" s="11" t="n"/>
      <c r="C255" s="11" t="n"/>
      <c r="D255" s="11" t="n"/>
      <c r="E255" s="10">
        <f>IF($D255="","",IFERROR(INDEX(Objectius!$C$2:$C$183,MATCH($D255,Objectius!$A$2:$A$183,0)),"Objectiu no trobat al Pla"))</f>
        <v/>
      </c>
      <c r="F255" s="11" t="n"/>
      <c r="G255" s="11" t="n"/>
      <c r="H255" s="11" t="n"/>
      <c r="I255" s="10">
        <f>IF($D255="","",IFERROR(INDEX(Objectius!$D$2:$D$183,MATCH($D255,Objectius!$A$2:$A$183,0)),""))</f>
        <v/>
      </c>
      <c r="J255" s="11" t="n"/>
      <c r="K255" s="11" t="n"/>
      <c r="L255" s="11" t="n"/>
      <c r="M255" s="12" t="n"/>
      <c r="N255" s="11" t="n"/>
      <c r="O255" s="10">
        <f>IF($N255="","",IFERROR(INDEX('PLA ESTRATÈGIC'!$G$4:$G$452,MATCH($N255,'PLA ESTRATÈGIC'!$Q$4:$Q$452,0)),""))</f>
        <v/>
      </c>
      <c r="P255" s="10">
        <f>IF($N255="","",IFERROR(INDEX('PLA ESTRATÈGIC'!$H$4:$H$452,MATCH($N255,'PLA ESTRATÈGIC'!$Q$4:$Q$452,0)),""))</f>
        <v/>
      </c>
      <c r="Q255" s="13" t="n"/>
      <c r="R255" s="11" t="n"/>
      <c r="S255" s="11" t="n"/>
      <c r="T255" s="11" t="n"/>
      <c r="U255" s="11" t="n"/>
      <c r="V255" s="10">
        <f>IF(COUNTA($C255,$D255,$J255,$M255)=0,"",IF(TRIM(IF($C255="","Falta l'actuació. ","")&amp;IF($D255="","Falta l'objectiu. ","")&amp;IF($J255="","Falta el tipus de despesa. ","")&amp;IF(AND($J255&lt;&gt;"",$J255&lt;&gt;"Mitjans propis",$J255&lt;&gt;"Altres",$M255=""),"Falta l'import. ","")&amp;IF(AND($J255="Contracte menor a càrrec del RAE",$K255=""),"Falta la partida RAE. ","")&amp;IF(AND($B255&lt;&gt;"",COUNTIF($B$6:$B$705,$B255)&gt;1),"Codi RAE repetit. ","")&amp;IF(AND($B255&lt;&gt;"",$J255&lt;&gt;"",$J255&lt;&gt;"Contracte menor a càrrec del RAE"),"Té codi RAE però no és de tipus RAE. ","")&amp;IF($N255="","Falta l'indicador del Pla. ","")&amp;IF($R255="","Falta el gestor. ","")&amp;IF($S255="","Falta indicar si és recurrent. ",""))="","✔",TRIM(IF($C255="","Falta l'actuació. ","")&amp;IF($D255="","Falta l'objectiu. ","")&amp;IF($J255="","Falta el tipus de despesa. ","")&amp;IF(AND($J255&lt;&gt;"",$J255&lt;&gt;"Mitjans propis",$J255&lt;&gt;"Altres",$M255=""),"Falta l'import. ","")&amp;IF(AND($J255="Contracte menor a càrrec del RAE",$K255=""),"Falta la partida RAE. ","")&amp;IF(AND($B255&lt;&gt;"",COUNTIF($B$6:$B$705,$B255)&gt;1),"Codi RAE repetit. ","")&amp;IF(AND($B255&lt;&gt;"",$J255&lt;&gt;"",$J255&lt;&gt;"Contracte menor a càrrec del RAE"),"Té codi RAE però no és de tipus RAE. ","")&amp;IF($N255="","Falta l'indicador del Pla. ","")&amp;IF($R255="","Falta el gestor. ","")&amp;IF($S255="","Falta indicar si és recurrent. ",""))))</f>
        <v/>
      </c>
    </row>
    <row r="256">
      <c r="A256" s="10">
        <f>IF($D256="","","27_"&amp;IFERROR(INDEX(Objectius!$E$2:$E$183,MATCH($D256,Objectius!$A$2:$A$183,0)),"??")&amp;"_"&amp;TEXT(COUNTIF($I$6:$I256,$I256),"00"))</f>
        <v/>
      </c>
      <c r="B256" s="11" t="n"/>
      <c r="C256" s="11" t="n"/>
      <c r="D256" s="11" t="n"/>
      <c r="E256" s="10">
        <f>IF($D256="","",IFERROR(INDEX(Objectius!$C$2:$C$183,MATCH($D256,Objectius!$A$2:$A$183,0)),"Objectiu no trobat al Pla"))</f>
        <v/>
      </c>
      <c r="F256" s="11" t="n"/>
      <c r="G256" s="11" t="n"/>
      <c r="H256" s="11" t="n"/>
      <c r="I256" s="10">
        <f>IF($D256="","",IFERROR(INDEX(Objectius!$D$2:$D$183,MATCH($D256,Objectius!$A$2:$A$183,0)),""))</f>
        <v/>
      </c>
      <c r="J256" s="11" t="n"/>
      <c r="K256" s="11" t="n"/>
      <c r="L256" s="11" t="n"/>
      <c r="M256" s="12" t="n"/>
      <c r="N256" s="11" t="n"/>
      <c r="O256" s="10">
        <f>IF($N256="","",IFERROR(INDEX('PLA ESTRATÈGIC'!$G$4:$G$452,MATCH($N256,'PLA ESTRATÈGIC'!$Q$4:$Q$452,0)),""))</f>
        <v/>
      </c>
      <c r="P256" s="10">
        <f>IF($N256="","",IFERROR(INDEX('PLA ESTRATÈGIC'!$H$4:$H$452,MATCH($N256,'PLA ESTRATÈGIC'!$Q$4:$Q$452,0)),""))</f>
        <v/>
      </c>
      <c r="Q256" s="13" t="n"/>
      <c r="R256" s="11" t="n"/>
      <c r="S256" s="11" t="n"/>
      <c r="T256" s="11" t="n"/>
      <c r="U256" s="11" t="n"/>
      <c r="V256" s="10">
        <f>IF(COUNTA($C256,$D256,$J256,$M256)=0,"",IF(TRIM(IF($C256="","Falta l'actuació. ","")&amp;IF($D256="","Falta l'objectiu. ","")&amp;IF($J256="","Falta el tipus de despesa. ","")&amp;IF(AND($J256&lt;&gt;"",$J256&lt;&gt;"Mitjans propis",$J256&lt;&gt;"Altres",$M256=""),"Falta l'import. ","")&amp;IF(AND($J256="Contracte menor a càrrec del RAE",$K256=""),"Falta la partida RAE. ","")&amp;IF(AND($B256&lt;&gt;"",COUNTIF($B$6:$B$705,$B256)&gt;1),"Codi RAE repetit. ","")&amp;IF(AND($B256&lt;&gt;"",$J256&lt;&gt;"",$J256&lt;&gt;"Contracte menor a càrrec del RAE"),"Té codi RAE però no és de tipus RAE. ","")&amp;IF($N256="","Falta l'indicador del Pla. ","")&amp;IF($R256="","Falta el gestor. ","")&amp;IF($S256="","Falta indicar si és recurrent. ",""))="","✔",TRIM(IF($C256="","Falta l'actuació. ","")&amp;IF($D256="","Falta l'objectiu. ","")&amp;IF($J256="","Falta el tipus de despesa. ","")&amp;IF(AND($J256&lt;&gt;"",$J256&lt;&gt;"Mitjans propis",$J256&lt;&gt;"Altres",$M256=""),"Falta l'import. ","")&amp;IF(AND($J256="Contracte menor a càrrec del RAE",$K256=""),"Falta la partida RAE. ","")&amp;IF(AND($B256&lt;&gt;"",COUNTIF($B$6:$B$705,$B256)&gt;1),"Codi RAE repetit. ","")&amp;IF(AND($B256&lt;&gt;"",$J256&lt;&gt;"",$J256&lt;&gt;"Contracte menor a càrrec del RAE"),"Té codi RAE però no és de tipus RAE. ","")&amp;IF($N256="","Falta l'indicador del Pla. ","")&amp;IF($R256="","Falta el gestor. ","")&amp;IF($S256="","Falta indicar si és recurrent. ",""))))</f>
        <v/>
      </c>
    </row>
    <row r="257">
      <c r="A257" s="10">
        <f>IF($D257="","","27_"&amp;IFERROR(INDEX(Objectius!$E$2:$E$183,MATCH($D257,Objectius!$A$2:$A$183,0)),"??")&amp;"_"&amp;TEXT(COUNTIF($I$6:$I257,$I257),"00"))</f>
        <v/>
      </c>
      <c r="B257" s="11" t="n"/>
      <c r="C257" s="11" t="n"/>
      <c r="D257" s="11" t="n"/>
      <c r="E257" s="10">
        <f>IF($D257="","",IFERROR(INDEX(Objectius!$C$2:$C$183,MATCH($D257,Objectius!$A$2:$A$183,0)),"Objectiu no trobat al Pla"))</f>
        <v/>
      </c>
      <c r="F257" s="11" t="n"/>
      <c r="G257" s="11" t="n"/>
      <c r="H257" s="11" t="n"/>
      <c r="I257" s="10">
        <f>IF($D257="","",IFERROR(INDEX(Objectius!$D$2:$D$183,MATCH($D257,Objectius!$A$2:$A$183,0)),""))</f>
        <v/>
      </c>
      <c r="J257" s="11" t="n"/>
      <c r="K257" s="11" t="n"/>
      <c r="L257" s="11" t="n"/>
      <c r="M257" s="12" t="n"/>
      <c r="N257" s="11" t="n"/>
      <c r="O257" s="10">
        <f>IF($N257="","",IFERROR(INDEX('PLA ESTRATÈGIC'!$G$4:$G$452,MATCH($N257,'PLA ESTRATÈGIC'!$Q$4:$Q$452,0)),""))</f>
        <v/>
      </c>
      <c r="P257" s="10">
        <f>IF($N257="","",IFERROR(INDEX('PLA ESTRATÈGIC'!$H$4:$H$452,MATCH($N257,'PLA ESTRATÈGIC'!$Q$4:$Q$452,0)),""))</f>
        <v/>
      </c>
      <c r="Q257" s="13" t="n"/>
      <c r="R257" s="11" t="n"/>
      <c r="S257" s="11" t="n"/>
      <c r="T257" s="11" t="n"/>
      <c r="U257" s="11" t="n"/>
      <c r="V257" s="10">
        <f>IF(COUNTA($C257,$D257,$J257,$M257)=0,"",IF(TRIM(IF($C257="","Falta l'actuació. ","")&amp;IF($D257="","Falta l'objectiu. ","")&amp;IF($J257="","Falta el tipus de despesa. ","")&amp;IF(AND($J257&lt;&gt;"",$J257&lt;&gt;"Mitjans propis",$J257&lt;&gt;"Altres",$M257=""),"Falta l'import. ","")&amp;IF(AND($J257="Contracte menor a càrrec del RAE",$K257=""),"Falta la partida RAE. ","")&amp;IF(AND($B257&lt;&gt;"",COUNTIF($B$6:$B$705,$B257)&gt;1),"Codi RAE repetit. ","")&amp;IF(AND($B257&lt;&gt;"",$J257&lt;&gt;"",$J257&lt;&gt;"Contracte menor a càrrec del RAE"),"Té codi RAE però no és de tipus RAE. ","")&amp;IF($N257="","Falta l'indicador del Pla. ","")&amp;IF($R257="","Falta el gestor. ","")&amp;IF($S257="","Falta indicar si és recurrent. ",""))="","✔",TRIM(IF($C257="","Falta l'actuació. ","")&amp;IF($D257="","Falta l'objectiu. ","")&amp;IF($J257="","Falta el tipus de despesa. ","")&amp;IF(AND($J257&lt;&gt;"",$J257&lt;&gt;"Mitjans propis",$J257&lt;&gt;"Altres",$M257=""),"Falta l'import. ","")&amp;IF(AND($J257="Contracte menor a càrrec del RAE",$K257=""),"Falta la partida RAE. ","")&amp;IF(AND($B257&lt;&gt;"",COUNTIF($B$6:$B$705,$B257)&gt;1),"Codi RAE repetit. ","")&amp;IF(AND($B257&lt;&gt;"",$J257&lt;&gt;"",$J257&lt;&gt;"Contracte menor a càrrec del RAE"),"Té codi RAE però no és de tipus RAE. ","")&amp;IF($N257="","Falta l'indicador del Pla. ","")&amp;IF($R257="","Falta el gestor. ","")&amp;IF($S257="","Falta indicar si és recurrent. ",""))))</f>
        <v/>
      </c>
    </row>
    <row r="258">
      <c r="A258" s="10">
        <f>IF($D258="","","27_"&amp;IFERROR(INDEX(Objectius!$E$2:$E$183,MATCH($D258,Objectius!$A$2:$A$183,0)),"??")&amp;"_"&amp;TEXT(COUNTIF($I$6:$I258,$I258),"00"))</f>
        <v/>
      </c>
      <c r="B258" s="11" t="n"/>
      <c r="C258" s="11" t="n"/>
      <c r="D258" s="11" t="n"/>
      <c r="E258" s="10">
        <f>IF($D258="","",IFERROR(INDEX(Objectius!$C$2:$C$183,MATCH($D258,Objectius!$A$2:$A$183,0)),"Objectiu no trobat al Pla"))</f>
        <v/>
      </c>
      <c r="F258" s="11" t="n"/>
      <c r="G258" s="11" t="n"/>
      <c r="H258" s="11" t="n"/>
      <c r="I258" s="10">
        <f>IF($D258="","",IFERROR(INDEX(Objectius!$D$2:$D$183,MATCH($D258,Objectius!$A$2:$A$183,0)),""))</f>
        <v/>
      </c>
      <c r="J258" s="11" t="n"/>
      <c r="K258" s="11" t="n"/>
      <c r="L258" s="11" t="n"/>
      <c r="M258" s="12" t="n"/>
      <c r="N258" s="11" t="n"/>
      <c r="O258" s="10">
        <f>IF($N258="","",IFERROR(INDEX('PLA ESTRATÈGIC'!$G$4:$G$452,MATCH($N258,'PLA ESTRATÈGIC'!$Q$4:$Q$452,0)),""))</f>
        <v/>
      </c>
      <c r="P258" s="10">
        <f>IF($N258="","",IFERROR(INDEX('PLA ESTRATÈGIC'!$H$4:$H$452,MATCH($N258,'PLA ESTRATÈGIC'!$Q$4:$Q$452,0)),""))</f>
        <v/>
      </c>
      <c r="Q258" s="13" t="n"/>
      <c r="R258" s="11" t="n"/>
      <c r="S258" s="11" t="n"/>
      <c r="T258" s="11" t="n"/>
      <c r="U258" s="11" t="n"/>
      <c r="V258" s="10">
        <f>IF(COUNTA($C258,$D258,$J258,$M258)=0,"",IF(TRIM(IF($C258="","Falta l'actuació. ","")&amp;IF($D258="","Falta l'objectiu. ","")&amp;IF($J258="","Falta el tipus de despesa. ","")&amp;IF(AND($J258&lt;&gt;"",$J258&lt;&gt;"Mitjans propis",$J258&lt;&gt;"Altres",$M258=""),"Falta l'import. ","")&amp;IF(AND($J258="Contracte menor a càrrec del RAE",$K258=""),"Falta la partida RAE. ","")&amp;IF(AND($B258&lt;&gt;"",COUNTIF($B$6:$B$705,$B258)&gt;1),"Codi RAE repetit. ","")&amp;IF(AND($B258&lt;&gt;"",$J258&lt;&gt;"",$J258&lt;&gt;"Contracte menor a càrrec del RAE"),"Té codi RAE però no és de tipus RAE. ","")&amp;IF($N258="","Falta l'indicador del Pla. ","")&amp;IF($R258="","Falta el gestor. ","")&amp;IF($S258="","Falta indicar si és recurrent. ",""))="","✔",TRIM(IF($C258="","Falta l'actuació. ","")&amp;IF($D258="","Falta l'objectiu. ","")&amp;IF($J258="","Falta el tipus de despesa. ","")&amp;IF(AND($J258&lt;&gt;"",$J258&lt;&gt;"Mitjans propis",$J258&lt;&gt;"Altres",$M258=""),"Falta l'import. ","")&amp;IF(AND($J258="Contracte menor a càrrec del RAE",$K258=""),"Falta la partida RAE. ","")&amp;IF(AND($B258&lt;&gt;"",COUNTIF($B$6:$B$705,$B258)&gt;1),"Codi RAE repetit. ","")&amp;IF(AND($B258&lt;&gt;"",$J258&lt;&gt;"",$J258&lt;&gt;"Contracte menor a càrrec del RAE"),"Té codi RAE però no és de tipus RAE. ","")&amp;IF($N258="","Falta l'indicador del Pla. ","")&amp;IF($R258="","Falta el gestor. ","")&amp;IF($S258="","Falta indicar si és recurrent. ",""))))</f>
        <v/>
      </c>
    </row>
    <row r="259">
      <c r="A259" s="10">
        <f>IF($D259="","","27_"&amp;IFERROR(INDEX(Objectius!$E$2:$E$183,MATCH($D259,Objectius!$A$2:$A$183,0)),"??")&amp;"_"&amp;TEXT(COUNTIF($I$6:$I259,$I259),"00"))</f>
        <v/>
      </c>
      <c r="B259" s="11" t="n"/>
      <c r="C259" s="11" t="n"/>
      <c r="D259" s="11" t="n"/>
      <c r="E259" s="10">
        <f>IF($D259="","",IFERROR(INDEX(Objectius!$C$2:$C$183,MATCH($D259,Objectius!$A$2:$A$183,0)),"Objectiu no trobat al Pla"))</f>
        <v/>
      </c>
      <c r="F259" s="11" t="n"/>
      <c r="G259" s="11" t="n"/>
      <c r="H259" s="11" t="n"/>
      <c r="I259" s="10">
        <f>IF($D259="","",IFERROR(INDEX(Objectius!$D$2:$D$183,MATCH($D259,Objectius!$A$2:$A$183,0)),""))</f>
        <v/>
      </c>
      <c r="J259" s="11" t="n"/>
      <c r="K259" s="11" t="n"/>
      <c r="L259" s="11" t="n"/>
      <c r="M259" s="12" t="n"/>
      <c r="N259" s="11" t="n"/>
      <c r="O259" s="10">
        <f>IF($N259="","",IFERROR(INDEX('PLA ESTRATÈGIC'!$G$4:$G$452,MATCH($N259,'PLA ESTRATÈGIC'!$Q$4:$Q$452,0)),""))</f>
        <v/>
      </c>
      <c r="P259" s="10">
        <f>IF($N259="","",IFERROR(INDEX('PLA ESTRATÈGIC'!$H$4:$H$452,MATCH($N259,'PLA ESTRATÈGIC'!$Q$4:$Q$452,0)),""))</f>
        <v/>
      </c>
      <c r="Q259" s="13" t="n"/>
      <c r="R259" s="11" t="n"/>
      <c r="S259" s="11" t="n"/>
      <c r="T259" s="11" t="n"/>
      <c r="U259" s="11" t="n"/>
      <c r="V259" s="10">
        <f>IF(COUNTA($C259,$D259,$J259,$M259)=0,"",IF(TRIM(IF($C259="","Falta l'actuació. ","")&amp;IF($D259="","Falta l'objectiu. ","")&amp;IF($J259="","Falta el tipus de despesa. ","")&amp;IF(AND($J259&lt;&gt;"",$J259&lt;&gt;"Mitjans propis",$J259&lt;&gt;"Altres",$M259=""),"Falta l'import. ","")&amp;IF(AND($J259="Contracte menor a càrrec del RAE",$K259=""),"Falta la partida RAE. ","")&amp;IF(AND($B259&lt;&gt;"",COUNTIF($B$6:$B$705,$B259)&gt;1),"Codi RAE repetit. ","")&amp;IF(AND($B259&lt;&gt;"",$J259&lt;&gt;"",$J259&lt;&gt;"Contracte menor a càrrec del RAE"),"Té codi RAE però no és de tipus RAE. ","")&amp;IF($N259="","Falta l'indicador del Pla. ","")&amp;IF($R259="","Falta el gestor. ","")&amp;IF($S259="","Falta indicar si és recurrent. ",""))="","✔",TRIM(IF($C259="","Falta l'actuació. ","")&amp;IF($D259="","Falta l'objectiu. ","")&amp;IF($J259="","Falta el tipus de despesa. ","")&amp;IF(AND($J259&lt;&gt;"",$J259&lt;&gt;"Mitjans propis",$J259&lt;&gt;"Altres",$M259=""),"Falta l'import. ","")&amp;IF(AND($J259="Contracte menor a càrrec del RAE",$K259=""),"Falta la partida RAE. ","")&amp;IF(AND($B259&lt;&gt;"",COUNTIF($B$6:$B$705,$B259)&gt;1),"Codi RAE repetit. ","")&amp;IF(AND($B259&lt;&gt;"",$J259&lt;&gt;"",$J259&lt;&gt;"Contracte menor a càrrec del RAE"),"Té codi RAE però no és de tipus RAE. ","")&amp;IF($N259="","Falta l'indicador del Pla. ","")&amp;IF($R259="","Falta el gestor. ","")&amp;IF($S259="","Falta indicar si és recurrent. ",""))))</f>
        <v/>
      </c>
    </row>
    <row r="260">
      <c r="A260" s="10">
        <f>IF($D260="","","27_"&amp;IFERROR(INDEX(Objectius!$E$2:$E$183,MATCH($D260,Objectius!$A$2:$A$183,0)),"??")&amp;"_"&amp;TEXT(COUNTIF($I$6:$I260,$I260),"00"))</f>
        <v/>
      </c>
      <c r="B260" s="11" t="n"/>
      <c r="C260" s="11" t="n"/>
      <c r="D260" s="11" t="n"/>
      <c r="E260" s="10">
        <f>IF($D260="","",IFERROR(INDEX(Objectius!$C$2:$C$183,MATCH($D260,Objectius!$A$2:$A$183,0)),"Objectiu no trobat al Pla"))</f>
        <v/>
      </c>
      <c r="F260" s="11" t="n"/>
      <c r="G260" s="11" t="n"/>
      <c r="H260" s="11" t="n"/>
      <c r="I260" s="10">
        <f>IF($D260="","",IFERROR(INDEX(Objectius!$D$2:$D$183,MATCH($D260,Objectius!$A$2:$A$183,0)),""))</f>
        <v/>
      </c>
      <c r="J260" s="11" t="n"/>
      <c r="K260" s="11" t="n"/>
      <c r="L260" s="11" t="n"/>
      <c r="M260" s="12" t="n"/>
      <c r="N260" s="11" t="n"/>
      <c r="O260" s="10">
        <f>IF($N260="","",IFERROR(INDEX('PLA ESTRATÈGIC'!$G$4:$G$452,MATCH($N260,'PLA ESTRATÈGIC'!$Q$4:$Q$452,0)),""))</f>
        <v/>
      </c>
      <c r="P260" s="10">
        <f>IF($N260="","",IFERROR(INDEX('PLA ESTRATÈGIC'!$H$4:$H$452,MATCH($N260,'PLA ESTRATÈGIC'!$Q$4:$Q$452,0)),""))</f>
        <v/>
      </c>
      <c r="Q260" s="13" t="n"/>
      <c r="R260" s="11" t="n"/>
      <c r="S260" s="11" t="n"/>
      <c r="T260" s="11" t="n"/>
      <c r="U260" s="11" t="n"/>
      <c r="V260" s="10">
        <f>IF(COUNTA($C260,$D260,$J260,$M260)=0,"",IF(TRIM(IF($C260="","Falta l'actuació. ","")&amp;IF($D260="","Falta l'objectiu. ","")&amp;IF($J260="","Falta el tipus de despesa. ","")&amp;IF(AND($J260&lt;&gt;"",$J260&lt;&gt;"Mitjans propis",$J260&lt;&gt;"Altres",$M260=""),"Falta l'import. ","")&amp;IF(AND($J260="Contracte menor a càrrec del RAE",$K260=""),"Falta la partida RAE. ","")&amp;IF(AND($B260&lt;&gt;"",COUNTIF($B$6:$B$705,$B260)&gt;1),"Codi RAE repetit. ","")&amp;IF(AND($B260&lt;&gt;"",$J260&lt;&gt;"",$J260&lt;&gt;"Contracte menor a càrrec del RAE"),"Té codi RAE però no és de tipus RAE. ","")&amp;IF($N260="","Falta l'indicador del Pla. ","")&amp;IF($R260="","Falta el gestor. ","")&amp;IF($S260="","Falta indicar si és recurrent. ",""))="","✔",TRIM(IF($C260="","Falta l'actuació. ","")&amp;IF($D260="","Falta l'objectiu. ","")&amp;IF($J260="","Falta el tipus de despesa. ","")&amp;IF(AND($J260&lt;&gt;"",$J260&lt;&gt;"Mitjans propis",$J260&lt;&gt;"Altres",$M260=""),"Falta l'import. ","")&amp;IF(AND($J260="Contracte menor a càrrec del RAE",$K260=""),"Falta la partida RAE. ","")&amp;IF(AND($B260&lt;&gt;"",COUNTIF($B$6:$B$705,$B260)&gt;1),"Codi RAE repetit. ","")&amp;IF(AND($B260&lt;&gt;"",$J260&lt;&gt;"",$J260&lt;&gt;"Contracte menor a càrrec del RAE"),"Té codi RAE però no és de tipus RAE. ","")&amp;IF($N260="","Falta l'indicador del Pla. ","")&amp;IF($R260="","Falta el gestor. ","")&amp;IF($S260="","Falta indicar si és recurrent. ",""))))</f>
        <v/>
      </c>
    </row>
    <row r="261">
      <c r="A261" s="10">
        <f>IF($D261="","","27_"&amp;IFERROR(INDEX(Objectius!$E$2:$E$183,MATCH($D261,Objectius!$A$2:$A$183,0)),"??")&amp;"_"&amp;TEXT(COUNTIF($I$6:$I261,$I261),"00"))</f>
        <v/>
      </c>
      <c r="B261" s="11" t="n"/>
      <c r="C261" s="11" t="n"/>
      <c r="D261" s="11" t="n"/>
      <c r="E261" s="10">
        <f>IF($D261="","",IFERROR(INDEX(Objectius!$C$2:$C$183,MATCH($D261,Objectius!$A$2:$A$183,0)),"Objectiu no trobat al Pla"))</f>
        <v/>
      </c>
      <c r="F261" s="11" t="n"/>
      <c r="G261" s="11" t="n"/>
      <c r="H261" s="11" t="n"/>
      <c r="I261" s="10">
        <f>IF($D261="","",IFERROR(INDEX(Objectius!$D$2:$D$183,MATCH($D261,Objectius!$A$2:$A$183,0)),""))</f>
        <v/>
      </c>
      <c r="J261" s="11" t="n"/>
      <c r="K261" s="11" t="n"/>
      <c r="L261" s="11" t="n"/>
      <c r="M261" s="12" t="n"/>
      <c r="N261" s="11" t="n"/>
      <c r="O261" s="10">
        <f>IF($N261="","",IFERROR(INDEX('PLA ESTRATÈGIC'!$G$4:$G$452,MATCH($N261,'PLA ESTRATÈGIC'!$Q$4:$Q$452,0)),""))</f>
        <v/>
      </c>
      <c r="P261" s="10">
        <f>IF($N261="","",IFERROR(INDEX('PLA ESTRATÈGIC'!$H$4:$H$452,MATCH($N261,'PLA ESTRATÈGIC'!$Q$4:$Q$452,0)),""))</f>
        <v/>
      </c>
      <c r="Q261" s="13" t="n"/>
      <c r="R261" s="11" t="n"/>
      <c r="S261" s="11" t="n"/>
      <c r="T261" s="11" t="n"/>
      <c r="U261" s="11" t="n"/>
      <c r="V261" s="10">
        <f>IF(COUNTA($C261,$D261,$J261,$M261)=0,"",IF(TRIM(IF($C261="","Falta l'actuació. ","")&amp;IF($D261="","Falta l'objectiu. ","")&amp;IF($J261="","Falta el tipus de despesa. ","")&amp;IF(AND($J261&lt;&gt;"",$J261&lt;&gt;"Mitjans propis",$J261&lt;&gt;"Altres",$M261=""),"Falta l'import. ","")&amp;IF(AND($J261="Contracte menor a càrrec del RAE",$K261=""),"Falta la partida RAE. ","")&amp;IF(AND($B261&lt;&gt;"",COUNTIF($B$6:$B$705,$B261)&gt;1),"Codi RAE repetit. ","")&amp;IF(AND($B261&lt;&gt;"",$J261&lt;&gt;"",$J261&lt;&gt;"Contracte menor a càrrec del RAE"),"Té codi RAE però no és de tipus RAE. ","")&amp;IF($N261="","Falta l'indicador del Pla. ","")&amp;IF($R261="","Falta el gestor. ","")&amp;IF($S261="","Falta indicar si és recurrent. ",""))="","✔",TRIM(IF($C261="","Falta l'actuació. ","")&amp;IF($D261="","Falta l'objectiu. ","")&amp;IF($J261="","Falta el tipus de despesa. ","")&amp;IF(AND($J261&lt;&gt;"",$J261&lt;&gt;"Mitjans propis",$J261&lt;&gt;"Altres",$M261=""),"Falta l'import. ","")&amp;IF(AND($J261="Contracte menor a càrrec del RAE",$K261=""),"Falta la partida RAE. ","")&amp;IF(AND($B261&lt;&gt;"",COUNTIF($B$6:$B$705,$B261)&gt;1),"Codi RAE repetit. ","")&amp;IF(AND($B261&lt;&gt;"",$J261&lt;&gt;"",$J261&lt;&gt;"Contracte menor a càrrec del RAE"),"Té codi RAE però no és de tipus RAE. ","")&amp;IF($N261="","Falta l'indicador del Pla. ","")&amp;IF($R261="","Falta el gestor. ","")&amp;IF($S261="","Falta indicar si és recurrent. ",""))))</f>
        <v/>
      </c>
    </row>
    <row r="262">
      <c r="A262" s="10">
        <f>IF($D262="","","27_"&amp;IFERROR(INDEX(Objectius!$E$2:$E$183,MATCH($D262,Objectius!$A$2:$A$183,0)),"??")&amp;"_"&amp;TEXT(COUNTIF($I$6:$I262,$I262),"00"))</f>
        <v/>
      </c>
      <c r="B262" s="11" t="n"/>
      <c r="C262" s="11" t="n"/>
      <c r="D262" s="11" t="n"/>
      <c r="E262" s="10">
        <f>IF($D262="","",IFERROR(INDEX(Objectius!$C$2:$C$183,MATCH($D262,Objectius!$A$2:$A$183,0)),"Objectiu no trobat al Pla"))</f>
        <v/>
      </c>
      <c r="F262" s="11" t="n"/>
      <c r="G262" s="11" t="n"/>
      <c r="H262" s="11" t="n"/>
      <c r="I262" s="10">
        <f>IF($D262="","",IFERROR(INDEX(Objectius!$D$2:$D$183,MATCH($D262,Objectius!$A$2:$A$183,0)),""))</f>
        <v/>
      </c>
      <c r="J262" s="11" t="n"/>
      <c r="K262" s="11" t="n"/>
      <c r="L262" s="11" t="n"/>
      <c r="M262" s="12" t="n"/>
      <c r="N262" s="11" t="n"/>
      <c r="O262" s="10">
        <f>IF($N262="","",IFERROR(INDEX('PLA ESTRATÈGIC'!$G$4:$G$452,MATCH($N262,'PLA ESTRATÈGIC'!$Q$4:$Q$452,0)),""))</f>
        <v/>
      </c>
      <c r="P262" s="10">
        <f>IF($N262="","",IFERROR(INDEX('PLA ESTRATÈGIC'!$H$4:$H$452,MATCH($N262,'PLA ESTRATÈGIC'!$Q$4:$Q$452,0)),""))</f>
        <v/>
      </c>
      <c r="Q262" s="13" t="n"/>
      <c r="R262" s="11" t="n"/>
      <c r="S262" s="11" t="n"/>
      <c r="T262" s="11" t="n"/>
      <c r="U262" s="11" t="n"/>
      <c r="V262" s="10">
        <f>IF(COUNTA($C262,$D262,$J262,$M262)=0,"",IF(TRIM(IF($C262="","Falta l'actuació. ","")&amp;IF($D262="","Falta l'objectiu. ","")&amp;IF($J262="","Falta el tipus de despesa. ","")&amp;IF(AND($J262&lt;&gt;"",$J262&lt;&gt;"Mitjans propis",$J262&lt;&gt;"Altres",$M262=""),"Falta l'import. ","")&amp;IF(AND($J262="Contracte menor a càrrec del RAE",$K262=""),"Falta la partida RAE. ","")&amp;IF(AND($B262&lt;&gt;"",COUNTIF($B$6:$B$705,$B262)&gt;1),"Codi RAE repetit. ","")&amp;IF(AND($B262&lt;&gt;"",$J262&lt;&gt;"",$J262&lt;&gt;"Contracte menor a càrrec del RAE"),"Té codi RAE però no és de tipus RAE. ","")&amp;IF($N262="","Falta l'indicador del Pla. ","")&amp;IF($R262="","Falta el gestor. ","")&amp;IF($S262="","Falta indicar si és recurrent. ",""))="","✔",TRIM(IF($C262="","Falta l'actuació. ","")&amp;IF($D262="","Falta l'objectiu. ","")&amp;IF($J262="","Falta el tipus de despesa. ","")&amp;IF(AND($J262&lt;&gt;"",$J262&lt;&gt;"Mitjans propis",$J262&lt;&gt;"Altres",$M262=""),"Falta l'import. ","")&amp;IF(AND($J262="Contracte menor a càrrec del RAE",$K262=""),"Falta la partida RAE. ","")&amp;IF(AND($B262&lt;&gt;"",COUNTIF($B$6:$B$705,$B262)&gt;1),"Codi RAE repetit. ","")&amp;IF(AND($B262&lt;&gt;"",$J262&lt;&gt;"",$J262&lt;&gt;"Contracte menor a càrrec del RAE"),"Té codi RAE però no és de tipus RAE. ","")&amp;IF($N262="","Falta l'indicador del Pla. ","")&amp;IF($R262="","Falta el gestor. ","")&amp;IF($S262="","Falta indicar si és recurrent. ",""))))</f>
        <v/>
      </c>
    </row>
    <row r="263">
      <c r="A263" s="10">
        <f>IF($D263="","","27_"&amp;IFERROR(INDEX(Objectius!$E$2:$E$183,MATCH($D263,Objectius!$A$2:$A$183,0)),"??")&amp;"_"&amp;TEXT(COUNTIF($I$6:$I263,$I263),"00"))</f>
        <v/>
      </c>
      <c r="B263" s="11" t="n"/>
      <c r="C263" s="11" t="n"/>
      <c r="D263" s="11" t="n"/>
      <c r="E263" s="10">
        <f>IF($D263="","",IFERROR(INDEX(Objectius!$C$2:$C$183,MATCH($D263,Objectius!$A$2:$A$183,0)),"Objectiu no trobat al Pla"))</f>
        <v/>
      </c>
      <c r="F263" s="11" t="n"/>
      <c r="G263" s="11" t="n"/>
      <c r="H263" s="11" t="n"/>
      <c r="I263" s="10">
        <f>IF($D263="","",IFERROR(INDEX(Objectius!$D$2:$D$183,MATCH($D263,Objectius!$A$2:$A$183,0)),""))</f>
        <v/>
      </c>
      <c r="J263" s="11" t="n"/>
      <c r="K263" s="11" t="n"/>
      <c r="L263" s="11" t="n"/>
      <c r="M263" s="12" t="n"/>
      <c r="N263" s="11" t="n"/>
      <c r="O263" s="10">
        <f>IF($N263="","",IFERROR(INDEX('PLA ESTRATÈGIC'!$G$4:$G$452,MATCH($N263,'PLA ESTRATÈGIC'!$Q$4:$Q$452,0)),""))</f>
        <v/>
      </c>
      <c r="P263" s="10">
        <f>IF($N263="","",IFERROR(INDEX('PLA ESTRATÈGIC'!$H$4:$H$452,MATCH($N263,'PLA ESTRATÈGIC'!$Q$4:$Q$452,0)),""))</f>
        <v/>
      </c>
      <c r="Q263" s="13" t="n"/>
      <c r="R263" s="11" t="n"/>
      <c r="S263" s="11" t="n"/>
      <c r="T263" s="11" t="n"/>
      <c r="U263" s="11" t="n"/>
      <c r="V263" s="10">
        <f>IF(COUNTA($C263,$D263,$J263,$M263)=0,"",IF(TRIM(IF($C263="","Falta l'actuació. ","")&amp;IF($D263="","Falta l'objectiu. ","")&amp;IF($J263="","Falta el tipus de despesa. ","")&amp;IF(AND($J263&lt;&gt;"",$J263&lt;&gt;"Mitjans propis",$J263&lt;&gt;"Altres",$M263=""),"Falta l'import. ","")&amp;IF(AND($J263="Contracte menor a càrrec del RAE",$K263=""),"Falta la partida RAE. ","")&amp;IF(AND($B263&lt;&gt;"",COUNTIF($B$6:$B$705,$B263)&gt;1),"Codi RAE repetit. ","")&amp;IF(AND($B263&lt;&gt;"",$J263&lt;&gt;"",$J263&lt;&gt;"Contracte menor a càrrec del RAE"),"Té codi RAE però no és de tipus RAE. ","")&amp;IF($N263="","Falta l'indicador del Pla. ","")&amp;IF($R263="","Falta el gestor. ","")&amp;IF($S263="","Falta indicar si és recurrent. ",""))="","✔",TRIM(IF($C263="","Falta l'actuació. ","")&amp;IF($D263="","Falta l'objectiu. ","")&amp;IF($J263="","Falta el tipus de despesa. ","")&amp;IF(AND($J263&lt;&gt;"",$J263&lt;&gt;"Mitjans propis",$J263&lt;&gt;"Altres",$M263=""),"Falta l'import. ","")&amp;IF(AND($J263="Contracte menor a càrrec del RAE",$K263=""),"Falta la partida RAE. ","")&amp;IF(AND($B263&lt;&gt;"",COUNTIF($B$6:$B$705,$B263)&gt;1),"Codi RAE repetit. ","")&amp;IF(AND($B263&lt;&gt;"",$J263&lt;&gt;"",$J263&lt;&gt;"Contracte menor a càrrec del RAE"),"Té codi RAE però no és de tipus RAE. ","")&amp;IF($N263="","Falta l'indicador del Pla. ","")&amp;IF($R263="","Falta el gestor. ","")&amp;IF($S263="","Falta indicar si és recurrent. ",""))))</f>
        <v/>
      </c>
    </row>
    <row r="264">
      <c r="A264" s="10">
        <f>IF($D264="","","27_"&amp;IFERROR(INDEX(Objectius!$E$2:$E$183,MATCH($D264,Objectius!$A$2:$A$183,0)),"??")&amp;"_"&amp;TEXT(COUNTIF($I$6:$I264,$I264),"00"))</f>
        <v/>
      </c>
      <c r="B264" s="11" t="n"/>
      <c r="C264" s="11" t="n"/>
      <c r="D264" s="11" t="n"/>
      <c r="E264" s="10">
        <f>IF($D264="","",IFERROR(INDEX(Objectius!$C$2:$C$183,MATCH($D264,Objectius!$A$2:$A$183,0)),"Objectiu no trobat al Pla"))</f>
        <v/>
      </c>
      <c r="F264" s="11" t="n"/>
      <c r="G264" s="11" t="n"/>
      <c r="H264" s="11" t="n"/>
      <c r="I264" s="10">
        <f>IF($D264="","",IFERROR(INDEX(Objectius!$D$2:$D$183,MATCH($D264,Objectius!$A$2:$A$183,0)),""))</f>
        <v/>
      </c>
      <c r="J264" s="11" t="n"/>
      <c r="K264" s="11" t="n"/>
      <c r="L264" s="11" t="n"/>
      <c r="M264" s="12" t="n"/>
      <c r="N264" s="11" t="n"/>
      <c r="O264" s="10">
        <f>IF($N264="","",IFERROR(INDEX('PLA ESTRATÈGIC'!$G$4:$G$452,MATCH($N264,'PLA ESTRATÈGIC'!$Q$4:$Q$452,0)),""))</f>
        <v/>
      </c>
      <c r="P264" s="10">
        <f>IF($N264="","",IFERROR(INDEX('PLA ESTRATÈGIC'!$H$4:$H$452,MATCH($N264,'PLA ESTRATÈGIC'!$Q$4:$Q$452,0)),""))</f>
        <v/>
      </c>
      <c r="Q264" s="13" t="n"/>
      <c r="R264" s="11" t="n"/>
      <c r="S264" s="11" t="n"/>
      <c r="T264" s="11" t="n"/>
      <c r="U264" s="11" t="n"/>
      <c r="V264" s="10">
        <f>IF(COUNTA($C264,$D264,$J264,$M264)=0,"",IF(TRIM(IF($C264="","Falta l'actuació. ","")&amp;IF($D264="","Falta l'objectiu. ","")&amp;IF($J264="","Falta el tipus de despesa. ","")&amp;IF(AND($J264&lt;&gt;"",$J264&lt;&gt;"Mitjans propis",$J264&lt;&gt;"Altres",$M264=""),"Falta l'import. ","")&amp;IF(AND($J264="Contracte menor a càrrec del RAE",$K264=""),"Falta la partida RAE. ","")&amp;IF(AND($B264&lt;&gt;"",COUNTIF($B$6:$B$705,$B264)&gt;1),"Codi RAE repetit. ","")&amp;IF(AND($B264&lt;&gt;"",$J264&lt;&gt;"",$J264&lt;&gt;"Contracte menor a càrrec del RAE"),"Té codi RAE però no és de tipus RAE. ","")&amp;IF($N264="","Falta l'indicador del Pla. ","")&amp;IF($R264="","Falta el gestor. ","")&amp;IF($S264="","Falta indicar si és recurrent. ",""))="","✔",TRIM(IF($C264="","Falta l'actuació. ","")&amp;IF($D264="","Falta l'objectiu. ","")&amp;IF($J264="","Falta el tipus de despesa. ","")&amp;IF(AND($J264&lt;&gt;"",$J264&lt;&gt;"Mitjans propis",$J264&lt;&gt;"Altres",$M264=""),"Falta l'import. ","")&amp;IF(AND($J264="Contracte menor a càrrec del RAE",$K264=""),"Falta la partida RAE. ","")&amp;IF(AND($B264&lt;&gt;"",COUNTIF($B$6:$B$705,$B264)&gt;1),"Codi RAE repetit. ","")&amp;IF(AND($B264&lt;&gt;"",$J264&lt;&gt;"",$J264&lt;&gt;"Contracte menor a càrrec del RAE"),"Té codi RAE però no és de tipus RAE. ","")&amp;IF($N264="","Falta l'indicador del Pla. ","")&amp;IF($R264="","Falta el gestor. ","")&amp;IF($S264="","Falta indicar si és recurrent. ",""))))</f>
        <v/>
      </c>
    </row>
    <row r="265">
      <c r="A265" s="10">
        <f>IF($D265="","","27_"&amp;IFERROR(INDEX(Objectius!$E$2:$E$183,MATCH($D265,Objectius!$A$2:$A$183,0)),"??")&amp;"_"&amp;TEXT(COUNTIF($I$6:$I265,$I265),"00"))</f>
        <v/>
      </c>
      <c r="B265" s="11" t="n"/>
      <c r="C265" s="11" t="n"/>
      <c r="D265" s="11" t="n"/>
      <c r="E265" s="10">
        <f>IF($D265="","",IFERROR(INDEX(Objectius!$C$2:$C$183,MATCH($D265,Objectius!$A$2:$A$183,0)),"Objectiu no trobat al Pla"))</f>
        <v/>
      </c>
      <c r="F265" s="11" t="n"/>
      <c r="G265" s="11" t="n"/>
      <c r="H265" s="11" t="n"/>
      <c r="I265" s="10">
        <f>IF($D265="","",IFERROR(INDEX(Objectius!$D$2:$D$183,MATCH($D265,Objectius!$A$2:$A$183,0)),""))</f>
        <v/>
      </c>
      <c r="J265" s="11" t="n"/>
      <c r="K265" s="11" t="n"/>
      <c r="L265" s="11" t="n"/>
      <c r="M265" s="12" t="n"/>
      <c r="N265" s="11" t="n"/>
      <c r="O265" s="10">
        <f>IF($N265="","",IFERROR(INDEX('PLA ESTRATÈGIC'!$G$4:$G$452,MATCH($N265,'PLA ESTRATÈGIC'!$Q$4:$Q$452,0)),""))</f>
        <v/>
      </c>
      <c r="P265" s="10">
        <f>IF($N265="","",IFERROR(INDEX('PLA ESTRATÈGIC'!$H$4:$H$452,MATCH($N265,'PLA ESTRATÈGIC'!$Q$4:$Q$452,0)),""))</f>
        <v/>
      </c>
      <c r="Q265" s="13" t="n"/>
      <c r="R265" s="11" t="n"/>
      <c r="S265" s="11" t="n"/>
      <c r="T265" s="11" t="n"/>
      <c r="U265" s="11" t="n"/>
      <c r="V265" s="10">
        <f>IF(COUNTA($C265,$D265,$J265,$M265)=0,"",IF(TRIM(IF($C265="","Falta l'actuació. ","")&amp;IF($D265="","Falta l'objectiu. ","")&amp;IF($J265="","Falta el tipus de despesa. ","")&amp;IF(AND($J265&lt;&gt;"",$J265&lt;&gt;"Mitjans propis",$J265&lt;&gt;"Altres",$M265=""),"Falta l'import. ","")&amp;IF(AND($J265="Contracte menor a càrrec del RAE",$K265=""),"Falta la partida RAE. ","")&amp;IF(AND($B265&lt;&gt;"",COUNTIF($B$6:$B$705,$B265)&gt;1),"Codi RAE repetit. ","")&amp;IF(AND($B265&lt;&gt;"",$J265&lt;&gt;"",$J265&lt;&gt;"Contracte menor a càrrec del RAE"),"Té codi RAE però no és de tipus RAE. ","")&amp;IF($N265="","Falta l'indicador del Pla. ","")&amp;IF($R265="","Falta el gestor. ","")&amp;IF($S265="","Falta indicar si és recurrent. ",""))="","✔",TRIM(IF($C265="","Falta l'actuació. ","")&amp;IF($D265="","Falta l'objectiu. ","")&amp;IF($J265="","Falta el tipus de despesa. ","")&amp;IF(AND($J265&lt;&gt;"",$J265&lt;&gt;"Mitjans propis",$J265&lt;&gt;"Altres",$M265=""),"Falta l'import. ","")&amp;IF(AND($J265="Contracte menor a càrrec del RAE",$K265=""),"Falta la partida RAE. ","")&amp;IF(AND($B265&lt;&gt;"",COUNTIF($B$6:$B$705,$B265)&gt;1),"Codi RAE repetit. ","")&amp;IF(AND($B265&lt;&gt;"",$J265&lt;&gt;"",$J265&lt;&gt;"Contracte menor a càrrec del RAE"),"Té codi RAE però no és de tipus RAE. ","")&amp;IF($N265="","Falta l'indicador del Pla. ","")&amp;IF($R265="","Falta el gestor. ","")&amp;IF($S265="","Falta indicar si és recurrent. ",""))))</f>
        <v/>
      </c>
    </row>
    <row r="266">
      <c r="A266" s="10">
        <f>IF($D266="","","27_"&amp;IFERROR(INDEX(Objectius!$E$2:$E$183,MATCH($D266,Objectius!$A$2:$A$183,0)),"??")&amp;"_"&amp;TEXT(COUNTIF($I$6:$I266,$I266),"00"))</f>
        <v/>
      </c>
      <c r="B266" s="11" t="n"/>
      <c r="C266" s="11" t="n"/>
      <c r="D266" s="11" t="n"/>
      <c r="E266" s="10">
        <f>IF($D266="","",IFERROR(INDEX(Objectius!$C$2:$C$183,MATCH($D266,Objectius!$A$2:$A$183,0)),"Objectiu no trobat al Pla"))</f>
        <v/>
      </c>
      <c r="F266" s="11" t="n"/>
      <c r="G266" s="11" t="n"/>
      <c r="H266" s="11" t="n"/>
      <c r="I266" s="10">
        <f>IF($D266="","",IFERROR(INDEX(Objectius!$D$2:$D$183,MATCH($D266,Objectius!$A$2:$A$183,0)),""))</f>
        <v/>
      </c>
      <c r="J266" s="11" t="n"/>
      <c r="K266" s="11" t="n"/>
      <c r="L266" s="11" t="n"/>
      <c r="M266" s="12" t="n"/>
      <c r="N266" s="11" t="n"/>
      <c r="O266" s="10">
        <f>IF($N266="","",IFERROR(INDEX('PLA ESTRATÈGIC'!$G$4:$G$452,MATCH($N266,'PLA ESTRATÈGIC'!$Q$4:$Q$452,0)),""))</f>
        <v/>
      </c>
      <c r="P266" s="10">
        <f>IF($N266="","",IFERROR(INDEX('PLA ESTRATÈGIC'!$H$4:$H$452,MATCH($N266,'PLA ESTRATÈGIC'!$Q$4:$Q$452,0)),""))</f>
        <v/>
      </c>
      <c r="Q266" s="13" t="n"/>
      <c r="R266" s="11" t="n"/>
      <c r="S266" s="11" t="n"/>
      <c r="T266" s="11" t="n"/>
      <c r="U266" s="11" t="n"/>
      <c r="V266" s="10">
        <f>IF(COUNTA($C266,$D266,$J266,$M266)=0,"",IF(TRIM(IF($C266="","Falta l'actuació. ","")&amp;IF($D266="","Falta l'objectiu. ","")&amp;IF($J266="","Falta el tipus de despesa. ","")&amp;IF(AND($J266&lt;&gt;"",$J266&lt;&gt;"Mitjans propis",$J266&lt;&gt;"Altres",$M266=""),"Falta l'import. ","")&amp;IF(AND($J266="Contracte menor a càrrec del RAE",$K266=""),"Falta la partida RAE. ","")&amp;IF(AND($B266&lt;&gt;"",COUNTIF($B$6:$B$705,$B266)&gt;1),"Codi RAE repetit. ","")&amp;IF(AND($B266&lt;&gt;"",$J266&lt;&gt;"",$J266&lt;&gt;"Contracte menor a càrrec del RAE"),"Té codi RAE però no és de tipus RAE. ","")&amp;IF($N266="","Falta l'indicador del Pla. ","")&amp;IF($R266="","Falta el gestor. ","")&amp;IF($S266="","Falta indicar si és recurrent. ",""))="","✔",TRIM(IF($C266="","Falta l'actuació. ","")&amp;IF($D266="","Falta l'objectiu. ","")&amp;IF($J266="","Falta el tipus de despesa. ","")&amp;IF(AND($J266&lt;&gt;"",$J266&lt;&gt;"Mitjans propis",$J266&lt;&gt;"Altres",$M266=""),"Falta l'import. ","")&amp;IF(AND($J266="Contracte menor a càrrec del RAE",$K266=""),"Falta la partida RAE. ","")&amp;IF(AND($B266&lt;&gt;"",COUNTIF($B$6:$B$705,$B266)&gt;1),"Codi RAE repetit. ","")&amp;IF(AND($B266&lt;&gt;"",$J266&lt;&gt;"",$J266&lt;&gt;"Contracte menor a càrrec del RAE"),"Té codi RAE però no és de tipus RAE. ","")&amp;IF($N266="","Falta l'indicador del Pla. ","")&amp;IF($R266="","Falta el gestor. ","")&amp;IF($S266="","Falta indicar si és recurrent. ",""))))</f>
        <v/>
      </c>
    </row>
    <row r="267">
      <c r="A267" s="10">
        <f>IF($D267="","","27_"&amp;IFERROR(INDEX(Objectius!$E$2:$E$183,MATCH($D267,Objectius!$A$2:$A$183,0)),"??")&amp;"_"&amp;TEXT(COUNTIF($I$6:$I267,$I267),"00"))</f>
        <v/>
      </c>
      <c r="B267" s="11" t="n"/>
      <c r="C267" s="11" t="n"/>
      <c r="D267" s="11" t="n"/>
      <c r="E267" s="10">
        <f>IF($D267="","",IFERROR(INDEX(Objectius!$C$2:$C$183,MATCH($D267,Objectius!$A$2:$A$183,0)),"Objectiu no trobat al Pla"))</f>
        <v/>
      </c>
      <c r="F267" s="11" t="n"/>
      <c r="G267" s="11" t="n"/>
      <c r="H267" s="11" t="n"/>
      <c r="I267" s="10">
        <f>IF($D267="","",IFERROR(INDEX(Objectius!$D$2:$D$183,MATCH($D267,Objectius!$A$2:$A$183,0)),""))</f>
        <v/>
      </c>
      <c r="J267" s="11" t="n"/>
      <c r="K267" s="11" t="n"/>
      <c r="L267" s="11" t="n"/>
      <c r="M267" s="12" t="n"/>
      <c r="N267" s="11" t="n"/>
      <c r="O267" s="10">
        <f>IF($N267="","",IFERROR(INDEX('PLA ESTRATÈGIC'!$G$4:$G$452,MATCH($N267,'PLA ESTRATÈGIC'!$Q$4:$Q$452,0)),""))</f>
        <v/>
      </c>
      <c r="P267" s="10">
        <f>IF($N267="","",IFERROR(INDEX('PLA ESTRATÈGIC'!$H$4:$H$452,MATCH($N267,'PLA ESTRATÈGIC'!$Q$4:$Q$452,0)),""))</f>
        <v/>
      </c>
      <c r="Q267" s="13" t="n"/>
      <c r="R267" s="11" t="n"/>
      <c r="S267" s="11" t="n"/>
      <c r="T267" s="11" t="n"/>
      <c r="U267" s="11" t="n"/>
      <c r="V267" s="10">
        <f>IF(COUNTA($C267,$D267,$J267,$M267)=0,"",IF(TRIM(IF($C267="","Falta l'actuació. ","")&amp;IF($D267="","Falta l'objectiu. ","")&amp;IF($J267="","Falta el tipus de despesa. ","")&amp;IF(AND($J267&lt;&gt;"",$J267&lt;&gt;"Mitjans propis",$J267&lt;&gt;"Altres",$M267=""),"Falta l'import. ","")&amp;IF(AND($J267="Contracte menor a càrrec del RAE",$K267=""),"Falta la partida RAE. ","")&amp;IF(AND($B267&lt;&gt;"",COUNTIF($B$6:$B$705,$B267)&gt;1),"Codi RAE repetit. ","")&amp;IF(AND($B267&lt;&gt;"",$J267&lt;&gt;"",$J267&lt;&gt;"Contracte menor a càrrec del RAE"),"Té codi RAE però no és de tipus RAE. ","")&amp;IF($N267="","Falta l'indicador del Pla. ","")&amp;IF($R267="","Falta el gestor. ","")&amp;IF($S267="","Falta indicar si és recurrent. ",""))="","✔",TRIM(IF($C267="","Falta l'actuació. ","")&amp;IF($D267="","Falta l'objectiu. ","")&amp;IF($J267="","Falta el tipus de despesa. ","")&amp;IF(AND($J267&lt;&gt;"",$J267&lt;&gt;"Mitjans propis",$J267&lt;&gt;"Altres",$M267=""),"Falta l'import. ","")&amp;IF(AND($J267="Contracte menor a càrrec del RAE",$K267=""),"Falta la partida RAE. ","")&amp;IF(AND($B267&lt;&gt;"",COUNTIF($B$6:$B$705,$B267)&gt;1),"Codi RAE repetit. ","")&amp;IF(AND($B267&lt;&gt;"",$J267&lt;&gt;"",$J267&lt;&gt;"Contracte menor a càrrec del RAE"),"Té codi RAE però no és de tipus RAE. ","")&amp;IF($N267="","Falta l'indicador del Pla. ","")&amp;IF($R267="","Falta el gestor. ","")&amp;IF($S267="","Falta indicar si és recurrent. ",""))))</f>
        <v/>
      </c>
    </row>
    <row r="268">
      <c r="A268" s="10">
        <f>IF($D268="","","27_"&amp;IFERROR(INDEX(Objectius!$E$2:$E$183,MATCH($D268,Objectius!$A$2:$A$183,0)),"??")&amp;"_"&amp;TEXT(COUNTIF($I$6:$I268,$I268),"00"))</f>
        <v/>
      </c>
      <c r="B268" s="11" t="n"/>
      <c r="C268" s="11" t="n"/>
      <c r="D268" s="11" t="n"/>
      <c r="E268" s="10">
        <f>IF($D268="","",IFERROR(INDEX(Objectius!$C$2:$C$183,MATCH($D268,Objectius!$A$2:$A$183,0)),"Objectiu no trobat al Pla"))</f>
        <v/>
      </c>
      <c r="F268" s="11" t="n"/>
      <c r="G268" s="11" t="n"/>
      <c r="H268" s="11" t="n"/>
      <c r="I268" s="10">
        <f>IF($D268="","",IFERROR(INDEX(Objectius!$D$2:$D$183,MATCH($D268,Objectius!$A$2:$A$183,0)),""))</f>
        <v/>
      </c>
      <c r="J268" s="11" t="n"/>
      <c r="K268" s="11" t="n"/>
      <c r="L268" s="11" t="n"/>
      <c r="M268" s="12" t="n"/>
      <c r="N268" s="11" t="n"/>
      <c r="O268" s="10">
        <f>IF($N268="","",IFERROR(INDEX('PLA ESTRATÈGIC'!$G$4:$G$452,MATCH($N268,'PLA ESTRATÈGIC'!$Q$4:$Q$452,0)),""))</f>
        <v/>
      </c>
      <c r="P268" s="10">
        <f>IF($N268="","",IFERROR(INDEX('PLA ESTRATÈGIC'!$H$4:$H$452,MATCH($N268,'PLA ESTRATÈGIC'!$Q$4:$Q$452,0)),""))</f>
        <v/>
      </c>
      <c r="Q268" s="13" t="n"/>
      <c r="R268" s="11" t="n"/>
      <c r="S268" s="11" t="n"/>
      <c r="T268" s="11" t="n"/>
      <c r="U268" s="11" t="n"/>
      <c r="V268" s="10">
        <f>IF(COUNTA($C268,$D268,$J268,$M268)=0,"",IF(TRIM(IF($C268="","Falta l'actuació. ","")&amp;IF($D268="","Falta l'objectiu. ","")&amp;IF($J268="","Falta el tipus de despesa. ","")&amp;IF(AND($J268&lt;&gt;"",$J268&lt;&gt;"Mitjans propis",$J268&lt;&gt;"Altres",$M268=""),"Falta l'import. ","")&amp;IF(AND($J268="Contracte menor a càrrec del RAE",$K268=""),"Falta la partida RAE. ","")&amp;IF(AND($B268&lt;&gt;"",COUNTIF($B$6:$B$705,$B268)&gt;1),"Codi RAE repetit. ","")&amp;IF(AND($B268&lt;&gt;"",$J268&lt;&gt;"",$J268&lt;&gt;"Contracte menor a càrrec del RAE"),"Té codi RAE però no és de tipus RAE. ","")&amp;IF($N268="","Falta l'indicador del Pla. ","")&amp;IF($R268="","Falta el gestor. ","")&amp;IF($S268="","Falta indicar si és recurrent. ",""))="","✔",TRIM(IF($C268="","Falta l'actuació. ","")&amp;IF($D268="","Falta l'objectiu. ","")&amp;IF($J268="","Falta el tipus de despesa. ","")&amp;IF(AND($J268&lt;&gt;"",$J268&lt;&gt;"Mitjans propis",$J268&lt;&gt;"Altres",$M268=""),"Falta l'import. ","")&amp;IF(AND($J268="Contracte menor a càrrec del RAE",$K268=""),"Falta la partida RAE. ","")&amp;IF(AND($B268&lt;&gt;"",COUNTIF($B$6:$B$705,$B268)&gt;1),"Codi RAE repetit. ","")&amp;IF(AND($B268&lt;&gt;"",$J268&lt;&gt;"",$J268&lt;&gt;"Contracte menor a càrrec del RAE"),"Té codi RAE però no és de tipus RAE. ","")&amp;IF($N268="","Falta l'indicador del Pla. ","")&amp;IF($R268="","Falta el gestor. ","")&amp;IF($S268="","Falta indicar si és recurrent. ",""))))</f>
        <v/>
      </c>
    </row>
    <row r="269">
      <c r="A269" s="10">
        <f>IF($D269="","","27_"&amp;IFERROR(INDEX(Objectius!$E$2:$E$183,MATCH($D269,Objectius!$A$2:$A$183,0)),"??")&amp;"_"&amp;TEXT(COUNTIF($I$6:$I269,$I269),"00"))</f>
        <v/>
      </c>
      <c r="B269" s="11" t="n"/>
      <c r="C269" s="11" t="n"/>
      <c r="D269" s="11" t="n"/>
      <c r="E269" s="10">
        <f>IF($D269="","",IFERROR(INDEX(Objectius!$C$2:$C$183,MATCH($D269,Objectius!$A$2:$A$183,0)),"Objectiu no trobat al Pla"))</f>
        <v/>
      </c>
      <c r="F269" s="11" t="n"/>
      <c r="G269" s="11" t="n"/>
      <c r="H269" s="11" t="n"/>
      <c r="I269" s="10">
        <f>IF($D269="","",IFERROR(INDEX(Objectius!$D$2:$D$183,MATCH($D269,Objectius!$A$2:$A$183,0)),""))</f>
        <v/>
      </c>
      <c r="J269" s="11" t="n"/>
      <c r="K269" s="11" t="n"/>
      <c r="L269" s="11" t="n"/>
      <c r="M269" s="12" t="n"/>
      <c r="N269" s="11" t="n"/>
      <c r="O269" s="10">
        <f>IF($N269="","",IFERROR(INDEX('PLA ESTRATÈGIC'!$G$4:$G$452,MATCH($N269,'PLA ESTRATÈGIC'!$Q$4:$Q$452,0)),""))</f>
        <v/>
      </c>
      <c r="P269" s="10">
        <f>IF($N269="","",IFERROR(INDEX('PLA ESTRATÈGIC'!$H$4:$H$452,MATCH($N269,'PLA ESTRATÈGIC'!$Q$4:$Q$452,0)),""))</f>
        <v/>
      </c>
      <c r="Q269" s="13" t="n"/>
      <c r="R269" s="11" t="n"/>
      <c r="S269" s="11" t="n"/>
      <c r="T269" s="11" t="n"/>
      <c r="U269" s="11" t="n"/>
      <c r="V269" s="10">
        <f>IF(COUNTA($C269,$D269,$J269,$M269)=0,"",IF(TRIM(IF($C269="","Falta l'actuació. ","")&amp;IF($D269="","Falta l'objectiu. ","")&amp;IF($J269="","Falta el tipus de despesa. ","")&amp;IF(AND($J269&lt;&gt;"",$J269&lt;&gt;"Mitjans propis",$J269&lt;&gt;"Altres",$M269=""),"Falta l'import. ","")&amp;IF(AND($J269="Contracte menor a càrrec del RAE",$K269=""),"Falta la partida RAE. ","")&amp;IF(AND($B269&lt;&gt;"",COUNTIF($B$6:$B$705,$B269)&gt;1),"Codi RAE repetit. ","")&amp;IF(AND($B269&lt;&gt;"",$J269&lt;&gt;"",$J269&lt;&gt;"Contracte menor a càrrec del RAE"),"Té codi RAE però no és de tipus RAE. ","")&amp;IF($N269="","Falta l'indicador del Pla. ","")&amp;IF($R269="","Falta el gestor. ","")&amp;IF($S269="","Falta indicar si és recurrent. ",""))="","✔",TRIM(IF($C269="","Falta l'actuació. ","")&amp;IF($D269="","Falta l'objectiu. ","")&amp;IF($J269="","Falta el tipus de despesa. ","")&amp;IF(AND($J269&lt;&gt;"",$J269&lt;&gt;"Mitjans propis",$J269&lt;&gt;"Altres",$M269=""),"Falta l'import. ","")&amp;IF(AND($J269="Contracte menor a càrrec del RAE",$K269=""),"Falta la partida RAE. ","")&amp;IF(AND($B269&lt;&gt;"",COUNTIF($B$6:$B$705,$B269)&gt;1),"Codi RAE repetit. ","")&amp;IF(AND($B269&lt;&gt;"",$J269&lt;&gt;"",$J269&lt;&gt;"Contracte menor a càrrec del RAE"),"Té codi RAE però no és de tipus RAE. ","")&amp;IF($N269="","Falta l'indicador del Pla. ","")&amp;IF($R269="","Falta el gestor. ","")&amp;IF($S269="","Falta indicar si és recurrent. ",""))))</f>
        <v/>
      </c>
    </row>
    <row r="270">
      <c r="A270" s="10">
        <f>IF($D270="","","27_"&amp;IFERROR(INDEX(Objectius!$E$2:$E$183,MATCH($D270,Objectius!$A$2:$A$183,0)),"??")&amp;"_"&amp;TEXT(COUNTIF($I$6:$I270,$I270),"00"))</f>
        <v/>
      </c>
      <c r="B270" s="11" t="n"/>
      <c r="C270" s="11" t="n"/>
      <c r="D270" s="11" t="n"/>
      <c r="E270" s="10">
        <f>IF($D270="","",IFERROR(INDEX(Objectius!$C$2:$C$183,MATCH($D270,Objectius!$A$2:$A$183,0)),"Objectiu no trobat al Pla"))</f>
        <v/>
      </c>
      <c r="F270" s="11" t="n"/>
      <c r="G270" s="11" t="n"/>
      <c r="H270" s="11" t="n"/>
      <c r="I270" s="10">
        <f>IF($D270="","",IFERROR(INDEX(Objectius!$D$2:$D$183,MATCH($D270,Objectius!$A$2:$A$183,0)),""))</f>
        <v/>
      </c>
      <c r="J270" s="11" t="n"/>
      <c r="K270" s="11" t="n"/>
      <c r="L270" s="11" t="n"/>
      <c r="M270" s="12" t="n"/>
      <c r="N270" s="11" t="n"/>
      <c r="O270" s="10">
        <f>IF($N270="","",IFERROR(INDEX('PLA ESTRATÈGIC'!$G$4:$G$452,MATCH($N270,'PLA ESTRATÈGIC'!$Q$4:$Q$452,0)),""))</f>
        <v/>
      </c>
      <c r="P270" s="10">
        <f>IF($N270="","",IFERROR(INDEX('PLA ESTRATÈGIC'!$H$4:$H$452,MATCH($N270,'PLA ESTRATÈGIC'!$Q$4:$Q$452,0)),""))</f>
        <v/>
      </c>
      <c r="Q270" s="13" t="n"/>
      <c r="R270" s="11" t="n"/>
      <c r="S270" s="11" t="n"/>
      <c r="T270" s="11" t="n"/>
      <c r="U270" s="11" t="n"/>
      <c r="V270" s="10">
        <f>IF(COUNTA($C270,$D270,$J270,$M270)=0,"",IF(TRIM(IF($C270="","Falta l'actuació. ","")&amp;IF($D270="","Falta l'objectiu. ","")&amp;IF($J270="","Falta el tipus de despesa. ","")&amp;IF(AND($J270&lt;&gt;"",$J270&lt;&gt;"Mitjans propis",$J270&lt;&gt;"Altres",$M270=""),"Falta l'import. ","")&amp;IF(AND($J270="Contracte menor a càrrec del RAE",$K270=""),"Falta la partida RAE. ","")&amp;IF(AND($B270&lt;&gt;"",COUNTIF($B$6:$B$705,$B270)&gt;1),"Codi RAE repetit. ","")&amp;IF(AND($B270&lt;&gt;"",$J270&lt;&gt;"",$J270&lt;&gt;"Contracte menor a càrrec del RAE"),"Té codi RAE però no és de tipus RAE. ","")&amp;IF($N270="","Falta l'indicador del Pla. ","")&amp;IF($R270="","Falta el gestor. ","")&amp;IF($S270="","Falta indicar si és recurrent. ",""))="","✔",TRIM(IF($C270="","Falta l'actuació. ","")&amp;IF($D270="","Falta l'objectiu. ","")&amp;IF($J270="","Falta el tipus de despesa. ","")&amp;IF(AND($J270&lt;&gt;"",$J270&lt;&gt;"Mitjans propis",$J270&lt;&gt;"Altres",$M270=""),"Falta l'import. ","")&amp;IF(AND($J270="Contracte menor a càrrec del RAE",$K270=""),"Falta la partida RAE. ","")&amp;IF(AND($B270&lt;&gt;"",COUNTIF($B$6:$B$705,$B270)&gt;1),"Codi RAE repetit. ","")&amp;IF(AND($B270&lt;&gt;"",$J270&lt;&gt;"",$J270&lt;&gt;"Contracte menor a càrrec del RAE"),"Té codi RAE però no és de tipus RAE. ","")&amp;IF($N270="","Falta l'indicador del Pla. ","")&amp;IF($R270="","Falta el gestor. ","")&amp;IF($S270="","Falta indicar si és recurrent. ",""))))</f>
        <v/>
      </c>
    </row>
    <row r="271">
      <c r="A271" s="10">
        <f>IF($D271="","","27_"&amp;IFERROR(INDEX(Objectius!$E$2:$E$183,MATCH($D271,Objectius!$A$2:$A$183,0)),"??")&amp;"_"&amp;TEXT(COUNTIF($I$6:$I271,$I271),"00"))</f>
        <v/>
      </c>
      <c r="B271" s="11" t="n"/>
      <c r="C271" s="11" t="n"/>
      <c r="D271" s="11" t="n"/>
      <c r="E271" s="10">
        <f>IF($D271="","",IFERROR(INDEX(Objectius!$C$2:$C$183,MATCH($D271,Objectius!$A$2:$A$183,0)),"Objectiu no trobat al Pla"))</f>
        <v/>
      </c>
      <c r="F271" s="11" t="n"/>
      <c r="G271" s="11" t="n"/>
      <c r="H271" s="11" t="n"/>
      <c r="I271" s="10">
        <f>IF($D271="","",IFERROR(INDEX(Objectius!$D$2:$D$183,MATCH($D271,Objectius!$A$2:$A$183,0)),""))</f>
        <v/>
      </c>
      <c r="J271" s="11" t="n"/>
      <c r="K271" s="11" t="n"/>
      <c r="L271" s="11" t="n"/>
      <c r="M271" s="12" t="n"/>
      <c r="N271" s="11" t="n"/>
      <c r="O271" s="10">
        <f>IF($N271="","",IFERROR(INDEX('PLA ESTRATÈGIC'!$G$4:$G$452,MATCH($N271,'PLA ESTRATÈGIC'!$Q$4:$Q$452,0)),""))</f>
        <v/>
      </c>
      <c r="P271" s="10">
        <f>IF($N271="","",IFERROR(INDEX('PLA ESTRATÈGIC'!$H$4:$H$452,MATCH($N271,'PLA ESTRATÈGIC'!$Q$4:$Q$452,0)),""))</f>
        <v/>
      </c>
      <c r="Q271" s="13" t="n"/>
      <c r="R271" s="11" t="n"/>
      <c r="S271" s="11" t="n"/>
      <c r="T271" s="11" t="n"/>
      <c r="U271" s="11" t="n"/>
      <c r="V271" s="10">
        <f>IF(COUNTA($C271,$D271,$J271,$M271)=0,"",IF(TRIM(IF($C271="","Falta l'actuació. ","")&amp;IF($D271="","Falta l'objectiu. ","")&amp;IF($J271="","Falta el tipus de despesa. ","")&amp;IF(AND($J271&lt;&gt;"",$J271&lt;&gt;"Mitjans propis",$J271&lt;&gt;"Altres",$M271=""),"Falta l'import. ","")&amp;IF(AND($J271="Contracte menor a càrrec del RAE",$K271=""),"Falta la partida RAE. ","")&amp;IF(AND($B271&lt;&gt;"",COUNTIF($B$6:$B$705,$B271)&gt;1),"Codi RAE repetit. ","")&amp;IF(AND($B271&lt;&gt;"",$J271&lt;&gt;"",$J271&lt;&gt;"Contracte menor a càrrec del RAE"),"Té codi RAE però no és de tipus RAE. ","")&amp;IF($N271="","Falta l'indicador del Pla. ","")&amp;IF($R271="","Falta el gestor. ","")&amp;IF($S271="","Falta indicar si és recurrent. ",""))="","✔",TRIM(IF($C271="","Falta l'actuació. ","")&amp;IF($D271="","Falta l'objectiu. ","")&amp;IF($J271="","Falta el tipus de despesa. ","")&amp;IF(AND($J271&lt;&gt;"",$J271&lt;&gt;"Mitjans propis",$J271&lt;&gt;"Altres",$M271=""),"Falta l'import. ","")&amp;IF(AND($J271="Contracte menor a càrrec del RAE",$K271=""),"Falta la partida RAE. ","")&amp;IF(AND($B271&lt;&gt;"",COUNTIF($B$6:$B$705,$B271)&gt;1),"Codi RAE repetit. ","")&amp;IF(AND($B271&lt;&gt;"",$J271&lt;&gt;"",$J271&lt;&gt;"Contracte menor a càrrec del RAE"),"Té codi RAE però no és de tipus RAE. ","")&amp;IF($N271="","Falta l'indicador del Pla. ","")&amp;IF($R271="","Falta el gestor. ","")&amp;IF($S271="","Falta indicar si és recurrent. ",""))))</f>
        <v/>
      </c>
    </row>
    <row r="272">
      <c r="A272" s="10">
        <f>IF($D272="","","27_"&amp;IFERROR(INDEX(Objectius!$E$2:$E$183,MATCH($D272,Objectius!$A$2:$A$183,0)),"??")&amp;"_"&amp;TEXT(COUNTIF($I$6:$I272,$I272),"00"))</f>
        <v/>
      </c>
      <c r="B272" s="11" t="n"/>
      <c r="C272" s="11" t="n"/>
      <c r="D272" s="11" t="n"/>
      <c r="E272" s="10">
        <f>IF($D272="","",IFERROR(INDEX(Objectius!$C$2:$C$183,MATCH($D272,Objectius!$A$2:$A$183,0)),"Objectiu no trobat al Pla"))</f>
        <v/>
      </c>
      <c r="F272" s="11" t="n"/>
      <c r="G272" s="11" t="n"/>
      <c r="H272" s="11" t="n"/>
      <c r="I272" s="10">
        <f>IF($D272="","",IFERROR(INDEX(Objectius!$D$2:$D$183,MATCH($D272,Objectius!$A$2:$A$183,0)),""))</f>
        <v/>
      </c>
      <c r="J272" s="11" t="n"/>
      <c r="K272" s="11" t="n"/>
      <c r="L272" s="11" t="n"/>
      <c r="M272" s="12" t="n"/>
      <c r="N272" s="11" t="n"/>
      <c r="O272" s="10">
        <f>IF($N272="","",IFERROR(INDEX('PLA ESTRATÈGIC'!$G$4:$G$452,MATCH($N272,'PLA ESTRATÈGIC'!$Q$4:$Q$452,0)),""))</f>
        <v/>
      </c>
      <c r="P272" s="10">
        <f>IF($N272="","",IFERROR(INDEX('PLA ESTRATÈGIC'!$H$4:$H$452,MATCH($N272,'PLA ESTRATÈGIC'!$Q$4:$Q$452,0)),""))</f>
        <v/>
      </c>
      <c r="Q272" s="13" t="n"/>
      <c r="R272" s="11" t="n"/>
      <c r="S272" s="11" t="n"/>
      <c r="T272" s="11" t="n"/>
      <c r="U272" s="11" t="n"/>
      <c r="V272" s="10">
        <f>IF(COUNTA($C272,$D272,$J272,$M272)=0,"",IF(TRIM(IF($C272="","Falta l'actuació. ","")&amp;IF($D272="","Falta l'objectiu. ","")&amp;IF($J272="","Falta el tipus de despesa. ","")&amp;IF(AND($J272&lt;&gt;"",$J272&lt;&gt;"Mitjans propis",$J272&lt;&gt;"Altres",$M272=""),"Falta l'import. ","")&amp;IF(AND($J272="Contracte menor a càrrec del RAE",$K272=""),"Falta la partida RAE. ","")&amp;IF(AND($B272&lt;&gt;"",COUNTIF($B$6:$B$705,$B272)&gt;1),"Codi RAE repetit. ","")&amp;IF(AND($B272&lt;&gt;"",$J272&lt;&gt;"",$J272&lt;&gt;"Contracte menor a càrrec del RAE"),"Té codi RAE però no és de tipus RAE. ","")&amp;IF($N272="","Falta l'indicador del Pla. ","")&amp;IF($R272="","Falta el gestor. ","")&amp;IF($S272="","Falta indicar si és recurrent. ",""))="","✔",TRIM(IF($C272="","Falta l'actuació. ","")&amp;IF($D272="","Falta l'objectiu. ","")&amp;IF($J272="","Falta el tipus de despesa. ","")&amp;IF(AND($J272&lt;&gt;"",$J272&lt;&gt;"Mitjans propis",$J272&lt;&gt;"Altres",$M272=""),"Falta l'import. ","")&amp;IF(AND($J272="Contracte menor a càrrec del RAE",$K272=""),"Falta la partida RAE. ","")&amp;IF(AND($B272&lt;&gt;"",COUNTIF($B$6:$B$705,$B272)&gt;1),"Codi RAE repetit. ","")&amp;IF(AND($B272&lt;&gt;"",$J272&lt;&gt;"",$J272&lt;&gt;"Contracte menor a càrrec del RAE"),"Té codi RAE però no és de tipus RAE. ","")&amp;IF($N272="","Falta l'indicador del Pla. ","")&amp;IF($R272="","Falta el gestor. ","")&amp;IF($S272="","Falta indicar si és recurrent. ",""))))</f>
        <v/>
      </c>
    </row>
    <row r="273">
      <c r="A273" s="10">
        <f>IF($D273="","","27_"&amp;IFERROR(INDEX(Objectius!$E$2:$E$183,MATCH($D273,Objectius!$A$2:$A$183,0)),"??")&amp;"_"&amp;TEXT(COUNTIF($I$6:$I273,$I273),"00"))</f>
        <v/>
      </c>
      <c r="B273" s="11" t="n"/>
      <c r="C273" s="11" t="n"/>
      <c r="D273" s="11" t="n"/>
      <c r="E273" s="10">
        <f>IF($D273="","",IFERROR(INDEX(Objectius!$C$2:$C$183,MATCH($D273,Objectius!$A$2:$A$183,0)),"Objectiu no trobat al Pla"))</f>
        <v/>
      </c>
      <c r="F273" s="11" t="n"/>
      <c r="G273" s="11" t="n"/>
      <c r="H273" s="11" t="n"/>
      <c r="I273" s="10">
        <f>IF($D273="","",IFERROR(INDEX(Objectius!$D$2:$D$183,MATCH($D273,Objectius!$A$2:$A$183,0)),""))</f>
        <v/>
      </c>
      <c r="J273" s="11" t="n"/>
      <c r="K273" s="11" t="n"/>
      <c r="L273" s="11" t="n"/>
      <c r="M273" s="12" t="n"/>
      <c r="N273" s="11" t="n"/>
      <c r="O273" s="10">
        <f>IF($N273="","",IFERROR(INDEX('PLA ESTRATÈGIC'!$G$4:$G$452,MATCH($N273,'PLA ESTRATÈGIC'!$Q$4:$Q$452,0)),""))</f>
        <v/>
      </c>
      <c r="P273" s="10">
        <f>IF($N273="","",IFERROR(INDEX('PLA ESTRATÈGIC'!$H$4:$H$452,MATCH($N273,'PLA ESTRATÈGIC'!$Q$4:$Q$452,0)),""))</f>
        <v/>
      </c>
      <c r="Q273" s="13" t="n"/>
      <c r="R273" s="11" t="n"/>
      <c r="S273" s="11" t="n"/>
      <c r="T273" s="11" t="n"/>
      <c r="U273" s="11" t="n"/>
      <c r="V273" s="10">
        <f>IF(COUNTA($C273,$D273,$J273,$M273)=0,"",IF(TRIM(IF($C273="","Falta l'actuació. ","")&amp;IF($D273="","Falta l'objectiu. ","")&amp;IF($J273="","Falta el tipus de despesa. ","")&amp;IF(AND($J273&lt;&gt;"",$J273&lt;&gt;"Mitjans propis",$J273&lt;&gt;"Altres",$M273=""),"Falta l'import. ","")&amp;IF(AND($J273="Contracte menor a càrrec del RAE",$K273=""),"Falta la partida RAE. ","")&amp;IF(AND($B273&lt;&gt;"",COUNTIF($B$6:$B$705,$B273)&gt;1),"Codi RAE repetit. ","")&amp;IF(AND($B273&lt;&gt;"",$J273&lt;&gt;"",$J273&lt;&gt;"Contracte menor a càrrec del RAE"),"Té codi RAE però no és de tipus RAE. ","")&amp;IF($N273="","Falta l'indicador del Pla. ","")&amp;IF($R273="","Falta el gestor. ","")&amp;IF($S273="","Falta indicar si és recurrent. ",""))="","✔",TRIM(IF($C273="","Falta l'actuació. ","")&amp;IF($D273="","Falta l'objectiu. ","")&amp;IF($J273="","Falta el tipus de despesa. ","")&amp;IF(AND($J273&lt;&gt;"",$J273&lt;&gt;"Mitjans propis",$J273&lt;&gt;"Altres",$M273=""),"Falta l'import. ","")&amp;IF(AND($J273="Contracte menor a càrrec del RAE",$K273=""),"Falta la partida RAE. ","")&amp;IF(AND($B273&lt;&gt;"",COUNTIF($B$6:$B$705,$B273)&gt;1),"Codi RAE repetit. ","")&amp;IF(AND($B273&lt;&gt;"",$J273&lt;&gt;"",$J273&lt;&gt;"Contracte menor a càrrec del RAE"),"Té codi RAE però no és de tipus RAE. ","")&amp;IF($N273="","Falta l'indicador del Pla. ","")&amp;IF($R273="","Falta el gestor. ","")&amp;IF($S273="","Falta indicar si és recurrent. ",""))))</f>
        <v/>
      </c>
    </row>
    <row r="274">
      <c r="A274" s="10">
        <f>IF($D274="","","27_"&amp;IFERROR(INDEX(Objectius!$E$2:$E$183,MATCH($D274,Objectius!$A$2:$A$183,0)),"??")&amp;"_"&amp;TEXT(COUNTIF($I$6:$I274,$I274),"00"))</f>
        <v/>
      </c>
      <c r="B274" s="11" t="n"/>
      <c r="C274" s="11" t="n"/>
      <c r="D274" s="11" t="n"/>
      <c r="E274" s="10">
        <f>IF($D274="","",IFERROR(INDEX(Objectius!$C$2:$C$183,MATCH($D274,Objectius!$A$2:$A$183,0)),"Objectiu no trobat al Pla"))</f>
        <v/>
      </c>
      <c r="F274" s="11" t="n"/>
      <c r="G274" s="11" t="n"/>
      <c r="H274" s="11" t="n"/>
      <c r="I274" s="10">
        <f>IF($D274="","",IFERROR(INDEX(Objectius!$D$2:$D$183,MATCH($D274,Objectius!$A$2:$A$183,0)),""))</f>
        <v/>
      </c>
      <c r="J274" s="11" t="n"/>
      <c r="K274" s="11" t="n"/>
      <c r="L274" s="11" t="n"/>
      <c r="M274" s="12" t="n"/>
      <c r="N274" s="11" t="n"/>
      <c r="O274" s="10">
        <f>IF($N274="","",IFERROR(INDEX('PLA ESTRATÈGIC'!$G$4:$G$452,MATCH($N274,'PLA ESTRATÈGIC'!$Q$4:$Q$452,0)),""))</f>
        <v/>
      </c>
      <c r="P274" s="10">
        <f>IF($N274="","",IFERROR(INDEX('PLA ESTRATÈGIC'!$H$4:$H$452,MATCH($N274,'PLA ESTRATÈGIC'!$Q$4:$Q$452,0)),""))</f>
        <v/>
      </c>
      <c r="Q274" s="13" t="n"/>
      <c r="R274" s="11" t="n"/>
      <c r="S274" s="11" t="n"/>
      <c r="T274" s="11" t="n"/>
      <c r="U274" s="11" t="n"/>
      <c r="V274" s="10">
        <f>IF(COUNTA($C274,$D274,$J274,$M274)=0,"",IF(TRIM(IF($C274="","Falta l'actuació. ","")&amp;IF($D274="","Falta l'objectiu. ","")&amp;IF($J274="","Falta el tipus de despesa. ","")&amp;IF(AND($J274&lt;&gt;"",$J274&lt;&gt;"Mitjans propis",$J274&lt;&gt;"Altres",$M274=""),"Falta l'import. ","")&amp;IF(AND($J274="Contracte menor a càrrec del RAE",$K274=""),"Falta la partida RAE. ","")&amp;IF(AND($B274&lt;&gt;"",COUNTIF($B$6:$B$705,$B274)&gt;1),"Codi RAE repetit. ","")&amp;IF(AND($B274&lt;&gt;"",$J274&lt;&gt;"",$J274&lt;&gt;"Contracte menor a càrrec del RAE"),"Té codi RAE però no és de tipus RAE. ","")&amp;IF($N274="","Falta l'indicador del Pla. ","")&amp;IF($R274="","Falta el gestor. ","")&amp;IF($S274="","Falta indicar si és recurrent. ",""))="","✔",TRIM(IF($C274="","Falta l'actuació. ","")&amp;IF($D274="","Falta l'objectiu. ","")&amp;IF($J274="","Falta el tipus de despesa. ","")&amp;IF(AND($J274&lt;&gt;"",$J274&lt;&gt;"Mitjans propis",$J274&lt;&gt;"Altres",$M274=""),"Falta l'import. ","")&amp;IF(AND($J274="Contracte menor a càrrec del RAE",$K274=""),"Falta la partida RAE. ","")&amp;IF(AND($B274&lt;&gt;"",COUNTIF($B$6:$B$705,$B274)&gt;1),"Codi RAE repetit. ","")&amp;IF(AND($B274&lt;&gt;"",$J274&lt;&gt;"",$J274&lt;&gt;"Contracte menor a càrrec del RAE"),"Té codi RAE però no és de tipus RAE. ","")&amp;IF($N274="","Falta l'indicador del Pla. ","")&amp;IF($R274="","Falta el gestor. ","")&amp;IF($S274="","Falta indicar si és recurrent. ",""))))</f>
        <v/>
      </c>
    </row>
    <row r="275">
      <c r="A275" s="10">
        <f>IF($D275="","","27_"&amp;IFERROR(INDEX(Objectius!$E$2:$E$183,MATCH($D275,Objectius!$A$2:$A$183,0)),"??")&amp;"_"&amp;TEXT(COUNTIF($I$6:$I275,$I275),"00"))</f>
        <v/>
      </c>
      <c r="B275" s="11" t="n"/>
      <c r="C275" s="11" t="n"/>
      <c r="D275" s="11" t="n"/>
      <c r="E275" s="10">
        <f>IF($D275="","",IFERROR(INDEX(Objectius!$C$2:$C$183,MATCH($D275,Objectius!$A$2:$A$183,0)),"Objectiu no trobat al Pla"))</f>
        <v/>
      </c>
      <c r="F275" s="11" t="n"/>
      <c r="G275" s="11" t="n"/>
      <c r="H275" s="11" t="n"/>
      <c r="I275" s="10">
        <f>IF($D275="","",IFERROR(INDEX(Objectius!$D$2:$D$183,MATCH($D275,Objectius!$A$2:$A$183,0)),""))</f>
        <v/>
      </c>
      <c r="J275" s="11" t="n"/>
      <c r="K275" s="11" t="n"/>
      <c r="L275" s="11" t="n"/>
      <c r="M275" s="12" t="n"/>
      <c r="N275" s="11" t="n"/>
      <c r="O275" s="10">
        <f>IF($N275="","",IFERROR(INDEX('PLA ESTRATÈGIC'!$G$4:$G$452,MATCH($N275,'PLA ESTRATÈGIC'!$Q$4:$Q$452,0)),""))</f>
        <v/>
      </c>
      <c r="P275" s="10">
        <f>IF($N275="","",IFERROR(INDEX('PLA ESTRATÈGIC'!$H$4:$H$452,MATCH($N275,'PLA ESTRATÈGIC'!$Q$4:$Q$452,0)),""))</f>
        <v/>
      </c>
      <c r="Q275" s="13" t="n"/>
      <c r="R275" s="11" t="n"/>
      <c r="S275" s="11" t="n"/>
      <c r="T275" s="11" t="n"/>
      <c r="U275" s="11" t="n"/>
      <c r="V275" s="10">
        <f>IF(COUNTA($C275,$D275,$J275,$M275)=0,"",IF(TRIM(IF($C275="","Falta l'actuació. ","")&amp;IF($D275="","Falta l'objectiu. ","")&amp;IF($J275="","Falta el tipus de despesa. ","")&amp;IF(AND($J275&lt;&gt;"",$J275&lt;&gt;"Mitjans propis",$J275&lt;&gt;"Altres",$M275=""),"Falta l'import. ","")&amp;IF(AND($J275="Contracte menor a càrrec del RAE",$K275=""),"Falta la partida RAE. ","")&amp;IF(AND($B275&lt;&gt;"",COUNTIF($B$6:$B$705,$B275)&gt;1),"Codi RAE repetit. ","")&amp;IF(AND($B275&lt;&gt;"",$J275&lt;&gt;"",$J275&lt;&gt;"Contracte menor a càrrec del RAE"),"Té codi RAE però no és de tipus RAE. ","")&amp;IF($N275="","Falta l'indicador del Pla. ","")&amp;IF($R275="","Falta el gestor. ","")&amp;IF($S275="","Falta indicar si és recurrent. ",""))="","✔",TRIM(IF($C275="","Falta l'actuació. ","")&amp;IF($D275="","Falta l'objectiu. ","")&amp;IF($J275="","Falta el tipus de despesa. ","")&amp;IF(AND($J275&lt;&gt;"",$J275&lt;&gt;"Mitjans propis",$J275&lt;&gt;"Altres",$M275=""),"Falta l'import. ","")&amp;IF(AND($J275="Contracte menor a càrrec del RAE",$K275=""),"Falta la partida RAE. ","")&amp;IF(AND($B275&lt;&gt;"",COUNTIF($B$6:$B$705,$B275)&gt;1),"Codi RAE repetit. ","")&amp;IF(AND($B275&lt;&gt;"",$J275&lt;&gt;"",$J275&lt;&gt;"Contracte menor a càrrec del RAE"),"Té codi RAE però no és de tipus RAE. ","")&amp;IF($N275="","Falta l'indicador del Pla. ","")&amp;IF($R275="","Falta el gestor. ","")&amp;IF($S275="","Falta indicar si és recurrent. ",""))))</f>
        <v/>
      </c>
    </row>
    <row r="276">
      <c r="A276" s="10">
        <f>IF($D276="","","27_"&amp;IFERROR(INDEX(Objectius!$E$2:$E$183,MATCH($D276,Objectius!$A$2:$A$183,0)),"??")&amp;"_"&amp;TEXT(COUNTIF($I$6:$I276,$I276),"00"))</f>
        <v/>
      </c>
      <c r="B276" s="11" t="n"/>
      <c r="C276" s="11" t="n"/>
      <c r="D276" s="11" t="n"/>
      <c r="E276" s="10">
        <f>IF($D276="","",IFERROR(INDEX(Objectius!$C$2:$C$183,MATCH($D276,Objectius!$A$2:$A$183,0)),"Objectiu no trobat al Pla"))</f>
        <v/>
      </c>
      <c r="F276" s="11" t="n"/>
      <c r="G276" s="11" t="n"/>
      <c r="H276" s="11" t="n"/>
      <c r="I276" s="10">
        <f>IF($D276="","",IFERROR(INDEX(Objectius!$D$2:$D$183,MATCH($D276,Objectius!$A$2:$A$183,0)),""))</f>
        <v/>
      </c>
      <c r="J276" s="11" t="n"/>
      <c r="K276" s="11" t="n"/>
      <c r="L276" s="11" t="n"/>
      <c r="M276" s="12" t="n"/>
      <c r="N276" s="11" t="n"/>
      <c r="O276" s="10">
        <f>IF($N276="","",IFERROR(INDEX('PLA ESTRATÈGIC'!$G$4:$G$452,MATCH($N276,'PLA ESTRATÈGIC'!$Q$4:$Q$452,0)),""))</f>
        <v/>
      </c>
      <c r="P276" s="10">
        <f>IF($N276="","",IFERROR(INDEX('PLA ESTRATÈGIC'!$H$4:$H$452,MATCH($N276,'PLA ESTRATÈGIC'!$Q$4:$Q$452,0)),""))</f>
        <v/>
      </c>
      <c r="Q276" s="13" t="n"/>
      <c r="R276" s="11" t="n"/>
      <c r="S276" s="11" t="n"/>
      <c r="T276" s="11" t="n"/>
      <c r="U276" s="11" t="n"/>
      <c r="V276" s="10">
        <f>IF(COUNTA($C276,$D276,$J276,$M276)=0,"",IF(TRIM(IF($C276="","Falta l'actuació. ","")&amp;IF($D276="","Falta l'objectiu. ","")&amp;IF($J276="","Falta el tipus de despesa. ","")&amp;IF(AND($J276&lt;&gt;"",$J276&lt;&gt;"Mitjans propis",$J276&lt;&gt;"Altres",$M276=""),"Falta l'import. ","")&amp;IF(AND($J276="Contracte menor a càrrec del RAE",$K276=""),"Falta la partida RAE. ","")&amp;IF(AND($B276&lt;&gt;"",COUNTIF($B$6:$B$705,$B276)&gt;1),"Codi RAE repetit. ","")&amp;IF(AND($B276&lt;&gt;"",$J276&lt;&gt;"",$J276&lt;&gt;"Contracte menor a càrrec del RAE"),"Té codi RAE però no és de tipus RAE. ","")&amp;IF($N276="","Falta l'indicador del Pla. ","")&amp;IF($R276="","Falta el gestor. ","")&amp;IF($S276="","Falta indicar si és recurrent. ",""))="","✔",TRIM(IF($C276="","Falta l'actuació. ","")&amp;IF($D276="","Falta l'objectiu. ","")&amp;IF($J276="","Falta el tipus de despesa. ","")&amp;IF(AND($J276&lt;&gt;"",$J276&lt;&gt;"Mitjans propis",$J276&lt;&gt;"Altres",$M276=""),"Falta l'import. ","")&amp;IF(AND($J276="Contracte menor a càrrec del RAE",$K276=""),"Falta la partida RAE. ","")&amp;IF(AND($B276&lt;&gt;"",COUNTIF($B$6:$B$705,$B276)&gt;1),"Codi RAE repetit. ","")&amp;IF(AND($B276&lt;&gt;"",$J276&lt;&gt;"",$J276&lt;&gt;"Contracte menor a càrrec del RAE"),"Té codi RAE però no és de tipus RAE. ","")&amp;IF($N276="","Falta l'indicador del Pla. ","")&amp;IF($R276="","Falta el gestor. ","")&amp;IF($S276="","Falta indicar si és recurrent. ",""))))</f>
        <v/>
      </c>
    </row>
    <row r="277">
      <c r="A277" s="10">
        <f>IF($D277="","","27_"&amp;IFERROR(INDEX(Objectius!$E$2:$E$183,MATCH($D277,Objectius!$A$2:$A$183,0)),"??")&amp;"_"&amp;TEXT(COUNTIF($I$6:$I277,$I277),"00"))</f>
        <v/>
      </c>
      <c r="B277" s="11" t="n"/>
      <c r="C277" s="11" t="n"/>
      <c r="D277" s="11" t="n"/>
      <c r="E277" s="10">
        <f>IF($D277="","",IFERROR(INDEX(Objectius!$C$2:$C$183,MATCH($D277,Objectius!$A$2:$A$183,0)),"Objectiu no trobat al Pla"))</f>
        <v/>
      </c>
      <c r="F277" s="11" t="n"/>
      <c r="G277" s="11" t="n"/>
      <c r="H277" s="11" t="n"/>
      <c r="I277" s="10">
        <f>IF($D277="","",IFERROR(INDEX(Objectius!$D$2:$D$183,MATCH($D277,Objectius!$A$2:$A$183,0)),""))</f>
        <v/>
      </c>
      <c r="J277" s="11" t="n"/>
      <c r="K277" s="11" t="n"/>
      <c r="L277" s="11" t="n"/>
      <c r="M277" s="12" t="n"/>
      <c r="N277" s="11" t="n"/>
      <c r="O277" s="10">
        <f>IF($N277="","",IFERROR(INDEX('PLA ESTRATÈGIC'!$G$4:$G$452,MATCH($N277,'PLA ESTRATÈGIC'!$Q$4:$Q$452,0)),""))</f>
        <v/>
      </c>
      <c r="P277" s="10">
        <f>IF($N277="","",IFERROR(INDEX('PLA ESTRATÈGIC'!$H$4:$H$452,MATCH($N277,'PLA ESTRATÈGIC'!$Q$4:$Q$452,0)),""))</f>
        <v/>
      </c>
      <c r="Q277" s="13" t="n"/>
      <c r="R277" s="11" t="n"/>
      <c r="S277" s="11" t="n"/>
      <c r="T277" s="11" t="n"/>
      <c r="U277" s="11" t="n"/>
      <c r="V277" s="10">
        <f>IF(COUNTA($C277,$D277,$J277,$M277)=0,"",IF(TRIM(IF($C277="","Falta l'actuació. ","")&amp;IF($D277="","Falta l'objectiu. ","")&amp;IF($J277="","Falta el tipus de despesa. ","")&amp;IF(AND($J277&lt;&gt;"",$J277&lt;&gt;"Mitjans propis",$J277&lt;&gt;"Altres",$M277=""),"Falta l'import. ","")&amp;IF(AND($J277="Contracte menor a càrrec del RAE",$K277=""),"Falta la partida RAE. ","")&amp;IF(AND($B277&lt;&gt;"",COUNTIF($B$6:$B$705,$B277)&gt;1),"Codi RAE repetit. ","")&amp;IF(AND($B277&lt;&gt;"",$J277&lt;&gt;"",$J277&lt;&gt;"Contracte menor a càrrec del RAE"),"Té codi RAE però no és de tipus RAE. ","")&amp;IF($N277="","Falta l'indicador del Pla. ","")&amp;IF($R277="","Falta el gestor. ","")&amp;IF($S277="","Falta indicar si és recurrent. ",""))="","✔",TRIM(IF($C277="","Falta l'actuació. ","")&amp;IF($D277="","Falta l'objectiu. ","")&amp;IF($J277="","Falta el tipus de despesa. ","")&amp;IF(AND($J277&lt;&gt;"",$J277&lt;&gt;"Mitjans propis",$J277&lt;&gt;"Altres",$M277=""),"Falta l'import. ","")&amp;IF(AND($J277="Contracte menor a càrrec del RAE",$K277=""),"Falta la partida RAE. ","")&amp;IF(AND($B277&lt;&gt;"",COUNTIF($B$6:$B$705,$B277)&gt;1),"Codi RAE repetit. ","")&amp;IF(AND($B277&lt;&gt;"",$J277&lt;&gt;"",$J277&lt;&gt;"Contracte menor a càrrec del RAE"),"Té codi RAE però no és de tipus RAE. ","")&amp;IF($N277="","Falta l'indicador del Pla. ","")&amp;IF($R277="","Falta el gestor. ","")&amp;IF($S277="","Falta indicar si és recurrent. ",""))))</f>
        <v/>
      </c>
    </row>
    <row r="278">
      <c r="A278" s="10">
        <f>IF($D278="","","27_"&amp;IFERROR(INDEX(Objectius!$E$2:$E$183,MATCH($D278,Objectius!$A$2:$A$183,0)),"??")&amp;"_"&amp;TEXT(COUNTIF($I$6:$I278,$I278),"00"))</f>
        <v/>
      </c>
      <c r="B278" s="11" t="n"/>
      <c r="C278" s="11" t="n"/>
      <c r="D278" s="11" t="n"/>
      <c r="E278" s="10">
        <f>IF($D278="","",IFERROR(INDEX(Objectius!$C$2:$C$183,MATCH($D278,Objectius!$A$2:$A$183,0)),"Objectiu no trobat al Pla"))</f>
        <v/>
      </c>
      <c r="F278" s="11" t="n"/>
      <c r="G278" s="11" t="n"/>
      <c r="H278" s="11" t="n"/>
      <c r="I278" s="10">
        <f>IF($D278="","",IFERROR(INDEX(Objectius!$D$2:$D$183,MATCH($D278,Objectius!$A$2:$A$183,0)),""))</f>
        <v/>
      </c>
      <c r="J278" s="11" t="n"/>
      <c r="K278" s="11" t="n"/>
      <c r="L278" s="11" t="n"/>
      <c r="M278" s="12" t="n"/>
      <c r="N278" s="11" t="n"/>
      <c r="O278" s="10">
        <f>IF($N278="","",IFERROR(INDEX('PLA ESTRATÈGIC'!$G$4:$G$452,MATCH($N278,'PLA ESTRATÈGIC'!$Q$4:$Q$452,0)),""))</f>
        <v/>
      </c>
      <c r="P278" s="10">
        <f>IF($N278="","",IFERROR(INDEX('PLA ESTRATÈGIC'!$H$4:$H$452,MATCH($N278,'PLA ESTRATÈGIC'!$Q$4:$Q$452,0)),""))</f>
        <v/>
      </c>
      <c r="Q278" s="13" t="n"/>
      <c r="R278" s="11" t="n"/>
      <c r="S278" s="11" t="n"/>
      <c r="T278" s="11" t="n"/>
      <c r="U278" s="11" t="n"/>
      <c r="V278" s="10">
        <f>IF(COUNTA($C278,$D278,$J278,$M278)=0,"",IF(TRIM(IF($C278="","Falta l'actuació. ","")&amp;IF($D278="","Falta l'objectiu. ","")&amp;IF($J278="","Falta el tipus de despesa. ","")&amp;IF(AND($J278&lt;&gt;"",$J278&lt;&gt;"Mitjans propis",$J278&lt;&gt;"Altres",$M278=""),"Falta l'import. ","")&amp;IF(AND($J278="Contracte menor a càrrec del RAE",$K278=""),"Falta la partida RAE. ","")&amp;IF(AND($B278&lt;&gt;"",COUNTIF($B$6:$B$705,$B278)&gt;1),"Codi RAE repetit. ","")&amp;IF(AND($B278&lt;&gt;"",$J278&lt;&gt;"",$J278&lt;&gt;"Contracte menor a càrrec del RAE"),"Té codi RAE però no és de tipus RAE. ","")&amp;IF($N278="","Falta l'indicador del Pla. ","")&amp;IF($R278="","Falta el gestor. ","")&amp;IF($S278="","Falta indicar si és recurrent. ",""))="","✔",TRIM(IF($C278="","Falta l'actuació. ","")&amp;IF($D278="","Falta l'objectiu. ","")&amp;IF($J278="","Falta el tipus de despesa. ","")&amp;IF(AND($J278&lt;&gt;"",$J278&lt;&gt;"Mitjans propis",$J278&lt;&gt;"Altres",$M278=""),"Falta l'import. ","")&amp;IF(AND($J278="Contracte menor a càrrec del RAE",$K278=""),"Falta la partida RAE. ","")&amp;IF(AND($B278&lt;&gt;"",COUNTIF($B$6:$B$705,$B278)&gt;1),"Codi RAE repetit. ","")&amp;IF(AND($B278&lt;&gt;"",$J278&lt;&gt;"",$J278&lt;&gt;"Contracte menor a càrrec del RAE"),"Té codi RAE però no és de tipus RAE. ","")&amp;IF($N278="","Falta l'indicador del Pla. ","")&amp;IF($R278="","Falta el gestor. ","")&amp;IF($S278="","Falta indicar si és recurrent. ",""))))</f>
        <v/>
      </c>
    </row>
    <row r="279">
      <c r="A279" s="10">
        <f>IF($D279="","","27_"&amp;IFERROR(INDEX(Objectius!$E$2:$E$183,MATCH($D279,Objectius!$A$2:$A$183,0)),"??")&amp;"_"&amp;TEXT(COUNTIF($I$6:$I279,$I279),"00"))</f>
        <v/>
      </c>
      <c r="B279" s="11" t="n"/>
      <c r="C279" s="11" t="n"/>
      <c r="D279" s="11" t="n"/>
      <c r="E279" s="10">
        <f>IF($D279="","",IFERROR(INDEX(Objectius!$C$2:$C$183,MATCH($D279,Objectius!$A$2:$A$183,0)),"Objectiu no trobat al Pla"))</f>
        <v/>
      </c>
      <c r="F279" s="11" t="n"/>
      <c r="G279" s="11" t="n"/>
      <c r="H279" s="11" t="n"/>
      <c r="I279" s="10">
        <f>IF($D279="","",IFERROR(INDEX(Objectius!$D$2:$D$183,MATCH($D279,Objectius!$A$2:$A$183,0)),""))</f>
        <v/>
      </c>
      <c r="J279" s="11" t="n"/>
      <c r="K279" s="11" t="n"/>
      <c r="L279" s="11" t="n"/>
      <c r="M279" s="12" t="n"/>
      <c r="N279" s="11" t="n"/>
      <c r="O279" s="10">
        <f>IF($N279="","",IFERROR(INDEX('PLA ESTRATÈGIC'!$G$4:$G$452,MATCH($N279,'PLA ESTRATÈGIC'!$Q$4:$Q$452,0)),""))</f>
        <v/>
      </c>
      <c r="P279" s="10">
        <f>IF($N279="","",IFERROR(INDEX('PLA ESTRATÈGIC'!$H$4:$H$452,MATCH($N279,'PLA ESTRATÈGIC'!$Q$4:$Q$452,0)),""))</f>
        <v/>
      </c>
      <c r="Q279" s="13" t="n"/>
      <c r="R279" s="11" t="n"/>
      <c r="S279" s="11" t="n"/>
      <c r="T279" s="11" t="n"/>
      <c r="U279" s="11" t="n"/>
      <c r="V279" s="10">
        <f>IF(COUNTA($C279,$D279,$J279,$M279)=0,"",IF(TRIM(IF($C279="","Falta l'actuació. ","")&amp;IF($D279="","Falta l'objectiu. ","")&amp;IF($J279="","Falta el tipus de despesa. ","")&amp;IF(AND($J279&lt;&gt;"",$J279&lt;&gt;"Mitjans propis",$J279&lt;&gt;"Altres",$M279=""),"Falta l'import. ","")&amp;IF(AND($J279="Contracte menor a càrrec del RAE",$K279=""),"Falta la partida RAE. ","")&amp;IF(AND($B279&lt;&gt;"",COUNTIF($B$6:$B$705,$B279)&gt;1),"Codi RAE repetit. ","")&amp;IF(AND($B279&lt;&gt;"",$J279&lt;&gt;"",$J279&lt;&gt;"Contracte menor a càrrec del RAE"),"Té codi RAE però no és de tipus RAE. ","")&amp;IF($N279="","Falta l'indicador del Pla. ","")&amp;IF($R279="","Falta el gestor. ","")&amp;IF($S279="","Falta indicar si és recurrent. ",""))="","✔",TRIM(IF($C279="","Falta l'actuació. ","")&amp;IF($D279="","Falta l'objectiu. ","")&amp;IF($J279="","Falta el tipus de despesa. ","")&amp;IF(AND($J279&lt;&gt;"",$J279&lt;&gt;"Mitjans propis",$J279&lt;&gt;"Altres",$M279=""),"Falta l'import. ","")&amp;IF(AND($J279="Contracte menor a càrrec del RAE",$K279=""),"Falta la partida RAE. ","")&amp;IF(AND($B279&lt;&gt;"",COUNTIF($B$6:$B$705,$B279)&gt;1),"Codi RAE repetit. ","")&amp;IF(AND($B279&lt;&gt;"",$J279&lt;&gt;"",$J279&lt;&gt;"Contracte menor a càrrec del RAE"),"Té codi RAE però no és de tipus RAE. ","")&amp;IF($N279="","Falta l'indicador del Pla. ","")&amp;IF($R279="","Falta el gestor. ","")&amp;IF($S279="","Falta indicar si és recurrent. ",""))))</f>
        <v/>
      </c>
    </row>
    <row r="280">
      <c r="A280" s="10">
        <f>IF($D280="","","27_"&amp;IFERROR(INDEX(Objectius!$E$2:$E$183,MATCH($D280,Objectius!$A$2:$A$183,0)),"??")&amp;"_"&amp;TEXT(COUNTIF($I$6:$I280,$I280),"00"))</f>
        <v/>
      </c>
      <c r="B280" s="11" t="n"/>
      <c r="C280" s="11" t="n"/>
      <c r="D280" s="11" t="n"/>
      <c r="E280" s="10">
        <f>IF($D280="","",IFERROR(INDEX(Objectius!$C$2:$C$183,MATCH($D280,Objectius!$A$2:$A$183,0)),"Objectiu no trobat al Pla"))</f>
        <v/>
      </c>
      <c r="F280" s="11" t="n"/>
      <c r="G280" s="11" t="n"/>
      <c r="H280" s="11" t="n"/>
      <c r="I280" s="10">
        <f>IF($D280="","",IFERROR(INDEX(Objectius!$D$2:$D$183,MATCH($D280,Objectius!$A$2:$A$183,0)),""))</f>
        <v/>
      </c>
      <c r="J280" s="11" t="n"/>
      <c r="K280" s="11" t="n"/>
      <c r="L280" s="11" t="n"/>
      <c r="M280" s="12" t="n"/>
      <c r="N280" s="11" t="n"/>
      <c r="O280" s="10">
        <f>IF($N280="","",IFERROR(INDEX('PLA ESTRATÈGIC'!$G$4:$G$452,MATCH($N280,'PLA ESTRATÈGIC'!$Q$4:$Q$452,0)),""))</f>
        <v/>
      </c>
      <c r="P280" s="10">
        <f>IF($N280="","",IFERROR(INDEX('PLA ESTRATÈGIC'!$H$4:$H$452,MATCH($N280,'PLA ESTRATÈGIC'!$Q$4:$Q$452,0)),""))</f>
        <v/>
      </c>
      <c r="Q280" s="13" t="n"/>
      <c r="R280" s="11" t="n"/>
      <c r="S280" s="11" t="n"/>
      <c r="T280" s="11" t="n"/>
      <c r="U280" s="11" t="n"/>
      <c r="V280" s="10">
        <f>IF(COUNTA($C280,$D280,$J280,$M280)=0,"",IF(TRIM(IF($C280="","Falta l'actuació. ","")&amp;IF($D280="","Falta l'objectiu. ","")&amp;IF($J280="","Falta el tipus de despesa. ","")&amp;IF(AND($J280&lt;&gt;"",$J280&lt;&gt;"Mitjans propis",$J280&lt;&gt;"Altres",$M280=""),"Falta l'import. ","")&amp;IF(AND($J280="Contracte menor a càrrec del RAE",$K280=""),"Falta la partida RAE. ","")&amp;IF(AND($B280&lt;&gt;"",COUNTIF($B$6:$B$705,$B280)&gt;1),"Codi RAE repetit. ","")&amp;IF(AND($B280&lt;&gt;"",$J280&lt;&gt;"",$J280&lt;&gt;"Contracte menor a càrrec del RAE"),"Té codi RAE però no és de tipus RAE. ","")&amp;IF($N280="","Falta l'indicador del Pla. ","")&amp;IF($R280="","Falta el gestor. ","")&amp;IF($S280="","Falta indicar si és recurrent. ",""))="","✔",TRIM(IF($C280="","Falta l'actuació. ","")&amp;IF($D280="","Falta l'objectiu. ","")&amp;IF($J280="","Falta el tipus de despesa. ","")&amp;IF(AND($J280&lt;&gt;"",$J280&lt;&gt;"Mitjans propis",$J280&lt;&gt;"Altres",$M280=""),"Falta l'import. ","")&amp;IF(AND($J280="Contracte menor a càrrec del RAE",$K280=""),"Falta la partida RAE. ","")&amp;IF(AND($B280&lt;&gt;"",COUNTIF($B$6:$B$705,$B280)&gt;1),"Codi RAE repetit. ","")&amp;IF(AND($B280&lt;&gt;"",$J280&lt;&gt;"",$J280&lt;&gt;"Contracte menor a càrrec del RAE"),"Té codi RAE però no és de tipus RAE. ","")&amp;IF($N280="","Falta l'indicador del Pla. ","")&amp;IF($R280="","Falta el gestor. ","")&amp;IF($S280="","Falta indicar si és recurrent. ",""))))</f>
        <v/>
      </c>
    </row>
    <row r="281">
      <c r="A281" s="10">
        <f>IF($D281="","","27_"&amp;IFERROR(INDEX(Objectius!$E$2:$E$183,MATCH($D281,Objectius!$A$2:$A$183,0)),"??")&amp;"_"&amp;TEXT(COUNTIF($I$6:$I281,$I281),"00"))</f>
        <v/>
      </c>
      <c r="B281" s="11" t="n"/>
      <c r="C281" s="11" t="n"/>
      <c r="D281" s="11" t="n"/>
      <c r="E281" s="10">
        <f>IF($D281="","",IFERROR(INDEX(Objectius!$C$2:$C$183,MATCH($D281,Objectius!$A$2:$A$183,0)),"Objectiu no trobat al Pla"))</f>
        <v/>
      </c>
      <c r="F281" s="11" t="n"/>
      <c r="G281" s="11" t="n"/>
      <c r="H281" s="11" t="n"/>
      <c r="I281" s="10">
        <f>IF($D281="","",IFERROR(INDEX(Objectius!$D$2:$D$183,MATCH($D281,Objectius!$A$2:$A$183,0)),""))</f>
        <v/>
      </c>
      <c r="J281" s="11" t="n"/>
      <c r="K281" s="11" t="n"/>
      <c r="L281" s="11" t="n"/>
      <c r="M281" s="12" t="n"/>
      <c r="N281" s="11" t="n"/>
      <c r="O281" s="10">
        <f>IF($N281="","",IFERROR(INDEX('PLA ESTRATÈGIC'!$G$4:$G$452,MATCH($N281,'PLA ESTRATÈGIC'!$Q$4:$Q$452,0)),""))</f>
        <v/>
      </c>
      <c r="P281" s="10">
        <f>IF($N281="","",IFERROR(INDEX('PLA ESTRATÈGIC'!$H$4:$H$452,MATCH($N281,'PLA ESTRATÈGIC'!$Q$4:$Q$452,0)),""))</f>
        <v/>
      </c>
      <c r="Q281" s="13" t="n"/>
      <c r="R281" s="11" t="n"/>
      <c r="S281" s="11" t="n"/>
      <c r="T281" s="11" t="n"/>
      <c r="U281" s="11" t="n"/>
      <c r="V281" s="10">
        <f>IF(COUNTA($C281,$D281,$J281,$M281)=0,"",IF(TRIM(IF($C281="","Falta l'actuació. ","")&amp;IF($D281="","Falta l'objectiu. ","")&amp;IF($J281="","Falta el tipus de despesa. ","")&amp;IF(AND($J281&lt;&gt;"",$J281&lt;&gt;"Mitjans propis",$J281&lt;&gt;"Altres",$M281=""),"Falta l'import. ","")&amp;IF(AND($J281="Contracte menor a càrrec del RAE",$K281=""),"Falta la partida RAE. ","")&amp;IF(AND($B281&lt;&gt;"",COUNTIF($B$6:$B$705,$B281)&gt;1),"Codi RAE repetit. ","")&amp;IF(AND($B281&lt;&gt;"",$J281&lt;&gt;"",$J281&lt;&gt;"Contracte menor a càrrec del RAE"),"Té codi RAE però no és de tipus RAE. ","")&amp;IF($N281="","Falta l'indicador del Pla. ","")&amp;IF($R281="","Falta el gestor. ","")&amp;IF($S281="","Falta indicar si és recurrent. ",""))="","✔",TRIM(IF($C281="","Falta l'actuació. ","")&amp;IF($D281="","Falta l'objectiu. ","")&amp;IF($J281="","Falta el tipus de despesa. ","")&amp;IF(AND($J281&lt;&gt;"",$J281&lt;&gt;"Mitjans propis",$J281&lt;&gt;"Altres",$M281=""),"Falta l'import. ","")&amp;IF(AND($J281="Contracte menor a càrrec del RAE",$K281=""),"Falta la partida RAE. ","")&amp;IF(AND($B281&lt;&gt;"",COUNTIF($B$6:$B$705,$B281)&gt;1),"Codi RAE repetit. ","")&amp;IF(AND($B281&lt;&gt;"",$J281&lt;&gt;"",$J281&lt;&gt;"Contracte menor a càrrec del RAE"),"Té codi RAE però no és de tipus RAE. ","")&amp;IF($N281="","Falta l'indicador del Pla. ","")&amp;IF($R281="","Falta el gestor. ","")&amp;IF($S281="","Falta indicar si és recurrent. ",""))))</f>
        <v/>
      </c>
    </row>
    <row r="282">
      <c r="A282" s="10">
        <f>IF($D282="","","27_"&amp;IFERROR(INDEX(Objectius!$E$2:$E$183,MATCH($D282,Objectius!$A$2:$A$183,0)),"??")&amp;"_"&amp;TEXT(COUNTIF($I$6:$I282,$I282),"00"))</f>
        <v/>
      </c>
      <c r="B282" s="11" t="n"/>
      <c r="C282" s="11" t="n"/>
      <c r="D282" s="11" t="n"/>
      <c r="E282" s="10">
        <f>IF($D282="","",IFERROR(INDEX(Objectius!$C$2:$C$183,MATCH($D282,Objectius!$A$2:$A$183,0)),"Objectiu no trobat al Pla"))</f>
        <v/>
      </c>
      <c r="F282" s="11" t="n"/>
      <c r="G282" s="11" t="n"/>
      <c r="H282" s="11" t="n"/>
      <c r="I282" s="10">
        <f>IF($D282="","",IFERROR(INDEX(Objectius!$D$2:$D$183,MATCH($D282,Objectius!$A$2:$A$183,0)),""))</f>
        <v/>
      </c>
      <c r="J282" s="11" t="n"/>
      <c r="K282" s="11" t="n"/>
      <c r="L282" s="11" t="n"/>
      <c r="M282" s="12" t="n"/>
      <c r="N282" s="11" t="n"/>
      <c r="O282" s="10">
        <f>IF($N282="","",IFERROR(INDEX('PLA ESTRATÈGIC'!$G$4:$G$452,MATCH($N282,'PLA ESTRATÈGIC'!$Q$4:$Q$452,0)),""))</f>
        <v/>
      </c>
      <c r="P282" s="10">
        <f>IF($N282="","",IFERROR(INDEX('PLA ESTRATÈGIC'!$H$4:$H$452,MATCH($N282,'PLA ESTRATÈGIC'!$Q$4:$Q$452,0)),""))</f>
        <v/>
      </c>
      <c r="Q282" s="13" t="n"/>
      <c r="R282" s="11" t="n"/>
      <c r="S282" s="11" t="n"/>
      <c r="T282" s="11" t="n"/>
      <c r="U282" s="11" t="n"/>
      <c r="V282" s="10">
        <f>IF(COUNTA($C282,$D282,$J282,$M282)=0,"",IF(TRIM(IF($C282="","Falta l'actuació. ","")&amp;IF($D282="","Falta l'objectiu. ","")&amp;IF($J282="","Falta el tipus de despesa. ","")&amp;IF(AND($J282&lt;&gt;"",$J282&lt;&gt;"Mitjans propis",$J282&lt;&gt;"Altres",$M282=""),"Falta l'import. ","")&amp;IF(AND($J282="Contracte menor a càrrec del RAE",$K282=""),"Falta la partida RAE. ","")&amp;IF(AND($B282&lt;&gt;"",COUNTIF($B$6:$B$705,$B282)&gt;1),"Codi RAE repetit. ","")&amp;IF(AND($B282&lt;&gt;"",$J282&lt;&gt;"",$J282&lt;&gt;"Contracte menor a càrrec del RAE"),"Té codi RAE però no és de tipus RAE. ","")&amp;IF($N282="","Falta l'indicador del Pla. ","")&amp;IF($R282="","Falta el gestor. ","")&amp;IF($S282="","Falta indicar si és recurrent. ",""))="","✔",TRIM(IF($C282="","Falta l'actuació. ","")&amp;IF($D282="","Falta l'objectiu. ","")&amp;IF($J282="","Falta el tipus de despesa. ","")&amp;IF(AND($J282&lt;&gt;"",$J282&lt;&gt;"Mitjans propis",$J282&lt;&gt;"Altres",$M282=""),"Falta l'import. ","")&amp;IF(AND($J282="Contracte menor a càrrec del RAE",$K282=""),"Falta la partida RAE. ","")&amp;IF(AND($B282&lt;&gt;"",COUNTIF($B$6:$B$705,$B282)&gt;1),"Codi RAE repetit. ","")&amp;IF(AND($B282&lt;&gt;"",$J282&lt;&gt;"",$J282&lt;&gt;"Contracte menor a càrrec del RAE"),"Té codi RAE però no és de tipus RAE. ","")&amp;IF($N282="","Falta l'indicador del Pla. ","")&amp;IF($R282="","Falta el gestor. ","")&amp;IF($S282="","Falta indicar si és recurrent. ",""))))</f>
        <v/>
      </c>
    </row>
    <row r="283">
      <c r="A283" s="10">
        <f>IF($D283="","","27_"&amp;IFERROR(INDEX(Objectius!$E$2:$E$183,MATCH($D283,Objectius!$A$2:$A$183,0)),"??")&amp;"_"&amp;TEXT(COUNTIF($I$6:$I283,$I283),"00"))</f>
        <v/>
      </c>
      <c r="B283" s="11" t="n"/>
      <c r="C283" s="11" t="n"/>
      <c r="D283" s="11" t="n"/>
      <c r="E283" s="10">
        <f>IF($D283="","",IFERROR(INDEX(Objectius!$C$2:$C$183,MATCH($D283,Objectius!$A$2:$A$183,0)),"Objectiu no trobat al Pla"))</f>
        <v/>
      </c>
      <c r="F283" s="11" t="n"/>
      <c r="G283" s="11" t="n"/>
      <c r="H283" s="11" t="n"/>
      <c r="I283" s="10">
        <f>IF($D283="","",IFERROR(INDEX(Objectius!$D$2:$D$183,MATCH($D283,Objectius!$A$2:$A$183,0)),""))</f>
        <v/>
      </c>
      <c r="J283" s="11" t="n"/>
      <c r="K283" s="11" t="n"/>
      <c r="L283" s="11" t="n"/>
      <c r="M283" s="12" t="n"/>
      <c r="N283" s="11" t="n"/>
      <c r="O283" s="10">
        <f>IF($N283="","",IFERROR(INDEX('PLA ESTRATÈGIC'!$G$4:$G$452,MATCH($N283,'PLA ESTRATÈGIC'!$Q$4:$Q$452,0)),""))</f>
        <v/>
      </c>
      <c r="P283" s="10">
        <f>IF($N283="","",IFERROR(INDEX('PLA ESTRATÈGIC'!$H$4:$H$452,MATCH($N283,'PLA ESTRATÈGIC'!$Q$4:$Q$452,0)),""))</f>
        <v/>
      </c>
      <c r="Q283" s="13" t="n"/>
      <c r="R283" s="11" t="n"/>
      <c r="S283" s="11" t="n"/>
      <c r="T283" s="11" t="n"/>
      <c r="U283" s="11" t="n"/>
      <c r="V283" s="10">
        <f>IF(COUNTA($C283,$D283,$J283,$M283)=0,"",IF(TRIM(IF($C283="","Falta l'actuació. ","")&amp;IF($D283="","Falta l'objectiu. ","")&amp;IF($J283="","Falta el tipus de despesa. ","")&amp;IF(AND($J283&lt;&gt;"",$J283&lt;&gt;"Mitjans propis",$J283&lt;&gt;"Altres",$M283=""),"Falta l'import. ","")&amp;IF(AND($J283="Contracte menor a càrrec del RAE",$K283=""),"Falta la partida RAE. ","")&amp;IF(AND($B283&lt;&gt;"",COUNTIF($B$6:$B$705,$B283)&gt;1),"Codi RAE repetit. ","")&amp;IF(AND($B283&lt;&gt;"",$J283&lt;&gt;"",$J283&lt;&gt;"Contracte menor a càrrec del RAE"),"Té codi RAE però no és de tipus RAE. ","")&amp;IF($N283="","Falta l'indicador del Pla. ","")&amp;IF($R283="","Falta el gestor. ","")&amp;IF($S283="","Falta indicar si és recurrent. ",""))="","✔",TRIM(IF($C283="","Falta l'actuació. ","")&amp;IF($D283="","Falta l'objectiu. ","")&amp;IF($J283="","Falta el tipus de despesa. ","")&amp;IF(AND($J283&lt;&gt;"",$J283&lt;&gt;"Mitjans propis",$J283&lt;&gt;"Altres",$M283=""),"Falta l'import. ","")&amp;IF(AND($J283="Contracte menor a càrrec del RAE",$K283=""),"Falta la partida RAE. ","")&amp;IF(AND($B283&lt;&gt;"",COUNTIF($B$6:$B$705,$B283)&gt;1),"Codi RAE repetit. ","")&amp;IF(AND($B283&lt;&gt;"",$J283&lt;&gt;"",$J283&lt;&gt;"Contracte menor a càrrec del RAE"),"Té codi RAE però no és de tipus RAE. ","")&amp;IF($N283="","Falta l'indicador del Pla. ","")&amp;IF($R283="","Falta el gestor. ","")&amp;IF($S283="","Falta indicar si és recurrent. ",""))))</f>
        <v/>
      </c>
    </row>
    <row r="284">
      <c r="A284" s="10">
        <f>IF($D284="","","27_"&amp;IFERROR(INDEX(Objectius!$E$2:$E$183,MATCH($D284,Objectius!$A$2:$A$183,0)),"??")&amp;"_"&amp;TEXT(COUNTIF($I$6:$I284,$I284),"00"))</f>
        <v/>
      </c>
      <c r="B284" s="11" t="n"/>
      <c r="C284" s="11" t="n"/>
      <c r="D284" s="11" t="n"/>
      <c r="E284" s="10">
        <f>IF($D284="","",IFERROR(INDEX(Objectius!$C$2:$C$183,MATCH($D284,Objectius!$A$2:$A$183,0)),"Objectiu no trobat al Pla"))</f>
        <v/>
      </c>
      <c r="F284" s="11" t="n"/>
      <c r="G284" s="11" t="n"/>
      <c r="H284" s="11" t="n"/>
      <c r="I284" s="10">
        <f>IF($D284="","",IFERROR(INDEX(Objectius!$D$2:$D$183,MATCH($D284,Objectius!$A$2:$A$183,0)),""))</f>
        <v/>
      </c>
      <c r="J284" s="11" t="n"/>
      <c r="K284" s="11" t="n"/>
      <c r="L284" s="11" t="n"/>
      <c r="M284" s="12" t="n"/>
      <c r="N284" s="11" t="n"/>
      <c r="O284" s="10">
        <f>IF($N284="","",IFERROR(INDEX('PLA ESTRATÈGIC'!$G$4:$G$452,MATCH($N284,'PLA ESTRATÈGIC'!$Q$4:$Q$452,0)),""))</f>
        <v/>
      </c>
      <c r="P284" s="10">
        <f>IF($N284="","",IFERROR(INDEX('PLA ESTRATÈGIC'!$H$4:$H$452,MATCH($N284,'PLA ESTRATÈGIC'!$Q$4:$Q$452,0)),""))</f>
        <v/>
      </c>
      <c r="Q284" s="13" t="n"/>
      <c r="R284" s="11" t="n"/>
      <c r="S284" s="11" t="n"/>
      <c r="T284" s="11" t="n"/>
      <c r="U284" s="11" t="n"/>
      <c r="V284" s="10">
        <f>IF(COUNTA($C284,$D284,$J284,$M284)=0,"",IF(TRIM(IF($C284="","Falta l'actuació. ","")&amp;IF($D284="","Falta l'objectiu. ","")&amp;IF($J284="","Falta el tipus de despesa. ","")&amp;IF(AND($J284&lt;&gt;"",$J284&lt;&gt;"Mitjans propis",$J284&lt;&gt;"Altres",$M284=""),"Falta l'import. ","")&amp;IF(AND($J284="Contracte menor a càrrec del RAE",$K284=""),"Falta la partida RAE. ","")&amp;IF(AND($B284&lt;&gt;"",COUNTIF($B$6:$B$705,$B284)&gt;1),"Codi RAE repetit. ","")&amp;IF(AND($B284&lt;&gt;"",$J284&lt;&gt;"",$J284&lt;&gt;"Contracte menor a càrrec del RAE"),"Té codi RAE però no és de tipus RAE. ","")&amp;IF($N284="","Falta l'indicador del Pla. ","")&amp;IF($R284="","Falta el gestor. ","")&amp;IF($S284="","Falta indicar si és recurrent. ",""))="","✔",TRIM(IF($C284="","Falta l'actuació. ","")&amp;IF($D284="","Falta l'objectiu. ","")&amp;IF($J284="","Falta el tipus de despesa. ","")&amp;IF(AND($J284&lt;&gt;"",$J284&lt;&gt;"Mitjans propis",$J284&lt;&gt;"Altres",$M284=""),"Falta l'import. ","")&amp;IF(AND($J284="Contracte menor a càrrec del RAE",$K284=""),"Falta la partida RAE. ","")&amp;IF(AND($B284&lt;&gt;"",COUNTIF($B$6:$B$705,$B284)&gt;1),"Codi RAE repetit. ","")&amp;IF(AND($B284&lt;&gt;"",$J284&lt;&gt;"",$J284&lt;&gt;"Contracte menor a càrrec del RAE"),"Té codi RAE però no és de tipus RAE. ","")&amp;IF($N284="","Falta l'indicador del Pla. ","")&amp;IF($R284="","Falta el gestor. ","")&amp;IF($S284="","Falta indicar si és recurrent. ",""))))</f>
        <v/>
      </c>
    </row>
    <row r="285">
      <c r="A285" s="10">
        <f>IF($D285="","","27_"&amp;IFERROR(INDEX(Objectius!$E$2:$E$183,MATCH($D285,Objectius!$A$2:$A$183,0)),"??")&amp;"_"&amp;TEXT(COUNTIF($I$6:$I285,$I285),"00"))</f>
        <v/>
      </c>
      <c r="B285" s="11" t="n"/>
      <c r="C285" s="11" t="n"/>
      <c r="D285" s="11" t="n"/>
      <c r="E285" s="10">
        <f>IF($D285="","",IFERROR(INDEX(Objectius!$C$2:$C$183,MATCH($D285,Objectius!$A$2:$A$183,0)),"Objectiu no trobat al Pla"))</f>
        <v/>
      </c>
      <c r="F285" s="11" t="n"/>
      <c r="G285" s="11" t="n"/>
      <c r="H285" s="11" t="n"/>
      <c r="I285" s="10">
        <f>IF($D285="","",IFERROR(INDEX(Objectius!$D$2:$D$183,MATCH($D285,Objectius!$A$2:$A$183,0)),""))</f>
        <v/>
      </c>
      <c r="J285" s="11" t="n"/>
      <c r="K285" s="11" t="n"/>
      <c r="L285" s="11" t="n"/>
      <c r="M285" s="12" t="n"/>
      <c r="N285" s="11" t="n"/>
      <c r="O285" s="10">
        <f>IF($N285="","",IFERROR(INDEX('PLA ESTRATÈGIC'!$G$4:$G$452,MATCH($N285,'PLA ESTRATÈGIC'!$Q$4:$Q$452,0)),""))</f>
        <v/>
      </c>
      <c r="P285" s="10">
        <f>IF($N285="","",IFERROR(INDEX('PLA ESTRATÈGIC'!$H$4:$H$452,MATCH($N285,'PLA ESTRATÈGIC'!$Q$4:$Q$452,0)),""))</f>
        <v/>
      </c>
      <c r="Q285" s="13" t="n"/>
      <c r="R285" s="11" t="n"/>
      <c r="S285" s="11" t="n"/>
      <c r="T285" s="11" t="n"/>
      <c r="U285" s="11" t="n"/>
      <c r="V285" s="10">
        <f>IF(COUNTA($C285,$D285,$J285,$M285)=0,"",IF(TRIM(IF($C285="","Falta l'actuació. ","")&amp;IF($D285="","Falta l'objectiu. ","")&amp;IF($J285="","Falta el tipus de despesa. ","")&amp;IF(AND($J285&lt;&gt;"",$J285&lt;&gt;"Mitjans propis",$J285&lt;&gt;"Altres",$M285=""),"Falta l'import. ","")&amp;IF(AND($J285="Contracte menor a càrrec del RAE",$K285=""),"Falta la partida RAE. ","")&amp;IF(AND($B285&lt;&gt;"",COUNTIF($B$6:$B$705,$B285)&gt;1),"Codi RAE repetit. ","")&amp;IF(AND($B285&lt;&gt;"",$J285&lt;&gt;"",$J285&lt;&gt;"Contracte menor a càrrec del RAE"),"Té codi RAE però no és de tipus RAE. ","")&amp;IF($N285="","Falta l'indicador del Pla. ","")&amp;IF($R285="","Falta el gestor. ","")&amp;IF($S285="","Falta indicar si és recurrent. ",""))="","✔",TRIM(IF($C285="","Falta l'actuació. ","")&amp;IF($D285="","Falta l'objectiu. ","")&amp;IF($J285="","Falta el tipus de despesa. ","")&amp;IF(AND($J285&lt;&gt;"",$J285&lt;&gt;"Mitjans propis",$J285&lt;&gt;"Altres",$M285=""),"Falta l'import. ","")&amp;IF(AND($J285="Contracte menor a càrrec del RAE",$K285=""),"Falta la partida RAE. ","")&amp;IF(AND($B285&lt;&gt;"",COUNTIF($B$6:$B$705,$B285)&gt;1),"Codi RAE repetit. ","")&amp;IF(AND($B285&lt;&gt;"",$J285&lt;&gt;"",$J285&lt;&gt;"Contracte menor a càrrec del RAE"),"Té codi RAE però no és de tipus RAE. ","")&amp;IF($N285="","Falta l'indicador del Pla. ","")&amp;IF($R285="","Falta el gestor. ","")&amp;IF($S285="","Falta indicar si és recurrent. ",""))))</f>
        <v/>
      </c>
    </row>
    <row r="286">
      <c r="A286" s="10">
        <f>IF($D286="","","27_"&amp;IFERROR(INDEX(Objectius!$E$2:$E$183,MATCH($D286,Objectius!$A$2:$A$183,0)),"??")&amp;"_"&amp;TEXT(COUNTIF($I$6:$I286,$I286),"00"))</f>
        <v/>
      </c>
      <c r="B286" s="11" t="n"/>
      <c r="C286" s="11" t="n"/>
      <c r="D286" s="11" t="n"/>
      <c r="E286" s="10">
        <f>IF($D286="","",IFERROR(INDEX(Objectius!$C$2:$C$183,MATCH($D286,Objectius!$A$2:$A$183,0)),"Objectiu no trobat al Pla"))</f>
        <v/>
      </c>
      <c r="F286" s="11" t="n"/>
      <c r="G286" s="11" t="n"/>
      <c r="H286" s="11" t="n"/>
      <c r="I286" s="10">
        <f>IF($D286="","",IFERROR(INDEX(Objectius!$D$2:$D$183,MATCH($D286,Objectius!$A$2:$A$183,0)),""))</f>
        <v/>
      </c>
      <c r="J286" s="11" t="n"/>
      <c r="K286" s="11" t="n"/>
      <c r="L286" s="11" t="n"/>
      <c r="M286" s="12" t="n"/>
      <c r="N286" s="11" t="n"/>
      <c r="O286" s="10">
        <f>IF($N286="","",IFERROR(INDEX('PLA ESTRATÈGIC'!$G$4:$G$452,MATCH($N286,'PLA ESTRATÈGIC'!$Q$4:$Q$452,0)),""))</f>
        <v/>
      </c>
      <c r="P286" s="10">
        <f>IF($N286="","",IFERROR(INDEX('PLA ESTRATÈGIC'!$H$4:$H$452,MATCH($N286,'PLA ESTRATÈGIC'!$Q$4:$Q$452,0)),""))</f>
        <v/>
      </c>
      <c r="Q286" s="13" t="n"/>
      <c r="R286" s="11" t="n"/>
      <c r="S286" s="11" t="n"/>
      <c r="T286" s="11" t="n"/>
      <c r="U286" s="11" t="n"/>
      <c r="V286" s="10">
        <f>IF(COUNTA($C286,$D286,$J286,$M286)=0,"",IF(TRIM(IF($C286="","Falta l'actuació. ","")&amp;IF($D286="","Falta l'objectiu. ","")&amp;IF($J286="","Falta el tipus de despesa. ","")&amp;IF(AND($J286&lt;&gt;"",$J286&lt;&gt;"Mitjans propis",$J286&lt;&gt;"Altres",$M286=""),"Falta l'import. ","")&amp;IF(AND($J286="Contracte menor a càrrec del RAE",$K286=""),"Falta la partida RAE. ","")&amp;IF(AND($B286&lt;&gt;"",COUNTIF($B$6:$B$705,$B286)&gt;1),"Codi RAE repetit. ","")&amp;IF(AND($B286&lt;&gt;"",$J286&lt;&gt;"",$J286&lt;&gt;"Contracte menor a càrrec del RAE"),"Té codi RAE però no és de tipus RAE. ","")&amp;IF($N286="","Falta l'indicador del Pla. ","")&amp;IF($R286="","Falta el gestor. ","")&amp;IF($S286="","Falta indicar si és recurrent. ",""))="","✔",TRIM(IF($C286="","Falta l'actuació. ","")&amp;IF($D286="","Falta l'objectiu. ","")&amp;IF($J286="","Falta el tipus de despesa. ","")&amp;IF(AND($J286&lt;&gt;"",$J286&lt;&gt;"Mitjans propis",$J286&lt;&gt;"Altres",$M286=""),"Falta l'import. ","")&amp;IF(AND($J286="Contracte menor a càrrec del RAE",$K286=""),"Falta la partida RAE. ","")&amp;IF(AND($B286&lt;&gt;"",COUNTIF($B$6:$B$705,$B286)&gt;1),"Codi RAE repetit. ","")&amp;IF(AND($B286&lt;&gt;"",$J286&lt;&gt;"",$J286&lt;&gt;"Contracte menor a càrrec del RAE"),"Té codi RAE però no és de tipus RAE. ","")&amp;IF($N286="","Falta l'indicador del Pla. ","")&amp;IF($R286="","Falta el gestor. ","")&amp;IF($S286="","Falta indicar si és recurrent. ",""))))</f>
        <v/>
      </c>
    </row>
    <row r="287">
      <c r="A287" s="10">
        <f>IF($D287="","","27_"&amp;IFERROR(INDEX(Objectius!$E$2:$E$183,MATCH($D287,Objectius!$A$2:$A$183,0)),"??")&amp;"_"&amp;TEXT(COUNTIF($I$6:$I287,$I287),"00"))</f>
        <v/>
      </c>
      <c r="B287" s="11" t="n"/>
      <c r="C287" s="11" t="n"/>
      <c r="D287" s="11" t="n"/>
      <c r="E287" s="10">
        <f>IF($D287="","",IFERROR(INDEX(Objectius!$C$2:$C$183,MATCH($D287,Objectius!$A$2:$A$183,0)),"Objectiu no trobat al Pla"))</f>
        <v/>
      </c>
      <c r="F287" s="11" t="n"/>
      <c r="G287" s="11" t="n"/>
      <c r="H287" s="11" t="n"/>
      <c r="I287" s="10">
        <f>IF($D287="","",IFERROR(INDEX(Objectius!$D$2:$D$183,MATCH($D287,Objectius!$A$2:$A$183,0)),""))</f>
        <v/>
      </c>
      <c r="J287" s="11" t="n"/>
      <c r="K287" s="11" t="n"/>
      <c r="L287" s="11" t="n"/>
      <c r="M287" s="12" t="n"/>
      <c r="N287" s="11" t="n"/>
      <c r="O287" s="10">
        <f>IF($N287="","",IFERROR(INDEX('PLA ESTRATÈGIC'!$G$4:$G$452,MATCH($N287,'PLA ESTRATÈGIC'!$Q$4:$Q$452,0)),""))</f>
        <v/>
      </c>
      <c r="P287" s="10">
        <f>IF($N287="","",IFERROR(INDEX('PLA ESTRATÈGIC'!$H$4:$H$452,MATCH($N287,'PLA ESTRATÈGIC'!$Q$4:$Q$452,0)),""))</f>
        <v/>
      </c>
      <c r="Q287" s="13" t="n"/>
      <c r="R287" s="11" t="n"/>
      <c r="S287" s="11" t="n"/>
      <c r="T287" s="11" t="n"/>
      <c r="U287" s="11" t="n"/>
      <c r="V287" s="10">
        <f>IF(COUNTA($C287,$D287,$J287,$M287)=0,"",IF(TRIM(IF($C287="","Falta l'actuació. ","")&amp;IF($D287="","Falta l'objectiu. ","")&amp;IF($J287="","Falta el tipus de despesa. ","")&amp;IF(AND($J287&lt;&gt;"",$J287&lt;&gt;"Mitjans propis",$J287&lt;&gt;"Altres",$M287=""),"Falta l'import. ","")&amp;IF(AND($J287="Contracte menor a càrrec del RAE",$K287=""),"Falta la partida RAE. ","")&amp;IF(AND($B287&lt;&gt;"",COUNTIF($B$6:$B$705,$B287)&gt;1),"Codi RAE repetit. ","")&amp;IF(AND($B287&lt;&gt;"",$J287&lt;&gt;"",$J287&lt;&gt;"Contracte menor a càrrec del RAE"),"Té codi RAE però no és de tipus RAE. ","")&amp;IF($N287="","Falta l'indicador del Pla. ","")&amp;IF($R287="","Falta el gestor. ","")&amp;IF($S287="","Falta indicar si és recurrent. ",""))="","✔",TRIM(IF($C287="","Falta l'actuació. ","")&amp;IF($D287="","Falta l'objectiu. ","")&amp;IF($J287="","Falta el tipus de despesa. ","")&amp;IF(AND($J287&lt;&gt;"",$J287&lt;&gt;"Mitjans propis",$J287&lt;&gt;"Altres",$M287=""),"Falta l'import. ","")&amp;IF(AND($J287="Contracte menor a càrrec del RAE",$K287=""),"Falta la partida RAE. ","")&amp;IF(AND($B287&lt;&gt;"",COUNTIF($B$6:$B$705,$B287)&gt;1),"Codi RAE repetit. ","")&amp;IF(AND($B287&lt;&gt;"",$J287&lt;&gt;"",$J287&lt;&gt;"Contracte menor a càrrec del RAE"),"Té codi RAE però no és de tipus RAE. ","")&amp;IF($N287="","Falta l'indicador del Pla. ","")&amp;IF($R287="","Falta el gestor. ","")&amp;IF($S287="","Falta indicar si és recurrent. ",""))))</f>
        <v/>
      </c>
    </row>
    <row r="288">
      <c r="A288" s="10">
        <f>IF($D288="","","27_"&amp;IFERROR(INDEX(Objectius!$E$2:$E$183,MATCH($D288,Objectius!$A$2:$A$183,0)),"??")&amp;"_"&amp;TEXT(COUNTIF($I$6:$I288,$I288),"00"))</f>
        <v/>
      </c>
      <c r="B288" s="11" t="n"/>
      <c r="C288" s="11" t="n"/>
      <c r="D288" s="11" t="n"/>
      <c r="E288" s="10">
        <f>IF($D288="","",IFERROR(INDEX(Objectius!$C$2:$C$183,MATCH($D288,Objectius!$A$2:$A$183,0)),"Objectiu no trobat al Pla"))</f>
        <v/>
      </c>
      <c r="F288" s="11" t="n"/>
      <c r="G288" s="11" t="n"/>
      <c r="H288" s="11" t="n"/>
      <c r="I288" s="10">
        <f>IF($D288="","",IFERROR(INDEX(Objectius!$D$2:$D$183,MATCH($D288,Objectius!$A$2:$A$183,0)),""))</f>
        <v/>
      </c>
      <c r="J288" s="11" t="n"/>
      <c r="K288" s="11" t="n"/>
      <c r="L288" s="11" t="n"/>
      <c r="M288" s="12" t="n"/>
      <c r="N288" s="11" t="n"/>
      <c r="O288" s="10">
        <f>IF($N288="","",IFERROR(INDEX('PLA ESTRATÈGIC'!$G$4:$G$452,MATCH($N288,'PLA ESTRATÈGIC'!$Q$4:$Q$452,0)),""))</f>
        <v/>
      </c>
      <c r="P288" s="10">
        <f>IF($N288="","",IFERROR(INDEX('PLA ESTRATÈGIC'!$H$4:$H$452,MATCH($N288,'PLA ESTRATÈGIC'!$Q$4:$Q$452,0)),""))</f>
        <v/>
      </c>
      <c r="Q288" s="13" t="n"/>
      <c r="R288" s="11" t="n"/>
      <c r="S288" s="11" t="n"/>
      <c r="T288" s="11" t="n"/>
      <c r="U288" s="11" t="n"/>
      <c r="V288" s="10">
        <f>IF(COUNTA($C288,$D288,$J288,$M288)=0,"",IF(TRIM(IF($C288="","Falta l'actuació. ","")&amp;IF($D288="","Falta l'objectiu. ","")&amp;IF($J288="","Falta el tipus de despesa. ","")&amp;IF(AND($J288&lt;&gt;"",$J288&lt;&gt;"Mitjans propis",$J288&lt;&gt;"Altres",$M288=""),"Falta l'import. ","")&amp;IF(AND($J288="Contracte menor a càrrec del RAE",$K288=""),"Falta la partida RAE. ","")&amp;IF(AND($B288&lt;&gt;"",COUNTIF($B$6:$B$705,$B288)&gt;1),"Codi RAE repetit. ","")&amp;IF(AND($B288&lt;&gt;"",$J288&lt;&gt;"",$J288&lt;&gt;"Contracte menor a càrrec del RAE"),"Té codi RAE però no és de tipus RAE. ","")&amp;IF($N288="","Falta l'indicador del Pla. ","")&amp;IF($R288="","Falta el gestor. ","")&amp;IF($S288="","Falta indicar si és recurrent. ",""))="","✔",TRIM(IF($C288="","Falta l'actuació. ","")&amp;IF($D288="","Falta l'objectiu. ","")&amp;IF($J288="","Falta el tipus de despesa. ","")&amp;IF(AND($J288&lt;&gt;"",$J288&lt;&gt;"Mitjans propis",$J288&lt;&gt;"Altres",$M288=""),"Falta l'import. ","")&amp;IF(AND($J288="Contracte menor a càrrec del RAE",$K288=""),"Falta la partida RAE. ","")&amp;IF(AND($B288&lt;&gt;"",COUNTIF($B$6:$B$705,$B288)&gt;1),"Codi RAE repetit. ","")&amp;IF(AND($B288&lt;&gt;"",$J288&lt;&gt;"",$J288&lt;&gt;"Contracte menor a càrrec del RAE"),"Té codi RAE però no és de tipus RAE. ","")&amp;IF($N288="","Falta l'indicador del Pla. ","")&amp;IF($R288="","Falta el gestor. ","")&amp;IF($S288="","Falta indicar si és recurrent. ",""))))</f>
        <v/>
      </c>
    </row>
    <row r="289">
      <c r="A289" s="10">
        <f>IF($D289="","","27_"&amp;IFERROR(INDEX(Objectius!$E$2:$E$183,MATCH($D289,Objectius!$A$2:$A$183,0)),"??")&amp;"_"&amp;TEXT(COUNTIF($I$6:$I289,$I289),"00"))</f>
        <v/>
      </c>
      <c r="B289" s="11" t="n"/>
      <c r="C289" s="11" t="n"/>
      <c r="D289" s="11" t="n"/>
      <c r="E289" s="10">
        <f>IF($D289="","",IFERROR(INDEX(Objectius!$C$2:$C$183,MATCH($D289,Objectius!$A$2:$A$183,0)),"Objectiu no trobat al Pla"))</f>
        <v/>
      </c>
      <c r="F289" s="11" t="n"/>
      <c r="G289" s="11" t="n"/>
      <c r="H289" s="11" t="n"/>
      <c r="I289" s="10">
        <f>IF($D289="","",IFERROR(INDEX(Objectius!$D$2:$D$183,MATCH($D289,Objectius!$A$2:$A$183,0)),""))</f>
        <v/>
      </c>
      <c r="J289" s="11" t="n"/>
      <c r="K289" s="11" t="n"/>
      <c r="L289" s="11" t="n"/>
      <c r="M289" s="12" t="n"/>
      <c r="N289" s="11" t="n"/>
      <c r="O289" s="10">
        <f>IF($N289="","",IFERROR(INDEX('PLA ESTRATÈGIC'!$G$4:$G$452,MATCH($N289,'PLA ESTRATÈGIC'!$Q$4:$Q$452,0)),""))</f>
        <v/>
      </c>
      <c r="P289" s="10">
        <f>IF($N289="","",IFERROR(INDEX('PLA ESTRATÈGIC'!$H$4:$H$452,MATCH($N289,'PLA ESTRATÈGIC'!$Q$4:$Q$452,0)),""))</f>
        <v/>
      </c>
      <c r="Q289" s="13" t="n"/>
      <c r="R289" s="11" t="n"/>
      <c r="S289" s="11" t="n"/>
      <c r="T289" s="11" t="n"/>
      <c r="U289" s="11" t="n"/>
      <c r="V289" s="10">
        <f>IF(COUNTA($C289,$D289,$J289,$M289)=0,"",IF(TRIM(IF($C289="","Falta l'actuació. ","")&amp;IF($D289="","Falta l'objectiu. ","")&amp;IF($J289="","Falta el tipus de despesa. ","")&amp;IF(AND($J289&lt;&gt;"",$J289&lt;&gt;"Mitjans propis",$J289&lt;&gt;"Altres",$M289=""),"Falta l'import. ","")&amp;IF(AND($J289="Contracte menor a càrrec del RAE",$K289=""),"Falta la partida RAE. ","")&amp;IF(AND($B289&lt;&gt;"",COUNTIF($B$6:$B$705,$B289)&gt;1),"Codi RAE repetit. ","")&amp;IF(AND($B289&lt;&gt;"",$J289&lt;&gt;"",$J289&lt;&gt;"Contracte menor a càrrec del RAE"),"Té codi RAE però no és de tipus RAE. ","")&amp;IF($N289="","Falta l'indicador del Pla. ","")&amp;IF($R289="","Falta el gestor. ","")&amp;IF($S289="","Falta indicar si és recurrent. ",""))="","✔",TRIM(IF($C289="","Falta l'actuació. ","")&amp;IF($D289="","Falta l'objectiu. ","")&amp;IF($J289="","Falta el tipus de despesa. ","")&amp;IF(AND($J289&lt;&gt;"",$J289&lt;&gt;"Mitjans propis",$J289&lt;&gt;"Altres",$M289=""),"Falta l'import. ","")&amp;IF(AND($J289="Contracte menor a càrrec del RAE",$K289=""),"Falta la partida RAE. ","")&amp;IF(AND($B289&lt;&gt;"",COUNTIF($B$6:$B$705,$B289)&gt;1),"Codi RAE repetit. ","")&amp;IF(AND($B289&lt;&gt;"",$J289&lt;&gt;"",$J289&lt;&gt;"Contracte menor a càrrec del RAE"),"Té codi RAE però no és de tipus RAE. ","")&amp;IF($N289="","Falta l'indicador del Pla. ","")&amp;IF($R289="","Falta el gestor. ","")&amp;IF($S289="","Falta indicar si és recurrent. ",""))))</f>
        <v/>
      </c>
    </row>
    <row r="290">
      <c r="A290" s="10">
        <f>IF($D290="","","27_"&amp;IFERROR(INDEX(Objectius!$E$2:$E$183,MATCH($D290,Objectius!$A$2:$A$183,0)),"??")&amp;"_"&amp;TEXT(COUNTIF($I$6:$I290,$I290),"00"))</f>
        <v/>
      </c>
      <c r="B290" s="11" t="n"/>
      <c r="C290" s="11" t="n"/>
      <c r="D290" s="11" t="n"/>
      <c r="E290" s="10">
        <f>IF($D290="","",IFERROR(INDEX(Objectius!$C$2:$C$183,MATCH($D290,Objectius!$A$2:$A$183,0)),"Objectiu no trobat al Pla"))</f>
        <v/>
      </c>
      <c r="F290" s="11" t="n"/>
      <c r="G290" s="11" t="n"/>
      <c r="H290" s="11" t="n"/>
      <c r="I290" s="10">
        <f>IF($D290="","",IFERROR(INDEX(Objectius!$D$2:$D$183,MATCH($D290,Objectius!$A$2:$A$183,0)),""))</f>
        <v/>
      </c>
      <c r="J290" s="11" t="n"/>
      <c r="K290" s="11" t="n"/>
      <c r="L290" s="11" t="n"/>
      <c r="M290" s="12" t="n"/>
      <c r="N290" s="11" t="n"/>
      <c r="O290" s="10">
        <f>IF($N290="","",IFERROR(INDEX('PLA ESTRATÈGIC'!$G$4:$G$452,MATCH($N290,'PLA ESTRATÈGIC'!$Q$4:$Q$452,0)),""))</f>
        <v/>
      </c>
      <c r="P290" s="10">
        <f>IF($N290="","",IFERROR(INDEX('PLA ESTRATÈGIC'!$H$4:$H$452,MATCH($N290,'PLA ESTRATÈGIC'!$Q$4:$Q$452,0)),""))</f>
        <v/>
      </c>
      <c r="Q290" s="13" t="n"/>
      <c r="R290" s="11" t="n"/>
      <c r="S290" s="11" t="n"/>
      <c r="T290" s="11" t="n"/>
      <c r="U290" s="11" t="n"/>
      <c r="V290" s="10">
        <f>IF(COUNTA($C290,$D290,$J290,$M290)=0,"",IF(TRIM(IF($C290="","Falta l'actuació. ","")&amp;IF($D290="","Falta l'objectiu. ","")&amp;IF($J290="","Falta el tipus de despesa. ","")&amp;IF(AND($J290&lt;&gt;"",$J290&lt;&gt;"Mitjans propis",$J290&lt;&gt;"Altres",$M290=""),"Falta l'import. ","")&amp;IF(AND($J290="Contracte menor a càrrec del RAE",$K290=""),"Falta la partida RAE. ","")&amp;IF(AND($B290&lt;&gt;"",COUNTIF($B$6:$B$705,$B290)&gt;1),"Codi RAE repetit. ","")&amp;IF(AND($B290&lt;&gt;"",$J290&lt;&gt;"",$J290&lt;&gt;"Contracte menor a càrrec del RAE"),"Té codi RAE però no és de tipus RAE. ","")&amp;IF($N290="","Falta l'indicador del Pla. ","")&amp;IF($R290="","Falta el gestor. ","")&amp;IF($S290="","Falta indicar si és recurrent. ",""))="","✔",TRIM(IF($C290="","Falta l'actuació. ","")&amp;IF($D290="","Falta l'objectiu. ","")&amp;IF($J290="","Falta el tipus de despesa. ","")&amp;IF(AND($J290&lt;&gt;"",$J290&lt;&gt;"Mitjans propis",$J290&lt;&gt;"Altres",$M290=""),"Falta l'import. ","")&amp;IF(AND($J290="Contracte menor a càrrec del RAE",$K290=""),"Falta la partida RAE. ","")&amp;IF(AND($B290&lt;&gt;"",COUNTIF($B$6:$B$705,$B290)&gt;1),"Codi RAE repetit. ","")&amp;IF(AND($B290&lt;&gt;"",$J290&lt;&gt;"",$J290&lt;&gt;"Contracte menor a càrrec del RAE"),"Té codi RAE però no és de tipus RAE. ","")&amp;IF($N290="","Falta l'indicador del Pla. ","")&amp;IF($R290="","Falta el gestor. ","")&amp;IF($S290="","Falta indicar si és recurrent. ",""))))</f>
        <v/>
      </c>
    </row>
    <row r="291">
      <c r="A291" s="10">
        <f>IF($D291="","","27_"&amp;IFERROR(INDEX(Objectius!$E$2:$E$183,MATCH($D291,Objectius!$A$2:$A$183,0)),"??")&amp;"_"&amp;TEXT(COUNTIF($I$6:$I291,$I291),"00"))</f>
        <v/>
      </c>
      <c r="B291" s="11" t="n"/>
      <c r="C291" s="11" t="n"/>
      <c r="D291" s="11" t="n"/>
      <c r="E291" s="10">
        <f>IF($D291="","",IFERROR(INDEX(Objectius!$C$2:$C$183,MATCH($D291,Objectius!$A$2:$A$183,0)),"Objectiu no trobat al Pla"))</f>
        <v/>
      </c>
      <c r="F291" s="11" t="n"/>
      <c r="G291" s="11" t="n"/>
      <c r="H291" s="11" t="n"/>
      <c r="I291" s="10">
        <f>IF($D291="","",IFERROR(INDEX(Objectius!$D$2:$D$183,MATCH($D291,Objectius!$A$2:$A$183,0)),""))</f>
        <v/>
      </c>
      <c r="J291" s="11" t="n"/>
      <c r="K291" s="11" t="n"/>
      <c r="L291" s="11" t="n"/>
      <c r="M291" s="12" t="n"/>
      <c r="N291" s="11" t="n"/>
      <c r="O291" s="10">
        <f>IF($N291="","",IFERROR(INDEX('PLA ESTRATÈGIC'!$G$4:$G$452,MATCH($N291,'PLA ESTRATÈGIC'!$Q$4:$Q$452,0)),""))</f>
        <v/>
      </c>
      <c r="P291" s="10">
        <f>IF($N291="","",IFERROR(INDEX('PLA ESTRATÈGIC'!$H$4:$H$452,MATCH($N291,'PLA ESTRATÈGIC'!$Q$4:$Q$452,0)),""))</f>
        <v/>
      </c>
      <c r="Q291" s="13" t="n"/>
      <c r="R291" s="11" t="n"/>
      <c r="S291" s="11" t="n"/>
      <c r="T291" s="11" t="n"/>
      <c r="U291" s="11" t="n"/>
      <c r="V291" s="10">
        <f>IF(COUNTA($C291,$D291,$J291,$M291)=0,"",IF(TRIM(IF($C291="","Falta l'actuació. ","")&amp;IF($D291="","Falta l'objectiu. ","")&amp;IF($J291="","Falta el tipus de despesa. ","")&amp;IF(AND($J291&lt;&gt;"",$J291&lt;&gt;"Mitjans propis",$J291&lt;&gt;"Altres",$M291=""),"Falta l'import. ","")&amp;IF(AND($J291="Contracte menor a càrrec del RAE",$K291=""),"Falta la partida RAE. ","")&amp;IF(AND($B291&lt;&gt;"",COUNTIF($B$6:$B$705,$B291)&gt;1),"Codi RAE repetit. ","")&amp;IF(AND($B291&lt;&gt;"",$J291&lt;&gt;"",$J291&lt;&gt;"Contracte menor a càrrec del RAE"),"Té codi RAE però no és de tipus RAE. ","")&amp;IF($N291="","Falta l'indicador del Pla. ","")&amp;IF($R291="","Falta el gestor. ","")&amp;IF($S291="","Falta indicar si és recurrent. ",""))="","✔",TRIM(IF($C291="","Falta l'actuació. ","")&amp;IF($D291="","Falta l'objectiu. ","")&amp;IF($J291="","Falta el tipus de despesa. ","")&amp;IF(AND($J291&lt;&gt;"",$J291&lt;&gt;"Mitjans propis",$J291&lt;&gt;"Altres",$M291=""),"Falta l'import. ","")&amp;IF(AND($J291="Contracte menor a càrrec del RAE",$K291=""),"Falta la partida RAE. ","")&amp;IF(AND($B291&lt;&gt;"",COUNTIF($B$6:$B$705,$B291)&gt;1),"Codi RAE repetit. ","")&amp;IF(AND($B291&lt;&gt;"",$J291&lt;&gt;"",$J291&lt;&gt;"Contracte menor a càrrec del RAE"),"Té codi RAE però no és de tipus RAE. ","")&amp;IF($N291="","Falta l'indicador del Pla. ","")&amp;IF($R291="","Falta el gestor. ","")&amp;IF($S291="","Falta indicar si és recurrent. ",""))))</f>
        <v/>
      </c>
    </row>
    <row r="292">
      <c r="A292" s="10">
        <f>IF($D292="","","27_"&amp;IFERROR(INDEX(Objectius!$E$2:$E$183,MATCH($D292,Objectius!$A$2:$A$183,0)),"??")&amp;"_"&amp;TEXT(COUNTIF($I$6:$I292,$I292),"00"))</f>
        <v/>
      </c>
      <c r="B292" s="11" t="n"/>
      <c r="C292" s="11" t="n"/>
      <c r="D292" s="11" t="n"/>
      <c r="E292" s="10">
        <f>IF($D292="","",IFERROR(INDEX(Objectius!$C$2:$C$183,MATCH($D292,Objectius!$A$2:$A$183,0)),"Objectiu no trobat al Pla"))</f>
        <v/>
      </c>
      <c r="F292" s="11" t="n"/>
      <c r="G292" s="11" t="n"/>
      <c r="H292" s="11" t="n"/>
      <c r="I292" s="10">
        <f>IF($D292="","",IFERROR(INDEX(Objectius!$D$2:$D$183,MATCH($D292,Objectius!$A$2:$A$183,0)),""))</f>
        <v/>
      </c>
      <c r="J292" s="11" t="n"/>
      <c r="K292" s="11" t="n"/>
      <c r="L292" s="11" t="n"/>
      <c r="M292" s="12" t="n"/>
      <c r="N292" s="11" t="n"/>
      <c r="O292" s="10">
        <f>IF($N292="","",IFERROR(INDEX('PLA ESTRATÈGIC'!$G$4:$G$452,MATCH($N292,'PLA ESTRATÈGIC'!$Q$4:$Q$452,0)),""))</f>
        <v/>
      </c>
      <c r="P292" s="10">
        <f>IF($N292="","",IFERROR(INDEX('PLA ESTRATÈGIC'!$H$4:$H$452,MATCH($N292,'PLA ESTRATÈGIC'!$Q$4:$Q$452,0)),""))</f>
        <v/>
      </c>
      <c r="Q292" s="13" t="n"/>
      <c r="R292" s="11" t="n"/>
      <c r="S292" s="11" t="n"/>
      <c r="T292" s="11" t="n"/>
      <c r="U292" s="11" t="n"/>
      <c r="V292" s="10">
        <f>IF(COUNTA($C292,$D292,$J292,$M292)=0,"",IF(TRIM(IF($C292="","Falta l'actuació. ","")&amp;IF($D292="","Falta l'objectiu. ","")&amp;IF($J292="","Falta el tipus de despesa. ","")&amp;IF(AND($J292&lt;&gt;"",$J292&lt;&gt;"Mitjans propis",$J292&lt;&gt;"Altres",$M292=""),"Falta l'import. ","")&amp;IF(AND($J292="Contracte menor a càrrec del RAE",$K292=""),"Falta la partida RAE. ","")&amp;IF(AND($B292&lt;&gt;"",COUNTIF($B$6:$B$705,$B292)&gt;1),"Codi RAE repetit. ","")&amp;IF(AND($B292&lt;&gt;"",$J292&lt;&gt;"",$J292&lt;&gt;"Contracte menor a càrrec del RAE"),"Té codi RAE però no és de tipus RAE. ","")&amp;IF($N292="","Falta l'indicador del Pla. ","")&amp;IF($R292="","Falta el gestor. ","")&amp;IF($S292="","Falta indicar si és recurrent. ",""))="","✔",TRIM(IF($C292="","Falta l'actuació. ","")&amp;IF($D292="","Falta l'objectiu. ","")&amp;IF($J292="","Falta el tipus de despesa. ","")&amp;IF(AND($J292&lt;&gt;"",$J292&lt;&gt;"Mitjans propis",$J292&lt;&gt;"Altres",$M292=""),"Falta l'import. ","")&amp;IF(AND($J292="Contracte menor a càrrec del RAE",$K292=""),"Falta la partida RAE. ","")&amp;IF(AND($B292&lt;&gt;"",COUNTIF($B$6:$B$705,$B292)&gt;1),"Codi RAE repetit. ","")&amp;IF(AND($B292&lt;&gt;"",$J292&lt;&gt;"",$J292&lt;&gt;"Contracte menor a càrrec del RAE"),"Té codi RAE però no és de tipus RAE. ","")&amp;IF($N292="","Falta l'indicador del Pla. ","")&amp;IF($R292="","Falta el gestor. ","")&amp;IF($S292="","Falta indicar si és recurrent. ",""))))</f>
        <v/>
      </c>
    </row>
    <row r="293">
      <c r="A293" s="10">
        <f>IF($D293="","","27_"&amp;IFERROR(INDEX(Objectius!$E$2:$E$183,MATCH($D293,Objectius!$A$2:$A$183,0)),"??")&amp;"_"&amp;TEXT(COUNTIF($I$6:$I293,$I293),"00"))</f>
        <v/>
      </c>
      <c r="B293" s="11" t="n"/>
      <c r="C293" s="11" t="n"/>
      <c r="D293" s="11" t="n"/>
      <c r="E293" s="10">
        <f>IF($D293="","",IFERROR(INDEX(Objectius!$C$2:$C$183,MATCH($D293,Objectius!$A$2:$A$183,0)),"Objectiu no trobat al Pla"))</f>
        <v/>
      </c>
      <c r="F293" s="11" t="n"/>
      <c r="G293" s="11" t="n"/>
      <c r="H293" s="11" t="n"/>
      <c r="I293" s="10">
        <f>IF($D293="","",IFERROR(INDEX(Objectius!$D$2:$D$183,MATCH($D293,Objectius!$A$2:$A$183,0)),""))</f>
        <v/>
      </c>
      <c r="J293" s="11" t="n"/>
      <c r="K293" s="11" t="n"/>
      <c r="L293" s="11" t="n"/>
      <c r="M293" s="12" t="n"/>
      <c r="N293" s="11" t="n"/>
      <c r="O293" s="10">
        <f>IF($N293="","",IFERROR(INDEX('PLA ESTRATÈGIC'!$G$4:$G$452,MATCH($N293,'PLA ESTRATÈGIC'!$Q$4:$Q$452,0)),""))</f>
        <v/>
      </c>
      <c r="P293" s="10">
        <f>IF($N293="","",IFERROR(INDEX('PLA ESTRATÈGIC'!$H$4:$H$452,MATCH($N293,'PLA ESTRATÈGIC'!$Q$4:$Q$452,0)),""))</f>
        <v/>
      </c>
      <c r="Q293" s="13" t="n"/>
      <c r="R293" s="11" t="n"/>
      <c r="S293" s="11" t="n"/>
      <c r="T293" s="11" t="n"/>
      <c r="U293" s="11" t="n"/>
      <c r="V293" s="10">
        <f>IF(COUNTA($C293,$D293,$J293,$M293)=0,"",IF(TRIM(IF($C293="","Falta l'actuació. ","")&amp;IF($D293="","Falta l'objectiu. ","")&amp;IF($J293="","Falta el tipus de despesa. ","")&amp;IF(AND($J293&lt;&gt;"",$J293&lt;&gt;"Mitjans propis",$J293&lt;&gt;"Altres",$M293=""),"Falta l'import. ","")&amp;IF(AND($J293="Contracte menor a càrrec del RAE",$K293=""),"Falta la partida RAE. ","")&amp;IF(AND($B293&lt;&gt;"",COUNTIF($B$6:$B$705,$B293)&gt;1),"Codi RAE repetit. ","")&amp;IF(AND($B293&lt;&gt;"",$J293&lt;&gt;"",$J293&lt;&gt;"Contracte menor a càrrec del RAE"),"Té codi RAE però no és de tipus RAE. ","")&amp;IF($N293="","Falta l'indicador del Pla. ","")&amp;IF($R293="","Falta el gestor. ","")&amp;IF($S293="","Falta indicar si és recurrent. ",""))="","✔",TRIM(IF($C293="","Falta l'actuació. ","")&amp;IF($D293="","Falta l'objectiu. ","")&amp;IF($J293="","Falta el tipus de despesa. ","")&amp;IF(AND($J293&lt;&gt;"",$J293&lt;&gt;"Mitjans propis",$J293&lt;&gt;"Altres",$M293=""),"Falta l'import. ","")&amp;IF(AND($J293="Contracte menor a càrrec del RAE",$K293=""),"Falta la partida RAE. ","")&amp;IF(AND($B293&lt;&gt;"",COUNTIF($B$6:$B$705,$B293)&gt;1),"Codi RAE repetit. ","")&amp;IF(AND($B293&lt;&gt;"",$J293&lt;&gt;"",$J293&lt;&gt;"Contracte menor a càrrec del RAE"),"Té codi RAE però no és de tipus RAE. ","")&amp;IF($N293="","Falta l'indicador del Pla. ","")&amp;IF($R293="","Falta el gestor. ","")&amp;IF($S293="","Falta indicar si és recurrent. ",""))))</f>
        <v/>
      </c>
    </row>
    <row r="294">
      <c r="A294" s="10">
        <f>IF($D294="","","27_"&amp;IFERROR(INDEX(Objectius!$E$2:$E$183,MATCH($D294,Objectius!$A$2:$A$183,0)),"??")&amp;"_"&amp;TEXT(COUNTIF($I$6:$I294,$I294),"00"))</f>
        <v/>
      </c>
      <c r="B294" s="11" t="n"/>
      <c r="C294" s="11" t="n"/>
      <c r="D294" s="11" t="n"/>
      <c r="E294" s="10">
        <f>IF($D294="","",IFERROR(INDEX(Objectius!$C$2:$C$183,MATCH($D294,Objectius!$A$2:$A$183,0)),"Objectiu no trobat al Pla"))</f>
        <v/>
      </c>
      <c r="F294" s="11" t="n"/>
      <c r="G294" s="11" t="n"/>
      <c r="H294" s="11" t="n"/>
      <c r="I294" s="10">
        <f>IF($D294="","",IFERROR(INDEX(Objectius!$D$2:$D$183,MATCH($D294,Objectius!$A$2:$A$183,0)),""))</f>
        <v/>
      </c>
      <c r="J294" s="11" t="n"/>
      <c r="K294" s="11" t="n"/>
      <c r="L294" s="11" t="n"/>
      <c r="M294" s="12" t="n"/>
      <c r="N294" s="11" t="n"/>
      <c r="O294" s="10">
        <f>IF($N294="","",IFERROR(INDEX('PLA ESTRATÈGIC'!$G$4:$G$452,MATCH($N294,'PLA ESTRATÈGIC'!$Q$4:$Q$452,0)),""))</f>
        <v/>
      </c>
      <c r="P294" s="10">
        <f>IF($N294="","",IFERROR(INDEX('PLA ESTRATÈGIC'!$H$4:$H$452,MATCH($N294,'PLA ESTRATÈGIC'!$Q$4:$Q$452,0)),""))</f>
        <v/>
      </c>
      <c r="Q294" s="13" t="n"/>
      <c r="R294" s="11" t="n"/>
      <c r="S294" s="11" t="n"/>
      <c r="T294" s="11" t="n"/>
      <c r="U294" s="11" t="n"/>
      <c r="V294" s="10">
        <f>IF(COUNTA($C294,$D294,$J294,$M294)=0,"",IF(TRIM(IF($C294="","Falta l'actuació. ","")&amp;IF($D294="","Falta l'objectiu. ","")&amp;IF($J294="","Falta el tipus de despesa. ","")&amp;IF(AND($J294&lt;&gt;"",$J294&lt;&gt;"Mitjans propis",$J294&lt;&gt;"Altres",$M294=""),"Falta l'import. ","")&amp;IF(AND($J294="Contracte menor a càrrec del RAE",$K294=""),"Falta la partida RAE. ","")&amp;IF(AND($B294&lt;&gt;"",COUNTIF($B$6:$B$705,$B294)&gt;1),"Codi RAE repetit. ","")&amp;IF(AND($B294&lt;&gt;"",$J294&lt;&gt;"",$J294&lt;&gt;"Contracte menor a càrrec del RAE"),"Té codi RAE però no és de tipus RAE. ","")&amp;IF($N294="","Falta l'indicador del Pla. ","")&amp;IF($R294="","Falta el gestor. ","")&amp;IF($S294="","Falta indicar si és recurrent. ",""))="","✔",TRIM(IF($C294="","Falta l'actuació. ","")&amp;IF($D294="","Falta l'objectiu. ","")&amp;IF($J294="","Falta el tipus de despesa. ","")&amp;IF(AND($J294&lt;&gt;"",$J294&lt;&gt;"Mitjans propis",$J294&lt;&gt;"Altres",$M294=""),"Falta l'import. ","")&amp;IF(AND($J294="Contracte menor a càrrec del RAE",$K294=""),"Falta la partida RAE. ","")&amp;IF(AND($B294&lt;&gt;"",COUNTIF($B$6:$B$705,$B294)&gt;1),"Codi RAE repetit. ","")&amp;IF(AND($B294&lt;&gt;"",$J294&lt;&gt;"",$J294&lt;&gt;"Contracte menor a càrrec del RAE"),"Té codi RAE però no és de tipus RAE. ","")&amp;IF($N294="","Falta l'indicador del Pla. ","")&amp;IF($R294="","Falta el gestor. ","")&amp;IF($S294="","Falta indicar si és recurrent. ",""))))</f>
        <v/>
      </c>
    </row>
    <row r="295">
      <c r="A295" s="10">
        <f>IF($D295="","","27_"&amp;IFERROR(INDEX(Objectius!$E$2:$E$183,MATCH($D295,Objectius!$A$2:$A$183,0)),"??")&amp;"_"&amp;TEXT(COUNTIF($I$6:$I295,$I295),"00"))</f>
        <v/>
      </c>
      <c r="B295" s="11" t="n"/>
      <c r="C295" s="11" t="n"/>
      <c r="D295" s="11" t="n"/>
      <c r="E295" s="10">
        <f>IF($D295="","",IFERROR(INDEX(Objectius!$C$2:$C$183,MATCH($D295,Objectius!$A$2:$A$183,0)),"Objectiu no trobat al Pla"))</f>
        <v/>
      </c>
      <c r="F295" s="11" t="n"/>
      <c r="G295" s="11" t="n"/>
      <c r="H295" s="11" t="n"/>
      <c r="I295" s="10">
        <f>IF($D295="","",IFERROR(INDEX(Objectius!$D$2:$D$183,MATCH($D295,Objectius!$A$2:$A$183,0)),""))</f>
        <v/>
      </c>
      <c r="J295" s="11" t="n"/>
      <c r="K295" s="11" t="n"/>
      <c r="L295" s="11" t="n"/>
      <c r="M295" s="12" t="n"/>
      <c r="N295" s="11" t="n"/>
      <c r="O295" s="10">
        <f>IF($N295="","",IFERROR(INDEX('PLA ESTRATÈGIC'!$G$4:$G$452,MATCH($N295,'PLA ESTRATÈGIC'!$Q$4:$Q$452,0)),""))</f>
        <v/>
      </c>
      <c r="P295" s="10">
        <f>IF($N295="","",IFERROR(INDEX('PLA ESTRATÈGIC'!$H$4:$H$452,MATCH($N295,'PLA ESTRATÈGIC'!$Q$4:$Q$452,0)),""))</f>
        <v/>
      </c>
      <c r="Q295" s="13" t="n"/>
      <c r="R295" s="11" t="n"/>
      <c r="S295" s="11" t="n"/>
      <c r="T295" s="11" t="n"/>
      <c r="U295" s="11" t="n"/>
      <c r="V295" s="10">
        <f>IF(COUNTA($C295,$D295,$J295,$M295)=0,"",IF(TRIM(IF($C295="","Falta l'actuació. ","")&amp;IF($D295="","Falta l'objectiu. ","")&amp;IF($J295="","Falta el tipus de despesa. ","")&amp;IF(AND($J295&lt;&gt;"",$J295&lt;&gt;"Mitjans propis",$J295&lt;&gt;"Altres",$M295=""),"Falta l'import. ","")&amp;IF(AND($J295="Contracte menor a càrrec del RAE",$K295=""),"Falta la partida RAE. ","")&amp;IF(AND($B295&lt;&gt;"",COUNTIF($B$6:$B$705,$B295)&gt;1),"Codi RAE repetit. ","")&amp;IF(AND($B295&lt;&gt;"",$J295&lt;&gt;"",$J295&lt;&gt;"Contracte menor a càrrec del RAE"),"Té codi RAE però no és de tipus RAE. ","")&amp;IF($N295="","Falta l'indicador del Pla. ","")&amp;IF($R295="","Falta el gestor. ","")&amp;IF($S295="","Falta indicar si és recurrent. ",""))="","✔",TRIM(IF($C295="","Falta l'actuació. ","")&amp;IF($D295="","Falta l'objectiu. ","")&amp;IF($J295="","Falta el tipus de despesa. ","")&amp;IF(AND($J295&lt;&gt;"",$J295&lt;&gt;"Mitjans propis",$J295&lt;&gt;"Altres",$M295=""),"Falta l'import. ","")&amp;IF(AND($J295="Contracte menor a càrrec del RAE",$K295=""),"Falta la partida RAE. ","")&amp;IF(AND($B295&lt;&gt;"",COUNTIF($B$6:$B$705,$B295)&gt;1),"Codi RAE repetit. ","")&amp;IF(AND($B295&lt;&gt;"",$J295&lt;&gt;"",$J295&lt;&gt;"Contracte menor a càrrec del RAE"),"Té codi RAE però no és de tipus RAE. ","")&amp;IF($N295="","Falta l'indicador del Pla. ","")&amp;IF($R295="","Falta el gestor. ","")&amp;IF($S295="","Falta indicar si és recurrent. ",""))))</f>
        <v/>
      </c>
    </row>
    <row r="296">
      <c r="A296" s="10">
        <f>IF($D296="","","27_"&amp;IFERROR(INDEX(Objectius!$E$2:$E$183,MATCH($D296,Objectius!$A$2:$A$183,0)),"??")&amp;"_"&amp;TEXT(COUNTIF($I$6:$I296,$I296),"00"))</f>
        <v/>
      </c>
      <c r="B296" s="11" t="n"/>
      <c r="C296" s="11" t="n"/>
      <c r="D296" s="11" t="n"/>
      <c r="E296" s="10">
        <f>IF($D296="","",IFERROR(INDEX(Objectius!$C$2:$C$183,MATCH($D296,Objectius!$A$2:$A$183,0)),"Objectiu no trobat al Pla"))</f>
        <v/>
      </c>
      <c r="F296" s="11" t="n"/>
      <c r="G296" s="11" t="n"/>
      <c r="H296" s="11" t="n"/>
      <c r="I296" s="10">
        <f>IF($D296="","",IFERROR(INDEX(Objectius!$D$2:$D$183,MATCH($D296,Objectius!$A$2:$A$183,0)),""))</f>
        <v/>
      </c>
      <c r="J296" s="11" t="n"/>
      <c r="K296" s="11" t="n"/>
      <c r="L296" s="11" t="n"/>
      <c r="M296" s="12" t="n"/>
      <c r="N296" s="11" t="n"/>
      <c r="O296" s="10">
        <f>IF($N296="","",IFERROR(INDEX('PLA ESTRATÈGIC'!$G$4:$G$452,MATCH($N296,'PLA ESTRATÈGIC'!$Q$4:$Q$452,0)),""))</f>
        <v/>
      </c>
      <c r="P296" s="10">
        <f>IF($N296="","",IFERROR(INDEX('PLA ESTRATÈGIC'!$H$4:$H$452,MATCH($N296,'PLA ESTRATÈGIC'!$Q$4:$Q$452,0)),""))</f>
        <v/>
      </c>
      <c r="Q296" s="13" t="n"/>
      <c r="R296" s="11" t="n"/>
      <c r="S296" s="11" t="n"/>
      <c r="T296" s="11" t="n"/>
      <c r="U296" s="11" t="n"/>
      <c r="V296" s="10">
        <f>IF(COUNTA($C296,$D296,$J296,$M296)=0,"",IF(TRIM(IF($C296="","Falta l'actuació. ","")&amp;IF($D296="","Falta l'objectiu. ","")&amp;IF($J296="","Falta el tipus de despesa. ","")&amp;IF(AND($J296&lt;&gt;"",$J296&lt;&gt;"Mitjans propis",$J296&lt;&gt;"Altres",$M296=""),"Falta l'import. ","")&amp;IF(AND($J296="Contracte menor a càrrec del RAE",$K296=""),"Falta la partida RAE. ","")&amp;IF(AND($B296&lt;&gt;"",COUNTIF($B$6:$B$705,$B296)&gt;1),"Codi RAE repetit. ","")&amp;IF(AND($B296&lt;&gt;"",$J296&lt;&gt;"",$J296&lt;&gt;"Contracte menor a càrrec del RAE"),"Té codi RAE però no és de tipus RAE. ","")&amp;IF($N296="","Falta l'indicador del Pla. ","")&amp;IF($R296="","Falta el gestor. ","")&amp;IF($S296="","Falta indicar si és recurrent. ",""))="","✔",TRIM(IF($C296="","Falta l'actuació. ","")&amp;IF($D296="","Falta l'objectiu. ","")&amp;IF($J296="","Falta el tipus de despesa. ","")&amp;IF(AND($J296&lt;&gt;"",$J296&lt;&gt;"Mitjans propis",$J296&lt;&gt;"Altres",$M296=""),"Falta l'import. ","")&amp;IF(AND($J296="Contracte menor a càrrec del RAE",$K296=""),"Falta la partida RAE. ","")&amp;IF(AND($B296&lt;&gt;"",COUNTIF($B$6:$B$705,$B296)&gt;1),"Codi RAE repetit. ","")&amp;IF(AND($B296&lt;&gt;"",$J296&lt;&gt;"",$J296&lt;&gt;"Contracte menor a càrrec del RAE"),"Té codi RAE però no és de tipus RAE. ","")&amp;IF($N296="","Falta l'indicador del Pla. ","")&amp;IF($R296="","Falta el gestor. ","")&amp;IF($S296="","Falta indicar si és recurrent. ",""))))</f>
        <v/>
      </c>
    </row>
    <row r="297">
      <c r="A297" s="10">
        <f>IF($D297="","","27_"&amp;IFERROR(INDEX(Objectius!$E$2:$E$183,MATCH($D297,Objectius!$A$2:$A$183,0)),"??")&amp;"_"&amp;TEXT(COUNTIF($I$6:$I297,$I297),"00"))</f>
        <v/>
      </c>
      <c r="B297" s="11" t="n"/>
      <c r="C297" s="11" t="n"/>
      <c r="D297" s="11" t="n"/>
      <c r="E297" s="10">
        <f>IF($D297="","",IFERROR(INDEX(Objectius!$C$2:$C$183,MATCH($D297,Objectius!$A$2:$A$183,0)),"Objectiu no trobat al Pla"))</f>
        <v/>
      </c>
      <c r="F297" s="11" t="n"/>
      <c r="G297" s="11" t="n"/>
      <c r="H297" s="11" t="n"/>
      <c r="I297" s="10">
        <f>IF($D297="","",IFERROR(INDEX(Objectius!$D$2:$D$183,MATCH($D297,Objectius!$A$2:$A$183,0)),""))</f>
        <v/>
      </c>
      <c r="J297" s="11" t="n"/>
      <c r="K297" s="11" t="n"/>
      <c r="L297" s="11" t="n"/>
      <c r="M297" s="12" t="n"/>
      <c r="N297" s="11" t="n"/>
      <c r="O297" s="10">
        <f>IF($N297="","",IFERROR(INDEX('PLA ESTRATÈGIC'!$G$4:$G$452,MATCH($N297,'PLA ESTRATÈGIC'!$Q$4:$Q$452,0)),""))</f>
        <v/>
      </c>
      <c r="P297" s="10">
        <f>IF($N297="","",IFERROR(INDEX('PLA ESTRATÈGIC'!$H$4:$H$452,MATCH($N297,'PLA ESTRATÈGIC'!$Q$4:$Q$452,0)),""))</f>
        <v/>
      </c>
      <c r="Q297" s="13" t="n"/>
      <c r="R297" s="11" t="n"/>
      <c r="S297" s="11" t="n"/>
      <c r="T297" s="11" t="n"/>
      <c r="U297" s="11" t="n"/>
      <c r="V297" s="10">
        <f>IF(COUNTA($C297,$D297,$J297,$M297)=0,"",IF(TRIM(IF($C297="","Falta l'actuació. ","")&amp;IF($D297="","Falta l'objectiu. ","")&amp;IF($J297="","Falta el tipus de despesa. ","")&amp;IF(AND($J297&lt;&gt;"",$J297&lt;&gt;"Mitjans propis",$J297&lt;&gt;"Altres",$M297=""),"Falta l'import. ","")&amp;IF(AND($J297="Contracte menor a càrrec del RAE",$K297=""),"Falta la partida RAE. ","")&amp;IF(AND($B297&lt;&gt;"",COUNTIF($B$6:$B$705,$B297)&gt;1),"Codi RAE repetit. ","")&amp;IF(AND($B297&lt;&gt;"",$J297&lt;&gt;"",$J297&lt;&gt;"Contracte menor a càrrec del RAE"),"Té codi RAE però no és de tipus RAE. ","")&amp;IF($N297="","Falta l'indicador del Pla. ","")&amp;IF($R297="","Falta el gestor. ","")&amp;IF($S297="","Falta indicar si és recurrent. ",""))="","✔",TRIM(IF($C297="","Falta l'actuació. ","")&amp;IF($D297="","Falta l'objectiu. ","")&amp;IF($J297="","Falta el tipus de despesa. ","")&amp;IF(AND($J297&lt;&gt;"",$J297&lt;&gt;"Mitjans propis",$J297&lt;&gt;"Altres",$M297=""),"Falta l'import. ","")&amp;IF(AND($J297="Contracte menor a càrrec del RAE",$K297=""),"Falta la partida RAE. ","")&amp;IF(AND($B297&lt;&gt;"",COUNTIF($B$6:$B$705,$B297)&gt;1),"Codi RAE repetit. ","")&amp;IF(AND($B297&lt;&gt;"",$J297&lt;&gt;"",$J297&lt;&gt;"Contracte menor a càrrec del RAE"),"Té codi RAE però no és de tipus RAE. ","")&amp;IF($N297="","Falta l'indicador del Pla. ","")&amp;IF($R297="","Falta el gestor. ","")&amp;IF($S297="","Falta indicar si és recurrent. ",""))))</f>
        <v/>
      </c>
    </row>
    <row r="298">
      <c r="A298" s="10">
        <f>IF($D298="","","27_"&amp;IFERROR(INDEX(Objectius!$E$2:$E$183,MATCH($D298,Objectius!$A$2:$A$183,0)),"??")&amp;"_"&amp;TEXT(COUNTIF($I$6:$I298,$I298),"00"))</f>
        <v/>
      </c>
      <c r="B298" s="11" t="n"/>
      <c r="C298" s="11" t="n"/>
      <c r="D298" s="11" t="n"/>
      <c r="E298" s="10">
        <f>IF($D298="","",IFERROR(INDEX(Objectius!$C$2:$C$183,MATCH($D298,Objectius!$A$2:$A$183,0)),"Objectiu no trobat al Pla"))</f>
        <v/>
      </c>
      <c r="F298" s="11" t="n"/>
      <c r="G298" s="11" t="n"/>
      <c r="H298" s="11" t="n"/>
      <c r="I298" s="10">
        <f>IF($D298="","",IFERROR(INDEX(Objectius!$D$2:$D$183,MATCH($D298,Objectius!$A$2:$A$183,0)),""))</f>
        <v/>
      </c>
      <c r="J298" s="11" t="n"/>
      <c r="K298" s="11" t="n"/>
      <c r="L298" s="11" t="n"/>
      <c r="M298" s="12" t="n"/>
      <c r="N298" s="11" t="n"/>
      <c r="O298" s="10">
        <f>IF($N298="","",IFERROR(INDEX('PLA ESTRATÈGIC'!$G$4:$G$452,MATCH($N298,'PLA ESTRATÈGIC'!$Q$4:$Q$452,0)),""))</f>
        <v/>
      </c>
      <c r="P298" s="10">
        <f>IF($N298="","",IFERROR(INDEX('PLA ESTRATÈGIC'!$H$4:$H$452,MATCH($N298,'PLA ESTRATÈGIC'!$Q$4:$Q$452,0)),""))</f>
        <v/>
      </c>
      <c r="Q298" s="13" t="n"/>
      <c r="R298" s="11" t="n"/>
      <c r="S298" s="11" t="n"/>
      <c r="T298" s="11" t="n"/>
      <c r="U298" s="11" t="n"/>
      <c r="V298" s="10">
        <f>IF(COUNTA($C298,$D298,$J298,$M298)=0,"",IF(TRIM(IF($C298="","Falta l'actuació. ","")&amp;IF($D298="","Falta l'objectiu. ","")&amp;IF($J298="","Falta el tipus de despesa. ","")&amp;IF(AND($J298&lt;&gt;"",$J298&lt;&gt;"Mitjans propis",$J298&lt;&gt;"Altres",$M298=""),"Falta l'import. ","")&amp;IF(AND($J298="Contracte menor a càrrec del RAE",$K298=""),"Falta la partida RAE. ","")&amp;IF(AND($B298&lt;&gt;"",COUNTIF($B$6:$B$705,$B298)&gt;1),"Codi RAE repetit. ","")&amp;IF(AND($B298&lt;&gt;"",$J298&lt;&gt;"",$J298&lt;&gt;"Contracte menor a càrrec del RAE"),"Té codi RAE però no és de tipus RAE. ","")&amp;IF($N298="","Falta l'indicador del Pla. ","")&amp;IF($R298="","Falta el gestor. ","")&amp;IF($S298="","Falta indicar si és recurrent. ",""))="","✔",TRIM(IF($C298="","Falta l'actuació. ","")&amp;IF($D298="","Falta l'objectiu. ","")&amp;IF($J298="","Falta el tipus de despesa. ","")&amp;IF(AND($J298&lt;&gt;"",$J298&lt;&gt;"Mitjans propis",$J298&lt;&gt;"Altres",$M298=""),"Falta l'import. ","")&amp;IF(AND($J298="Contracte menor a càrrec del RAE",$K298=""),"Falta la partida RAE. ","")&amp;IF(AND($B298&lt;&gt;"",COUNTIF($B$6:$B$705,$B298)&gt;1),"Codi RAE repetit. ","")&amp;IF(AND($B298&lt;&gt;"",$J298&lt;&gt;"",$J298&lt;&gt;"Contracte menor a càrrec del RAE"),"Té codi RAE però no és de tipus RAE. ","")&amp;IF($N298="","Falta l'indicador del Pla. ","")&amp;IF($R298="","Falta el gestor. ","")&amp;IF($S298="","Falta indicar si és recurrent. ",""))))</f>
        <v/>
      </c>
    </row>
    <row r="299">
      <c r="A299" s="10">
        <f>IF($D299="","","27_"&amp;IFERROR(INDEX(Objectius!$E$2:$E$183,MATCH($D299,Objectius!$A$2:$A$183,0)),"??")&amp;"_"&amp;TEXT(COUNTIF($I$6:$I299,$I299),"00"))</f>
        <v/>
      </c>
      <c r="B299" s="11" t="n"/>
      <c r="C299" s="11" t="n"/>
      <c r="D299" s="11" t="n"/>
      <c r="E299" s="10">
        <f>IF($D299="","",IFERROR(INDEX(Objectius!$C$2:$C$183,MATCH($D299,Objectius!$A$2:$A$183,0)),"Objectiu no trobat al Pla"))</f>
        <v/>
      </c>
      <c r="F299" s="11" t="n"/>
      <c r="G299" s="11" t="n"/>
      <c r="H299" s="11" t="n"/>
      <c r="I299" s="10">
        <f>IF($D299="","",IFERROR(INDEX(Objectius!$D$2:$D$183,MATCH($D299,Objectius!$A$2:$A$183,0)),""))</f>
        <v/>
      </c>
      <c r="J299" s="11" t="n"/>
      <c r="K299" s="11" t="n"/>
      <c r="L299" s="11" t="n"/>
      <c r="M299" s="12" t="n"/>
      <c r="N299" s="11" t="n"/>
      <c r="O299" s="10">
        <f>IF($N299="","",IFERROR(INDEX('PLA ESTRATÈGIC'!$G$4:$G$452,MATCH($N299,'PLA ESTRATÈGIC'!$Q$4:$Q$452,0)),""))</f>
        <v/>
      </c>
      <c r="P299" s="10">
        <f>IF($N299="","",IFERROR(INDEX('PLA ESTRATÈGIC'!$H$4:$H$452,MATCH($N299,'PLA ESTRATÈGIC'!$Q$4:$Q$452,0)),""))</f>
        <v/>
      </c>
      <c r="Q299" s="13" t="n"/>
      <c r="R299" s="11" t="n"/>
      <c r="S299" s="11" t="n"/>
      <c r="T299" s="11" t="n"/>
      <c r="U299" s="11" t="n"/>
      <c r="V299" s="10">
        <f>IF(COUNTA($C299,$D299,$J299,$M299)=0,"",IF(TRIM(IF($C299="","Falta l'actuació. ","")&amp;IF($D299="","Falta l'objectiu. ","")&amp;IF($J299="","Falta el tipus de despesa. ","")&amp;IF(AND($J299&lt;&gt;"",$J299&lt;&gt;"Mitjans propis",$J299&lt;&gt;"Altres",$M299=""),"Falta l'import. ","")&amp;IF(AND($J299="Contracte menor a càrrec del RAE",$K299=""),"Falta la partida RAE. ","")&amp;IF(AND($B299&lt;&gt;"",COUNTIF($B$6:$B$705,$B299)&gt;1),"Codi RAE repetit. ","")&amp;IF(AND($B299&lt;&gt;"",$J299&lt;&gt;"",$J299&lt;&gt;"Contracte menor a càrrec del RAE"),"Té codi RAE però no és de tipus RAE. ","")&amp;IF($N299="","Falta l'indicador del Pla. ","")&amp;IF($R299="","Falta el gestor. ","")&amp;IF($S299="","Falta indicar si és recurrent. ",""))="","✔",TRIM(IF($C299="","Falta l'actuació. ","")&amp;IF($D299="","Falta l'objectiu. ","")&amp;IF($J299="","Falta el tipus de despesa. ","")&amp;IF(AND($J299&lt;&gt;"",$J299&lt;&gt;"Mitjans propis",$J299&lt;&gt;"Altres",$M299=""),"Falta l'import. ","")&amp;IF(AND($J299="Contracte menor a càrrec del RAE",$K299=""),"Falta la partida RAE. ","")&amp;IF(AND($B299&lt;&gt;"",COUNTIF($B$6:$B$705,$B299)&gt;1),"Codi RAE repetit. ","")&amp;IF(AND($B299&lt;&gt;"",$J299&lt;&gt;"",$J299&lt;&gt;"Contracte menor a càrrec del RAE"),"Té codi RAE però no és de tipus RAE. ","")&amp;IF($N299="","Falta l'indicador del Pla. ","")&amp;IF($R299="","Falta el gestor. ","")&amp;IF($S299="","Falta indicar si és recurrent. ",""))))</f>
        <v/>
      </c>
    </row>
    <row r="300">
      <c r="A300" s="10">
        <f>IF($D300="","","27_"&amp;IFERROR(INDEX(Objectius!$E$2:$E$183,MATCH($D300,Objectius!$A$2:$A$183,0)),"??")&amp;"_"&amp;TEXT(COUNTIF($I$6:$I300,$I300),"00"))</f>
        <v/>
      </c>
      <c r="B300" s="11" t="n"/>
      <c r="C300" s="11" t="n"/>
      <c r="D300" s="11" t="n"/>
      <c r="E300" s="10">
        <f>IF($D300="","",IFERROR(INDEX(Objectius!$C$2:$C$183,MATCH($D300,Objectius!$A$2:$A$183,0)),"Objectiu no trobat al Pla"))</f>
        <v/>
      </c>
      <c r="F300" s="11" t="n"/>
      <c r="G300" s="11" t="n"/>
      <c r="H300" s="11" t="n"/>
      <c r="I300" s="10">
        <f>IF($D300="","",IFERROR(INDEX(Objectius!$D$2:$D$183,MATCH($D300,Objectius!$A$2:$A$183,0)),""))</f>
        <v/>
      </c>
      <c r="J300" s="11" t="n"/>
      <c r="K300" s="11" t="n"/>
      <c r="L300" s="11" t="n"/>
      <c r="M300" s="12" t="n"/>
      <c r="N300" s="11" t="n"/>
      <c r="O300" s="10">
        <f>IF($N300="","",IFERROR(INDEX('PLA ESTRATÈGIC'!$G$4:$G$452,MATCH($N300,'PLA ESTRATÈGIC'!$Q$4:$Q$452,0)),""))</f>
        <v/>
      </c>
      <c r="P300" s="10">
        <f>IF($N300="","",IFERROR(INDEX('PLA ESTRATÈGIC'!$H$4:$H$452,MATCH($N300,'PLA ESTRATÈGIC'!$Q$4:$Q$452,0)),""))</f>
        <v/>
      </c>
      <c r="Q300" s="13" t="n"/>
      <c r="R300" s="11" t="n"/>
      <c r="S300" s="11" t="n"/>
      <c r="T300" s="11" t="n"/>
      <c r="U300" s="11" t="n"/>
      <c r="V300" s="10">
        <f>IF(COUNTA($C300,$D300,$J300,$M300)=0,"",IF(TRIM(IF($C300="","Falta l'actuació. ","")&amp;IF($D300="","Falta l'objectiu. ","")&amp;IF($J300="","Falta el tipus de despesa. ","")&amp;IF(AND($J300&lt;&gt;"",$J300&lt;&gt;"Mitjans propis",$J300&lt;&gt;"Altres",$M300=""),"Falta l'import. ","")&amp;IF(AND($J300="Contracte menor a càrrec del RAE",$K300=""),"Falta la partida RAE. ","")&amp;IF(AND($B300&lt;&gt;"",COUNTIF($B$6:$B$705,$B300)&gt;1),"Codi RAE repetit. ","")&amp;IF(AND($B300&lt;&gt;"",$J300&lt;&gt;"",$J300&lt;&gt;"Contracte menor a càrrec del RAE"),"Té codi RAE però no és de tipus RAE. ","")&amp;IF($N300="","Falta l'indicador del Pla. ","")&amp;IF($R300="","Falta el gestor. ","")&amp;IF($S300="","Falta indicar si és recurrent. ",""))="","✔",TRIM(IF($C300="","Falta l'actuació. ","")&amp;IF($D300="","Falta l'objectiu. ","")&amp;IF($J300="","Falta el tipus de despesa. ","")&amp;IF(AND($J300&lt;&gt;"",$J300&lt;&gt;"Mitjans propis",$J300&lt;&gt;"Altres",$M300=""),"Falta l'import. ","")&amp;IF(AND($J300="Contracte menor a càrrec del RAE",$K300=""),"Falta la partida RAE. ","")&amp;IF(AND($B300&lt;&gt;"",COUNTIF($B$6:$B$705,$B300)&gt;1),"Codi RAE repetit. ","")&amp;IF(AND($B300&lt;&gt;"",$J300&lt;&gt;"",$J300&lt;&gt;"Contracte menor a càrrec del RAE"),"Té codi RAE però no és de tipus RAE. ","")&amp;IF($N300="","Falta l'indicador del Pla. ","")&amp;IF($R300="","Falta el gestor. ","")&amp;IF($S300="","Falta indicar si és recurrent. ",""))))</f>
        <v/>
      </c>
    </row>
    <row r="301">
      <c r="A301" s="10">
        <f>IF($D301="","","27_"&amp;IFERROR(INDEX(Objectius!$E$2:$E$183,MATCH($D301,Objectius!$A$2:$A$183,0)),"??")&amp;"_"&amp;TEXT(COUNTIF($I$6:$I301,$I301),"00"))</f>
        <v/>
      </c>
      <c r="B301" s="11" t="n"/>
      <c r="C301" s="11" t="n"/>
      <c r="D301" s="11" t="n"/>
      <c r="E301" s="10">
        <f>IF($D301="","",IFERROR(INDEX(Objectius!$C$2:$C$183,MATCH($D301,Objectius!$A$2:$A$183,0)),"Objectiu no trobat al Pla"))</f>
        <v/>
      </c>
      <c r="F301" s="11" t="n"/>
      <c r="G301" s="11" t="n"/>
      <c r="H301" s="11" t="n"/>
      <c r="I301" s="10">
        <f>IF($D301="","",IFERROR(INDEX(Objectius!$D$2:$D$183,MATCH($D301,Objectius!$A$2:$A$183,0)),""))</f>
        <v/>
      </c>
      <c r="J301" s="11" t="n"/>
      <c r="K301" s="11" t="n"/>
      <c r="L301" s="11" t="n"/>
      <c r="M301" s="12" t="n"/>
      <c r="N301" s="11" t="n"/>
      <c r="O301" s="10">
        <f>IF($N301="","",IFERROR(INDEX('PLA ESTRATÈGIC'!$G$4:$G$452,MATCH($N301,'PLA ESTRATÈGIC'!$Q$4:$Q$452,0)),""))</f>
        <v/>
      </c>
      <c r="P301" s="10">
        <f>IF($N301="","",IFERROR(INDEX('PLA ESTRATÈGIC'!$H$4:$H$452,MATCH($N301,'PLA ESTRATÈGIC'!$Q$4:$Q$452,0)),""))</f>
        <v/>
      </c>
      <c r="Q301" s="13" t="n"/>
      <c r="R301" s="11" t="n"/>
      <c r="S301" s="11" t="n"/>
      <c r="T301" s="11" t="n"/>
      <c r="U301" s="11" t="n"/>
      <c r="V301" s="10">
        <f>IF(COUNTA($C301,$D301,$J301,$M301)=0,"",IF(TRIM(IF($C301="","Falta l'actuació. ","")&amp;IF($D301="","Falta l'objectiu. ","")&amp;IF($J301="","Falta el tipus de despesa. ","")&amp;IF(AND($J301&lt;&gt;"",$J301&lt;&gt;"Mitjans propis",$J301&lt;&gt;"Altres",$M301=""),"Falta l'import. ","")&amp;IF(AND($J301="Contracte menor a càrrec del RAE",$K301=""),"Falta la partida RAE. ","")&amp;IF(AND($B301&lt;&gt;"",COUNTIF($B$6:$B$705,$B301)&gt;1),"Codi RAE repetit. ","")&amp;IF(AND($B301&lt;&gt;"",$J301&lt;&gt;"",$J301&lt;&gt;"Contracte menor a càrrec del RAE"),"Té codi RAE però no és de tipus RAE. ","")&amp;IF($N301="","Falta l'indicador del Pla. ","")&amp;IF($R301="","Falta el gestor. ","")&amp;IF($S301="","Falta indicar si és recurrent. ",""))="","✔",TRIM(IF($C301="","Falta l'actuació. ","")&amp;IF($D301="","Falta l'objectiu. ","")&amp;IF($J301="","Falta el tipus de despesa. ","")&amp;IF(AND($J301&lt;&gt;"",$J301&lt;&gt;"Mitjans propis",$J301&lt;&gt;"Altres",$M301=""),"Falta l'import. ","")&amp;IF(AND($J301="Contracte menor a càrrec del RAE",$K301=""),"Falta la partida RAE. ","")&amp;IF(AND($B301&lt;&gt;"",COUNTIF($B$6:$B$705,$B301)&gt;1),"Codi RAE repetit. ","")&amp;IF(AND($B301&lt;&gt;"",$J301&lt;&gt;"",$J301&lt;&gt;"Contracte menor a càrrec del RAE"),"Té codi RAE però no és de tipus RAE. ","")&amp;IF($N301="","Falta l'indicador del Pla. ","")&amp;IF($R301="","Falta el gestor. ","")&amp;IF($S301="","Falta indicar si és recurrent. ",""))))</f>
        <v/>
      </c>
    </row>
    <row r="302">
      <c r="A302" s="10">
        <f>IF($D302="","","27_"&amp;IFERROR(INDEX(Objectius!$E$2:$E$183,MATCH($D302,Objectius!$A$2:$A$183,0)),"??")&amp;"_"&amp;TEXT(COUNTIF($I$6:$I302,$I302),"00"))</f>
        <v/>
      </c>
      <c r="B302" s="11" t="n"/>
      <c r="C302" s="11" t="n"/>
      <c r="D302" s="11" t="n"/>
      <c r="E302" s="10">
        <f>IF($D302="","",IFERROR(INDEX(Objectius!$C$2:$C$183,MATCH($D302,Objectius!$A$2:$A$183,0)),"Objectiu no trobat al Pla"))</f>
        <v/>
      </c>
      <c r="F302" s="11" t="n"/>
      <c r="G302" s="11" t="n"/>
      <c r="H302" s="11" t="n"/>
      <c r="I302" s="10">
        <f>IF($D302="","",IFERROR(INDEX(Objectius!$D$2:$D$183,MATCH($D302,Objectius!$A$2:$A$183,0)),""))</f>
        <v/>
      </c>
      <c r="J302" s="11" t="n"/>
      <c r="K302" s="11" t="n"/>
      <c r="L302" s="11" t="n"/>
      <c r="M302" s="12" t="n"/>
      <c r="N302" s="11" t="n"/>
      <c r="O302" s="10">
        <f>IF($N302="","",IFERROR(INDEX('PLA ESTRATÈGIC'!$G$4:$G$452,MATCH($N302,'PLA ESTRATÈGIC'!$Q$4:$Q$452,0)),""))</f>
        <v/>
      </c>
      <c r="P302" s="10">
        <f>IF($N302="","",IFERROR(INDEX('PLA ESTRATÈGIC'!$H$4:$H$452,MATCH($N302,'PLA ESTRATÈGIC'!$Q$4:$Q$452,0)),""))</f>
        <v/>
      </c>
      <c r="Q302" s="13" t="n"/>
      <c r="R302" s="11" t="n"/>
      <c r="S302" s="11" t="n"/>
      <c r="T302" s="11" t="n"/>
      <c r="U302" s="11" t="n"/>
      <c r="V302" s="10">
        <f>IF(COUNTA($C302,$D302,$J302,$M302)=0,"",IF(TRIM(IF($C302="","Falta l'actuació. ","")&amp;IF($D302="","Falta l'objectiu. ","")&amp;IF($J302="","Falta el tipus de despesa. ","")&amp;IF(AND($J302&lt;&gt;"",$J302&lt;&gt;"Mitjans propis",$J302&lt;&gt;"Altres",$M302=""),"Falta l'import. ","")&amp;IF(AND($J302="Contracte menor a càrrec del RAE",$K302=""),"Falta la partida RAE. ","")&amp;IF(AND($B302&lt;&gt;"",COUNTIF($B$6:$B$705,$B302)&gt;1),"Codi RAE repetit. ","")&amp;IF(AND($B302&lt;&gt;"",$J302&lt;&gt;"",$J302&lt;&gt;"Contracte menor a càrrec del RAE"),"Té codi RAE però no és de tipus RAE. ","")&amp;IF($N302="","Falta l'indicador del Pla. ","")&amp;IF($R302="","Falta el gestor. ","")&amp;IF($S302="","Falta indicar si és recurrent. ",""))="","✔",TRIM(IF($C302="","Falta l'actuació. ","")&amp;IF($D302="","Falta l'objectiu. ","")&amp;IF($J302="","Falta el tipus de despesa. ","")&amp;IF(AND($J302&lt;&gt;"",$J302&lt;&gt;"Mitjans propis",$J302&lt;&gt;"Altres",$M302=""),"Falta l'import. ","")&amp;IF(AND($J302="Contracte menor a càrrec del RAE",$K302=""),"Falta la partida RAE. ","")&amp;IF(AND($B302&lt;&gt;"",COUNTIF($B$6:$B$705,$B302)&gt;1),"Codi RAE repetit. ","")&amp;IF(AND($B302&lt;&gt;"",$J302&lt;&gt;"",$J302&lt;&gt;"Contracte menor a càrrec del RAE"),"Té codi RAE però no és de tipus RAE. ","")&amp;IF($N302="","Falta l'indicador del Pla. ","")&amp;IF($R302="","Falta el gestor. ","")&amp;IF($S302="","Falta indicar si és recurrent. ",""))))</f>
        <v/>
      </c>
    </row>
    <row r="303">
      <c r="A303" s="10">
        <f>IF($D303="","","27_"&amp;IFERROR(INDEX(Objectius!$E$2:$E$183,MATCH($D303,Objectius!$A$2:$A$183,0)),"??")&amp;"_"&amp;TEXT(COUNTIF($I$6:$I303,$I303),"00"))</f>
        <v/>
      </c>
      <c r="B303" s="11" t="n"/>
      <c r="C303" s="11" t="n"/>
      <c r="D303" s="11" t="n"/>
      <c r="E303" s="10">
        <f>IF($D303="","",IFERROR(INDEX(Objectius!$C$2:$C$183,MATCH($D303,Objectius!$A$2:$A$183,0)),"Objectiu no trobat al Pla"))</f>
        <v/>
      </c>
      <c r="F303" s="11" t="n"/>
      <c r="G303" s="11" t="n"/>
      <c r="H303" s="11" t="n"/>
      <c r="I303" s="10">
        <f>IF($D303="","",IFERROR(INDEX(Objectius!$D$2:$D$183,MATCH($D303,Objectius!$A$2:$A$183,0)),""))</f>
        <v/>
      </c>
      <c r="J303" s="11" t="n"/>
      <c r="K303" s="11" t="n"/>
      <c r="L303" s="11" t="n"/>
      <c r="M303" s="12" t="n"/>
      <c r="N303" s="11" t="n"/>
      <c r="O303" s="10">
        <f>IF($N303="","",IFERROR(INDEX('PLA ESTRATÈGIC'!$G$4:$G$452,MATCH($N303,'PLA ESTRATÈGIC'!$Q$4:$Q$452,0)),""))</f>
        <v/>
      </c>
      <c r="P303" s="10">
        <f>IF($N303="","",IFERROR(INDEX('PLA ESTRATÈGIC'!$H$4:$H$452,MATCH($N303,'PLA ESTRATÈGIC'!$Q$4:$Q$452,0)),""))</f>
        <v/>
      </c>
      <c r="Q303" s="13" t="n"/>
      <c r="R303" s="11" t="n"/>
      <c r="S303" s="11" t="n"/>
      <c r="T303" s="11" t="n"/>
      <c r="U303" s="11" t="n"/>
      <c r="V303" s="10">
        <f>IF(COUNTA($C303,$D303,$J303,$M303)=0,"",IF(TRIM(IF($C303="","Falta l'actuació. ","")&amp;IF($D303="","Falta l'objectiu. ","")&amp;IF($J303="","Falta el tipus de despesa. ","")&amp;IF(AND($J303&lt;&gt;"",$J303&lt;&gt;"Mitjans propis",$J303&lt;&gt;"Altres",$M303=""),"Falta l'import. ","")&amp;IF(AND($J303="Contracte menor a càrrec del RAE",$K303=""),"Falta la partida RAE. ","")&amp;IF(AND($B303&lt;&gt;"",COUNTIF($B$6:$B$705,$B303)&gt;1),"Codi RAE repetit. ","")&amp;IF(AND($B303&lt;&gt;"",$J303&lt;&gt;"",$J303&lt;&gt;"Contracte menor a càrrec del RAE"),"Té codi RAE però no és de tipus RAE. ","")&amp;IF($N303="","Falta l'indicador del Pla. ","")&amp;IF($R303="","Falta el gestor. ","")&amp;IF($S303="","Falta indicar si és recurrent. ",""))="","✔",TRIM(IF($C303="","Falta l'actuació. ","")&amp;IF($D303="","Falta l'objectiu. ","")&amp;IF($J303="","Falta el tipus de despesa. ","")&amp;IF(AND($J303&lt;&gt;"",$J303&lt;&gt;"Mitjans propis",$J303&lt;&gt;"Altres",$M303=""),"Falta l'import. ","")&amp;IF(AND($J303="Contracte menor a càrrec del RAE",$K303=""),"Falta la partida RAE. ","")&amp;IF(AND($B303&lt;&gt;"",COUNTIF($B$6:$B$705,$B303)&gt;1),"Codi RAE repetit. ","")&amp;IF(AND($B303&lt;&gt;"",$J303&lt;&gt;"",$J303&lt;&gt;"Contracte menor a càrrec del RAE"),"Té codi RAE però no és de tipus RAE. ","")&amp;IF($N303="","Falta l'indicador del Pla. ","")&amp;IF($R303="","Falta el gestor. ","")&amp;IF($S303="","Falta indicar si és recurrent. ",""))))</f>
        <v/>
      </c>
    </row>
    <row r="304">
      <c r="A304" s="10">
        <f>IF($D304="","","27_"&amp;IFERROR(INDEX(Objectius!$E$2:$E$183,MATCH($D304,Objectius!$A$2:$A$183,0)),"??")&amp;"_"&amp;TEXT(COUNTIF($I$6:$I304,$I304),"00"))</f>
        <v/>
      </c>
      <c r="B304" s="11" t="n"/>
      <c r="C304" s="11" t="n"/>
      <c r="D304" s="11" t="n"/>
      <c r="E304" s="10">
        <f>IF($D304="","",IFERROR(INDEX(Objectius!$C$2:$C$183,MATCH($D304,Objectius!$A$2:$A$183,0)),"Objectiu no trobat al Pla"))</f>
        <v/>
      </c>
      <c r="F304" s="11" t="n"/>
      <c r="G304" s="11" t="n"/>
      <c r="H304" s="11" t="n"/>
      <c r="I304" s="10">
        <f>IF($D304="","",IFERROR(INDEX(Objectius!$D$2:$D$183,MATCH($D304,Objectius!$A$2:$A$183,0)),""))</f>
        <v/>
      </c>
      <c r="J304" s="11" t="n"/>
      <c r="K304" s="11" t="n"/>
      <c r="L304" s="11" t="n"/>
      <c r="M304" s="12" t="n"/>
      <c r="N304" s="11" t="n"/>
      <c r="O304" s="10">
        <f>IF($N304="","",IFERROR(INDEX('PLA ESTRATÈGIC'!$G$4:$G$452,MATCH($N304,'PLA ESTRATÈGIC'!$Q$4:$Q$452,0)),""))</f>
        <v/>
      </c>
      <c r="P304" s="10">
        <f>IF($N304="","",IFERROR(INDEX('PLA ESTRATÈGIC'!$H$4:$H$452,MATCH($N304,'PLA ESTRATÈGIC'!$Q$4:$Q$452,0)),""))</f>
        <v/>
      </c>
      <c r="Q304" s="13" t="n"/>
      <c r="R304" s="11" t="n"/>
      <c r="S304" s="11" t="n"/>
      <c r="T304" s="11" t="n"/>
      <c r="U304" s="11" t="n"/>
      <c r="V304" s="10">
        <f>IF(COUNTA($C304,$D304,$J304,$M304)=0,"",IF(TRIM(IF($C304="","Falta l'actuació. ","")&amp;IF($D304="","Falta l'objectiu. ","")&amp;IF($J304="","Falta el tipus de despesa. ","")&amp;IF(AND($J304&lt;&gt;"",$J304&lt;&gt;"Mitjans propis",$J304&lt;&gt;"Altres",$M304=""),"Falta l'import. ","")&amp;IF(AND($J304="Contracte menor a càrrec del RAE",$K304=""),"Falta la partida RAE. ","")&amp;IF(AND($B304&lt;&gt;"",COUNTIF($B$6:$B$705,$B304)&gt;1),"Codi RAE repetit. ","")&amp;IF(AND($B304&lt;&gt;"",$J304&lt;&gt;"",$J304&lt;&gt;"Contracte menor a càrrec del RAE"),"Té codi RAE però no és de tipus RAE. ","")&amp;IF($N304="","Falta l'indicador del Pla. ","")&amp;IF($R304="","Falta el gestor. ","")&amp;IF($S304="","Falta indicar si és recurrent. ",""))="","✔",TRIM(IF($C304="","Falta l'actuació. ","")&amp;IF($D304="","Falta l'objectiu. ","")&amp;IF($J304="","Falta el tipus de despesa. ","")&amp;IF(AND($J304&lt;&gt;"",$J304&lt;&gt;"Mitjans propis",$J304&lt;&gt;"Altres",$M304=""),"Falta l'import. ","")&amp;IF(AND($J304="Contracte menor a càrrec del RAE",$K304=""),"Falta la partida RAE. ","")&amp;IF(AND($B304&lt;&gt;"",COUNTIF($B$6:$B$705,$B304)&gt;1),"Codi RAE repetit. ","")&amp;IF(AND($B304&lt;&gt;"",$J304&lt;&gt;"",$J304&lt;&gt;"Contracte menor a càrrec del RAE"),"Té codi RAE però no és de tipus RAE. ","")&amp;IF($N304="","Falta l'indicador del Pla. ","")&amp;IF($R304="","Falta el gestor. ","")&amp;IF($S304="","Falta indicar si és recurrent. ",""))))</f>
        <v/>
      </c>
    </row>
    <row r="305">
      <c r="A305" s="10">
        <f>IF($D305="","","27_"&amp;IFERROR(INDEX(Objectius!$E$2:$E$183,MATCH($D305,Objectius!$A$2:$A$183,0)),"??")&amp;"_"&amp;TEXT(COUNTIF($I$6:$I305,$I305),"00"))</f>
        <v/>
      </c>
      <c r="B305" s="11" t="n"/>
      <c r="C305" s="11" t="n"/>
      <c r="D305" s="11" t="n"/>
      <c r="E305" s="10">
        <f>IF($D305="","",IFERROR(INDEX(Objectius!$C$2:$C$183,MATCH($D305,Objectius!$A$2:$A$183,0)),"Objectiu no trobat al Pla"))</f>
        <v/>
      </c>
      <c r="F305" s="11" t="n"/>
      <c r="G305" s="11" t="n"/>
      <c r="H305" s="11" t="n"/>
      <c r="I305" s="10">
        <f>IF($D305="","",IFERROR(INDEX(Objectius!$D$2:$D$183,MATCH($D305,Objectius!$A$2:$A$183,0)),""))</f>
        <v/>
      </c>
      <c r="J305" s="11" t="n"/>
      <c r="K305" s="11" t="n"/>
      <c r="L305" s="11" t="n"/>
      <c r="M305" s="12" t="n"/>
      <c r="N305" s="11" t="n"/>
      <c r="O305" s="10">
        <f>IF($N305="","",IFERROR(INDEX('PLA ESTRATÈGIC'!$G$4:$G$452,MATCH($N305,'PLA ESTRATÈGIC'!$Q$4:$Q$452,0)),""))</f>
        <v/>
      </c>
      <c r="P305" s="10">
        <f>IF($N305="","",IFERROR(INDEX('PLA ESTRATÈGIC'!$H$4:$H$452,MATCH($N305,'PLA ESTRATÈGIC'!$Q$4:$Q$452,0)),""))</f>
        <v/>
      </c>
      <c r="Q305" s="13" t="n"/>
      <c r="R305" s="11" t="n"/>
      <c r="S305" s="11" t="n"/>
      <c r="T305" s="11" t="n"/>
      <c r="U305" s="11" t="n"/>
      <c r="V305" s="10">
        <f>IF(COUNTA($C305,$D305,$J305,$M305)=0,"",IF(TRIM(IF($C305="","Falta l'actuació. ","")&amp;IF($D305="","Falta l'objectiu. ","")&amp;IF($J305="","Falta el tipus de despesa. ","")&amp;IF(AND($J305&lt;&gt;"",$J305&lt;&gt;"Mitjans propis",$J305&lt;&gt;"Altres",$M305=""),"Falta l'import. ","")&amp;IF(AND($J305="Contracte menor a càrrec del RAE",$K305=""),"Falta la partida RAE. ","")&amp;IF(AND($B305&lt;&gt;"",COUNTIF($B$6:$B$705,$B305)&gt;1),"Codi RAE repetit. ","")&amp;IF(AND($B305&lt;&gt;"",$J305&lt;&gt;"",$J305&lt;&gt;"Contracte menor a càrrec del RAE"),"Té codi RAE però no és de tipus RAE. ","")&amp;IF($N305="","Falta l'indicador del Pla. ","")&amp;IF($R305="","Falta el gestor. ","")&amp;IF($S305="","Falta indicar si és recurrent. ",""))="","✔",TRIM(IF($C305="","Falta l'actuació. ","")&amp;IF($D305="","Falta l'objectiu. ","")&amp;IF($J305="","Falta el tipus de despesa. ","")&amp;IF(AND($J305&lt;&gt;"",$J305&lt;&gt;"Mitjans propis",$J305&lt;&gt;"Altres",$M305=""),"Falta l'import. ","")&amp;IF(AND($J305="Contracte menor a càrrec del RAE",$K305=""),"Falta la partida RAE. ","")&amp;IF(AND($B305&lt;&gt;"",COUNTIF($B$6:$B$705,$B305)&gt;1),"Codi RAE repetit. ","")&amp;IF(AND($B305&lt;&gt;"",$J305&lt;&gt;"",$J305&lt;&gt;"Contracte menor a càrrec del RAE"),"Té codi RAE però no és de tipus RAE. ","")&amp;IF($N305="","Falta l'indicador del Pla. ","")&amp;IF($R305="","Falta el gestor. ","")&amp;IF($S305="","Falta indicar si és recurrent. ",""))))</f>
        <v/>
      </c>
    </row>
    <row r="306">
      <c r="A306" s="10">
        <f>IF($D306="","","27_"&amp;IFERROR(INDEX(Objectius!$E$2:$E$183,MATCH($D306,Objectius!$A$2:$A$183,0)),"??")&amp;"_"&amp;TEXT(COUNTIF($I$6:$I306,$I306),"00"))</f>
        <v/>
      </c>
      <c r="B306" s="11" t="n"/>
      <c r="C306" s="11" t="n"/>
      <c r="D306" s="11" t="n"/>
      <c r="E306" s="10">
        <f>IF($D306="","",IFERROR(INDEX(Objectius!$C$2:$C$183,MATCH($D306,Objectius!$A$2:$A$183,0)),"Objectiu no trobat al Pla"))</f>
        <v/>
      </c>
      <c r="F306" s="11" t="n"/>
      <c r="G306" s="11" t="n"/>
      <c r="H306" s="11" t="n"/>
      <c r="I306" s="10">
        <f>IF($D306="","",IFERROR(INDEX(Objectius!$D$2:$D$183,MATCH($D306,Objectius!$A$2:$A$183,0)),""))</f>
        <v/>
      </c>
      <c r="J306" s="11" t="n"/>
      <c r="K306" s="11" t="n"/>
      <c r="L306" s="11" t="n"/>
      <c r="M306" s="12" t="n"/>
      <c r="N306" s="11" t="n"/>
      <c r="O306" s="10">
        <f>IF($N306="","",IFERROR(INDEX('PLA ESTRATÈGIC'!$G$4:$G$452,MATCH($N306,'PLA ESTRATÈGIC'!$Q$4:$Q$452,0)),""))</f>
        <v/>
      </c>
      <c r="P306" s="10">
        <f>IF($N306="","",IFERROR(INDEX('PLA ESTRATÈGIC'!$H$4:$H$452,MATCH($N306,'PLA ESTRATÈGIC'!$Q$4:$Q$452,0)),""))</f>
        <v/>
      </c>
      <c r="Q306" s="13" t="n"/>
      <c r="R306" s="11" t="n"/>
      <c r="S306" s="11" t="n"/>
      <c r="T306" s="11" t="n"/>
      <c r="U306" s="11" t="n"/>
      <c r="V306" s="10">
        <f>IF(COUNTA($C306,$D306,$J306,$M306)=0,"",IF(TRIM(IF($C306="","Falta l'actuació. ","")&amp;IF($D306="","Falta l'objectiu. ","")&amp;IF($J306="","Falta el tipus de despesa. ","")&amp;IF(AND($J306&lt;&gt;"",$J306&lt;&gt;"Mitjans propis",$J306&lt;&gt;"Altres",$M306=""),"Falta l'import. ","")&amp;IF(AND($J306="Contracte menor a càrrec del RAE",$K306=""),"Falta la partida RAE. ","")&amp;IF(AND($B306&lt;&gt;"",COUNTIF($B$6:$B$705,$B306)&gt;1),"Codi RAE repetit. ","")&amp;IF(AND($B306&lt;&gt;"",$J306&lt;&gt;"",$J306&lt;&gt;"Contracte menor a càrrec del RAE"),"Té codi RAE però no és de tipus RAE. ","")&amp;IF($N306="","Falta l'indicador del Pla. ","")&amp;IF($R306="","Falta el gestor. ","")&amp;IF($S306="","Falta indicar si és recurrent. ",""))="","✔",TRIM(IF($C306="","Falta l'actuació. ","")&amp;IF($D306="","Falta l'objectiu. ","")&amp;IF($J306="","Falta el tipus de despesa. ","")&amp;IF(AND($J306&lt;&gt;"",$J306&lt;&gt;"Mitjans propis",$J306&lt;&gt;"Altres",$M306=""),"Falta l'import. ","")&amp;IF(AND($J306="Contracte menor a càrrec del RAE",$K306=""),"Falta la partida RAE. ","")&amp;IF(AND($B306&lt;&gt;"",COUNTIF($B$6:$B$705,$B306)&gt;1),"Codi RAE repetit. ","")&amp;IF(AND($B306&lt;&gt;"",$J306&lt;&gt;"",$J306&lt;&gt;"Contracte menor a càrrec del RAE"),"Té codi RAE però no és de tipus RAE. ","")&amp;IF($N306="","Falta l'indicador del Pla. ","")&amp;IF($R306="","Falta el gestor. ","")&amp;IF($S306="","Falta indicar si és recurrent. ",""))))</f>
        <v/>
      </c>
    </row>
    <row r="307">
      <c r="A307" s="10">
        <f>IF($D307="","","27_"&amp;IFERROR(INDEX(Objectius!$E$2:$E$183,MATCH($D307,Objectius!$A$2:$A$183,0)),"??")&amp;"_"&amp;TEXT(COUNTIF($I$6:$I307,$I307),"00"))</f>
        <v/>
      </c>
      <c r="B307" s="11" t="n"/>
      <c r="C307" s="11" t="n"/>
      <c r="D307" s="11" t="n"/>
      <c r="E307" s="10">
        <f>IF($D307="","",IFERROR(INDEX(Objectius!$C$2:$C$183,MATCH($D307,Objectius!$A$2:$A$183,0)),"Objectiu no trobat al Pla"))</f>
        <v/>
      </c>
      <c r="F307" s="11" t="n"/>
      <c r="G307" s="11" t="n"/>
      <c r="H307" s="11" t="n"/>
      <c r="I307" s="10">
        <f>IF($D307="","",IFERROR(INDEX(Objectius!$D$2:$D$183,MATCH($D307,Objectius!$A$2:$A$183,0)),""))</f>
        <v/>
      </c>
      <c r="J307" s="11" t="n"/>
      <c r="K307" s="11" t="n"/>
      <c r="L307" s="11" t="n"/>
      <c r="M307" s="12" t="n"/>
      <c r="N307" s="11" t="n"/>
      <c r="O307" s="10">
        <f>IF($N307="","",IFERROR(INDEX('PLA ESTRATÈGIC'!$G$4:$G$452,MATCH($N307,'PLA ESTRATÈGIC'!$Q$4:$Q$452,0)),""))</f>
        <v/>
      </c>
      <c r="P307" s="10">
        <f>IF($N307="","",IFERROR(INDEX('PLA ESTRATÈGIC'!$H$4:$H$452,MATCH($N307,'PLA ESTRATÈGIC'!$Q$4:$Q$452,0)),""))</f>
        <v/>
      </c>
      <c r="Q307" s="13" t="n"/>
      <c r="R307" s="11" t="n"/>
      <c r="S307" s="11" t="n"/>
      <c r="T307" s="11" t="n"/>
      <c r="U307" s="11" t="n"/>
      <c r="V307" s="10">
        <f>IF(COUNTA($C307,$D307,$J307,$M307)=0,"",IF(TRIM(IF($C307="","Falta l'actuació. ","")&amp;IF($D307="","Falta l'objectiu. ","")&amp;IF($J307="","Falta el tipus de despesa. ","")&amp;IF(AND($J307&lt;&gt;"",$J307&lt;&gt;"Mitjans propis",$J307&lt;&gt;"Altres",$M307=""),"Falta l'import. ","")&amp;IF(AND($J307="Contracte menor a càrrec del RAE",$K307=""),"Falta la partida RAE. ","")&amp;IF(AND($B307&lt;&gt;"",COUNTIF($B$6:$B$705,$B307)&gt;1),"Codi RAE repetit. ","")&amp;IF(AND($B307&lt;&gt;"",$J307&lt;&gt;"",$J307&lt;&gt;"Contracte menor a càrrec del RAE"),"Té codi RAE però no és de tipus RAE. ","")&amp;IF($N307="","Falta l'indicador del Pla. ","")&amp;IF($R307="","Falta el gestor. ","")&amp;IF($S307="","Falta indicar si és recurrent. ",""))="","✔",TRIM(IF($C307="","Falta l'actuació. ","")&amp;IF($D307="","Falta l'objectiu. ","")&amp;IF($J307="","Falta el tipus de despesa. ","")&amp;IF(AND($J307&lt;&gt;"",$J307&lt;&gt;"Mitjans propis",$J307&lt;&gt;"Altres",$M307=""),"Falta l'import. ","")&amp;IF(AND($J307="Contracte menor a càrrec del RAE",$K307=""),"Falta la partida RAE. ","")&amp;IF(AND($B307&lt;&gt;"",COUNTIF($B$6:$B$705,$B307)&gt;1),"Codi RAE repetit. ","")&amp;IF(AND($B307&lt;&gt;"",$J307&lt;&gt;"",$J307&lt;&gt;"Contracte menor a càrrec del RAE"),"Té codi RAE però no és de tipus RAE. ","")&amp;IF($N307="","Falta l'indicador del Pla. ","")&amp;IF($R307="","Falta el gestor. ","")&amp;IF($S307="","Falta indicar si és recurrent. ",""))))</f>
        <v/>
      </c>
    </row>
    <row r="308">
      <c r="A308" s="10">
        <f>IF($D308="","","27_"&amp;IFERROR(INDEX(Objectius!$E$2:$E$183,MATCH($D308,Objectius!$A$2:$A$183,0)),"??")&amp;"_"&amp;TEXT(COUNTIF($I$6:$I308,$I308),"00"))</f>
        <v/>
      </c>
      <c r="B308" s="11" t="n"/>
      <c r="C308" s="11" t="n"/>
      <c r="D308" s="11" t="n"/>
      <c r="E308" s="10">
        <f>IF($D308="","",IFERROR(INDEX(Objectius!$C$2:$C$183,MATCH($D308,Objectius!$A$2:$A$183,0)),"Objectiu no trobat al Pla"))</f>
        <v/>
      </c>
      <c r="F308" s="11" t="n"/>
      <c r="G308" s="11" t="n"/>
      <c r="H308" s="11" t="n"/>
      <c r="I308" s="10">
        <f>IF($D308="","",IFERROR(INDEX(Objectius!$D$2:$D$183,MATCH($D308,Objectius!$A$2:$A$183,0)),""))</f>
        <v/>
      </c>
      <c r="J308" s="11" t="n"/>
      <c r="K308" s="11" t="n"/>
      <c r="L308" s="11" t="n"/>
      <c r="M308" s="12" t="n"/>
      <c r="N308" s="11" t="n"/>
      <c r="O308" s="10">
        <f>IF($N308="","",IFERROR(INDEX('PLA ESTRATÈGIC'!$G$4:$G$452,MATCH($N308,'PLA ESTRATÈGIC'!$Q$4:$Q$452,0)),""))</f>
        <v/>
      </c>
      <c r="P308" s="10">
        <f>IF($N308="","",IFERROR(INDEX('PLA ESTRATÈGIC'!$H$4:$H$452,MATCH($N308,'PLA ESTRATÈGIC'!$Q$4:$Q$452,0)),""))</f>
        <v/>
      </c>
      <c r="Q308" s="13" t="n"/>
      <c r="R308" s="11" t="n"/>
      <c r="S308" s="11" t="n"/>
      <c r="T308" s="11" t="n"/>
      <c r="U308" s="11" t="n"/>
      <c r="V308" s="10">
        <f>IF(COUNTA($C308,$D308,$J308,$M308)=0,"",IF(TRIM(IF($C308="","Falta l'actuació. ","")&amp;IF($D308="","Falta l'objectiu. ","")&amp;IF($J308="","Falta el tipus de despesa. ","")&amp;IF(AND($J308&lt;&gt;"",$J308&lt;&gt;"Mitjans propis",$J308&lt;&gt;"Altres",$M308=""),"Falta l'import. ","")&amp;IF(AND($J308="Contracte menor a càrrec del RAE",$K308=""),"Falta la partida RAE. ","")&amp;IF(AND($B308&lt;&gt;"",COUNTIF($B$6:$B$705,$B308)&gt;1),"Codi RAE repetit. ","")&amp;IF(AND($B308&lt;&gt;"",$J308&lt;&gt;"",$J308&lt;&gt;"Contracte menor a càrrec del RAE"),"Té codi RAE però no és de tipus RAE. ","")&amp;IF($N308="","Falta l'indicador del Pla. ","")&amp;IF($R308="","Falta el gestor. ","")&amp;IF($S308="","Falta indicar si és recurrent. ",""))="","✔",TRIM(IF($C308="","Falta l'actuació. ","")&amp;IF($D308="","Falta l'objectiu. ","")&amp;IF($J308="","Falta el tipus de despesa. ","")&amp;IF(AND($J308&lt;&gt;"",$J308&lt;&gt;"Mitjans propis",$J308&lt;&gt;"Altres",$M308=""),"Falta l'import. ","")&amp;IF(AND($J308="Contracte menor a càrrec del RAE",$K308=""),"Falta la partida RAE. ","")&amp;IF(AND($B308&lt;&gt;"",COUNTIF($B$6:$B$705,$B308)&gt;1),"Codi RAE repetit. ","")&amp;IF(AND($B308&lt;&gt;"",$J308&lt;&gt;"",$J308&lt;&gt;"Contracte menor a càrrec del RAE"),"Té codi RAE però no és de tipus RAE. ","")&amp;IF($N308="","Falta l'indicador del Pla. ","")&amp;IF($R308="","Falta el gestor. ","")&amp;IF($S308="","Falta indicar si és recurrent. ",""))))</f>
        <v/>
      </c>
    </row>
    <row r="309">
      <c r="A309" s="10">
        <f>IF($D309="","","27_"&amp;IFERROR(INDEX(Objectius!$E$2:$E$183,MATCH($D309,Objectius!$A$2:$A$183,0)),"??")&amp;"_"&amp;TEXT(COUNTIF($I$6:$I309,$I309),"00"))</f>
        <v/>
      </c>
      <c r="B309" s="11" t="n"/>
      <c r="C309" s="11" t="n"/>
      <c r="D309" s="11" t="n"/>
      <c r="E309" s="10">
        <f>IF($D309="","",IFERROR(INDEX(Objectius!$C$2:$C$183,MATCH($D309,Objectius!$A$2:$A$183,0)),"Objectiu no trobat al Pla"))</f>
        <v/>
      </c>
      <c r="F309" s="11" t="n"/>
      <c r="G309" s="11" t="n"/>
      <c r="H309" s="11" t="n"/>
      <c r="I309" s="10">
        <f>IF($D309="","",IFERROR(INDEX(Objectius!$D$2:$D$183,MATCH($D309,Objectius!$A$2:$A$183,0)),""))</f>
        <v/>
      </c>
      <c r="J309" s="11" t="n"/>
      <c r="K309" s="11" t="n"/>
      <c r="L309" s="11" t="n"/>
      <c r="M309" s="12" t="n"/>
      <c r="N309" s="11" t="n"/>
      <c r="O309" s="10">
        <f>IF($N309="","",IFERROR(INDEX('PLA ESTRATÈGIC'!$G$4:$G$452,MATCH($N309,'PLA ESTRATÈGIC'!$Q$4:$Q$452,0)),""))</f>
        <v/>
      </c>
      <c r="P309" s="10">
        <f>IF($N309="","",IFERROR(INDEX('PLA ESTRATÈGIC'!$H$4:$H$452,MATCH($N309,'PLA ESTRATÈGIC'!$Q$4:$Q$452,0)),""))</f>
        <v/>
      </c>
      <c r="Q309" s="13" t="n"/>
      <c r="R309" s="11" t="n"/>
      <c r="S309" s="11" t="n"/>
      <c r="T309" s="11" t="n"/>
      <c r="U309" s="11" t="n"/>
      <c r="V309" s="10">
        <f>IF(COUNTA($C309,$D309,$J309,$M309)=0,"",IF(TRIM(IF($C309="","Falta l'actuació. ","")&amp;IF($D309="","Falta l'objectiu. ","")&amp;IF($J309="","Falta el tipus de despesa. ","")&amp;IF(AND($J309&lt;&gt;"",$J309&lt;&gt;"Mitjans propis",$J309&lt;&gt;"Altres",$M309=""),"Falta l'import. ","")&amp;IF(AND($J309="Contracte menor a càrrec del RAE",$K309=""),"Falta la partida RAE. ","")&amp;IF(AND($B309&lt;&gt;"",COUNTIF($B$6:$B$705,$B309)&gt;1),"Codi RAE repetit. ","")&amp;IF(AND($B309&lt;&gt;"",$J309&lt;&gt;"",$J309&lt;&gt;"Contracte menor a càrrec del RAE"),"Té codi RAE però no és de tipus RAE. ","")&amp;IF($N309="","Falta l'indicador del Pla. ","")&amp;IF($R309="","Falta el gestor. ","")&amp;IF($S309="","Falta indicar si és recurrent. ",""))="","✔",TRIM(IF($C309="","Falta l'actuació. ","")&amp;IF($D309="","Falta l'objectiu. ","")&amp;IF($J309="","Falta el tipus de despesa. ","")&amp;IF(AND($J309&lt;&gt;"",$J309&lt;&gt;"Mitjans propis",$J309&lt;&gt;"Altres",$M309=""),"Falta l'import. ","")&amp;IF(AND($J309="Contracte menor a càrrec del RAE",$K309=""),"Falta la partida RAE. ","")&amp;IF(AND($B309&lt;&gt;"",COUNTIF($B$6:$B$705,$B309)&gt;1),"Codi RAE repetit. ","")&amp;IF(AND($B309&lt;&gt;"",$J309&lt;&gt;"",$J309&lt;&gt;"Contracte menor a càrrec del RAE"),"Té codi RAE però no és de tipus RAE. ","")&amp;IF($N309="","Falta l'indicador del Pla. ","")&amp;IF($R309="","Falta el gestor. ","")&amp;IF($S309="","Falta indicar si és recurrent. ",""))))</f>
        <v/>
      </c>
    </row>
    <row r="310">
      <c r="A310" s="10">
        <f>IF($D310="","","27_"&amp;IFERROR(INDEX(Objectius!$E$2:$E$183,MATCH($D310,Objectius!$A$2:$A$183,0)),"??")&amp;"_"&amp;TEXT(COUNTIF($I$6:$I310,$I310),"00"))</f>
        <v/>
      </c>
      <c r="B310" s="11" t="n"/>
      <c r="C310" s="11" t="n"/>
      <c r="D310" s="11" t="n"/>
      <c r="E310" s="10">
        <f>IF($D310="","",IFERROR(INDEX(Objectius!$C$2:$C$183,MATCH($D310,Objectius!$A$2:$A$183,0)),"Objectiu no trobat al Pla"))</f>
        <v/>
      </c>
      <c r="F310" s="11" t="n"/>
      <c r="G310" s="11" t="n"/>
      <c r="H310" s="11" t="n"/>
      <c r="I310" s="10">
        <f>IF($D310="","",IFERROR(INDEX(Objectius!$D$2:$D$183,MATCH($D310,Objectius!$A$2:$A$183,0)),""))</f>
        <v/>
      </c>
      <c r="J310" s="11" t="n"/>
      <c r="K310" s="11" t="n"/>
      <c r="L310" s="11" t="n"/>
      <c r="M310" s="12" t="n"/>
      <c r="N310" s="11" t="n"/>
      <c r="O310" s="10">
        <f>IF($N310="","",IFERROR(INDEX('PLA ESTRATÈGIC'!$G$4:$G$452,MATCH($N310,'PLA ESTRATÈGIC'!$Q$4:$Q$452,0)),""))</f>
        <v/>
      </c>
      <c r="P310" s="10">
        <f>IF($N310="","",IFERROR(INDEX('PLA ESTRATÈGIC'!$H$4:$H$452,MATCH($N310,'PLA ESTRATÈGIC'!$Q$4:$Q$452,0)),""))</f>
        <v/>
      </c>
      <c r="Q310" s="13" t="n"/>
      <c r="R310" s="11" t="n"/>
      <c r="S310" s="11" t="n"/>
      <c r="T310" s="11" t="n"/>
      <c r="U310" s="11" t="n"/>
      <c r="V310" s="10">
        <f>IF(COUNTA($C310,$D310,$J310,$M310)=0,"",IF(TRIM(IF($C310="","Falta l'actuació. ","")&amp;IF($D310="","Falta l'objectiu. ","")&amp;IF($J310="","Falta el tipus de despesa. ","")&amp;IF(AND($J310&lt;&gt;"",$J310&lt;&gt;"Mitjans propis",$J310&lt;&gt;"Altres",$M310=""),"Falta l'import. ","")&amp;IF(AND($J310="Contracte menor a càrrec del RAE",$K310=""),"Falta la partida RAE. ","")&amp;IF(AND($B310&lt;&gt;"",COUNTIF($B$6:$B$705,$B310)&gt;1),"Codi RAE repetit. ","")&amp;IF(AND($B310&lt;&gt;"",$J310&lt;&gt;"",$J310&lt;&gt;"Contracte menor a càrrec del RAE"),"Té codi RAE però no és de tipus RAE. ","")&amp;IF($N310="","Falta l'indicador del Pla. ","")&amp;IF($R310="","Falta el gestor. ","")&amp;IF($S310="","Falta indicar si és recurrent. ",""))="","✔",TRIM(IF($C310="","Falta l'actuació. ","")&amp;IF($D310="","Falta l'objectiu. ","")&amp;IF($J310="","Falta el tipus de despesa. ","")&amp;IF(AND($J310&lt;&gt;"",$J310&lt;&gt;"Mitjans propis",$J310&lt;&gt;"Altres",$M310=""),"Falta l'import. ","")&amp;IF(AND($J310="Contracte menor a càrrec del RAE",$K310=""),"Falta la partida RAE. ","")&amp;IF(AND($B310&lt;&gt;"",COUNTIF($B$6:$B$705,$B310)&gt;1),"Codi RAE repetit. ","")&amp;IF(AND($B310&lt;&gt;"",$J310&lt;&gt;"",$J310&lt;&gt;"Contracte menor a càrrec del RAE"),"Té codi RAE però no és de tipus RAE. ","")&amp;IF($N310="","Falta l'indicador del Pla. ","")&amp;IF($R310="","Falta el gestor. ","")&amp;IF($S310="","Falta indicar si és recurrent. ",""))))</f>
        <v/>
      </c>
    </row>
    <row r="311">
      <c r="A311" s="10">
        <f>IF($D311="","","27_"&amp;IFERROR(INDEX(Objectius!$E$2:$E$183,MATCH($D311,Objectius!$A$2:$A$183,0)),"??")&amp;"_"&amp;TEXT(COUNTIF($I$6:$I311,$I311),"00"))</f>
        <v/>
      </c>
      <c r="B311" s="11" t="n"/>
      <c r="C311" s="11" t="n"/>
      <c r="D311" s="11" t="n"/>
      <c r="E311" s="10">
        <f>IF($D311="","",IFERROR(INDEX(Objectius!$C$2:$C$183,MATCH($D311,Objectius!$A$2:$A$183,0)),"Objectiu no trobat al Pla"))</f>
        <v/>
      </c>
      <c r="F311" s="11" t="n"/>
      <c r="G311" s="11" t="n"/>
      <c r="H311" s="11" t="n"/>
      <c r="I311" s="10">
        <f>IF($D311="","",IFERROR(INDEX(Objectius!$D$2:$D$183,MATCH($D311,Objectius!$A$2:$A$183,0)),""))</f>
        <v/>
      </c>
      <c r="J311" s="11" t="n"/>
      <c r="K311" s="11" t="n"/>
      <c r="L311" s="11" t="n"/>
      <c r="M311" s="12" t="n"/>
      <c r="N311" s="11" t="n"/>
      <c r="O311" s="10">
        <f>IF($N311="","",IFERROR(INDEX('PLA ESTRATÈGIC'!$G$4:$G$452,MATCH($N311,'PLA ESTRATÈGIC'!$Q$4:$Q$452,0)),""))</f>
        <v/>
      </c>
      <c r="P311" s="10">
        <f>IF($N311="","",IFERROR(INDEX('PLA ESTRATÈGIC'!$H$4:$H$452,MATCH($N311,'PLA ESTRATÈGIC'!$Q$4:$Q$452,0)),""))</f>
        <v/>
      </c>
      <c r="Q311" s="13" t="n"/>
      <c r="R311" s="11" t="n"/>
      <c r="S311" s="11" t="n"/>
      <c r="T311" s="11" t="n"/>
      <c r="U311" s="11" t="n"/>
      <c r="V311" s="10">
        <f>IF(COUNTA($C311,$D311,$J311,$M311)=0,"",IF(TRIM(IF($C311="","Falta l'actuació. ","")&amp;IF($D311="","Falta l'objectiu. ","")&amp;IF($J311="","Falta el tipus de despesa. ","")&amp;IF(AND($J311&lt;&gt;"",$J311&lt;&gt;"Mitjans propis",$J311&lt;&gt;"Altres",$M311=""),"Falta l'import. ","")&amp;IF(AND($J311="Contracte menor a càrrec del RAE",$K311=""),"Falta la partida RAE. ","")&amp;IF(AND($B311&lt;&gt;"",COUNTIF($B$6:$B$705,$B311)&gt;1),"Codi RAE repetit. ","")&amp;IF(AND($B311&lt;&gt;"",$J311&lt;&gt;"",$J311&lt;&gt;"Contracte menor a càrrec del RAE"),"Té codi RAE però no és de tipus RAE. ","")&amp;IF($N311="","Falta l'indicador del Pla. ","")&amp;IF($R311="","Falta el gestor. ","")&amp;IF($S311="","Falta indicar si és recurrent. ",""))="","✔",TRIM(IF($C311="","Falta l'actuació. ","")&amp;IF($D311="","Falta l'objectiu. ","")&amp;IF($J311="","Falta el tipus de despesa. ","")&amp;IF(AND($J311&lt;&gt;"",$J311&lt;&gt;"Mitjans propis",$J311&lt;&gt;"Altres",$M311=""),"Falta l'import. ","")&amp;IF(AND($J311="Contracte menor a càrrec del RAE",$K311=""),"Falta la partida RAE. ","")&amp;IF(AND($B311&lt;&gt;"",COUNTIF($B$6:$B$705,$B311)&gt;1),"Codi RAE repetit. ","")&amp;IF(AND($B311&lt;&gt;"",$J311&lt;&gt;"",$J311&lt;&gt;"Contracte menor a càrrec del RAE"),"Té codi RAE però no és de tipus RAE. ","")&amp;IF($N311="","Falta l'indicador del Pla. ","")&amp;IF($R311="","Falta el gestor. ","")&amp;IF($S311="","Falta indicar si és recurrent. ",""))))</f>
        <v/>
      </c>
    </row>
    <row r="312">
      <c r="A312" s="10">
        <f>IF($D312="","","27_"&amp;IFERROR(INDEX(Objectius!$E$2:$E$183,MATCH($D312,Objectius!$A$2:$A$183,0)),"??")&amp;"_"&amp;TEXT(COUNTIF($I$6:$I312,$I312),"00"))</f>
        <v/>
      </c>
      <c r="B312" s="11" t="n"/>
      <c r="C312" s="11" t="n"/>
      <c r="D312" s="11" t="n"/>
      <c r="E312" s="10">
        <f>IF($D312="","",IFERROR(INDEX(Objectius!$C$2:$C$183,MATCH($D312,Objectius!$A$2:$A$183,0)),"Objectiu no trobat al Pla"))</f>
        <v/>
      </c>
      <c r="F312" s="11" t="n"/>
      <c r="G312" s="11" t="n"/>
      <c r="H312" s="11" t="n"/>
      <c r="I312" s="10">
        <f>IF($D312="","",IFERROR(INDEX(Objectius!$D$2:$D$183,MATCH($D312,Objectius!$A$2:$A$183,0)),""))</f>
        <v/>
      </c>
      <c r="J312" s="11" t="n"/>
      <c r="K312" s="11" t="n"/>
      <c r="L312" s="11" t="n"/>
      <c r="M312" s="12" t="n"/>
      <c r="N312" s="11" t="n"/>
      <c r="O312" s="10">
        <f>IF($N312="","",IFERROR(INDEX('PLA ESTRATÈGIC'!$G$4:$G$452,MATCH($N312,'PLA ESTRATÈGIC'!$Q$4:$Q$452,0)),""))</f>
        <v/>
      </c>
      <c r="P312" s="10">
        <f>IF($N312="","",IFERROR(INDEX('PLA ESTRATÈGIC'!$H$4:$H$452,MATCH($N312,'PLA ESTRATÈGIC'!$Q$4:$Q$452,0)),""))</f>
        <v/>
      </c>
      <c r="Q312" s="13" t="n"/>
      <c r="R312" s="11" t="n"/>
      <c r="S312" s="11" t="n"/>
      <c r="T312" s="11" t="n"/>
      <c r="U312" s="11" t="n"/>
      <c r="V312" s="10">
        <f>IF(COUNTA($C312,$D312,$J312,$M312)=0,"",IF(TRIM(IF($C312="","Falta l'actuació. ","")&amp;IF($D312="","Falta l'objectiu. ","")&amp;IF($J312="","Falta el tipus de despesa. ","")&amp;IF(AND($J312&lt;&gt;"",$J312&lt;&gt;"Mitjans propis",$J312&lt;&gt;"Altres",$M312=""),"Falta l'import. ","")&amp;IF(AND($J312="Contracte menor a càrrec del RAE",$K312=""),"Falta la partida RAE. ","")&amp;IF(AND($B312&lt;&gt;"",COUNTIF($B$6:$B$705,$B312)&gt;1),"Codi RAE repetit. ","")&amp;IF(AND($B312&lt;&gt;"",$J312&lt;&gt;"",$J312&lt;&gt;"Contracte menor a càrrec del RAE"),"Té codi RAE però no és de tipus RAE. ","")&amp;IF($N312="","Falta l'indicador del Pla. ","")&amp;IF($R312="","Falta el gestor. ","")&amp;IF($S312="","Falta indicar si és recurrent. ",""))="","✔",TRIM(IF($C312="","Falta l'actuació. ","")&amp;IF($D312="","Falta l'objectiu. ","")&amp;IF($J312="","Falta el tipus de despesa. ","")&amp;IF(AND($J312&lt;&gt;"",$J312&lt;&gt;"Mitjans propis",$J312&lt;&gt;"Altres",$M312=""),"Falta l'import. ","")&amp;IF(AND($J312="Contracte menor a càrrec del RAE",$K312=""),"Falta la partida RAE. ","")&amp;IF(AND($B312&lt;&gt;"",COUNTIF($B$6:$B$705,$B312)&gt;1),"Codi RAE repetit. ","")&amp;IF(AND($B312&lt;&gt;"",$J312&lt;&gt;"",$J312&lt;&gt;"Contracte menor a càrrec del RAE"),"Té codi RAE però no és de tipus RAE. ","")&amp;IF($N312="","Falta l'indicador del Pla. ","")&amp;IF($R312="","Falta el gestor. ","")&amp;IF($S312="","Falta indicar si és recurrent. ",""))))</f>
        <v/>
      </c>
    </row>
    <row r="313">
      <c r="A313" s="10">
        <f>IF($D313="","","27_"&amp;IFERROR(INDEX(Objectius!$E$2:$E$183,MATCH($D313,Objectius!$A$2:$A$183,0)),"??")&amp;"_"&amp;TEXT(COUNTIF($I$6:$I313,$I313),"00"))</f>
        <v/>
      </c>
      <c r="B313" s="11" t="n"/>
      <c r="C313" s="11" t="n"/>
      <c r="D313" s="11" t="n"/>
      <c r="E313" s="10">
        <f>IF($D313="","",IFERROR(INDEX(Objectius!$C$2:$C$183,MATCH($D313,Objectius!$A$2:$A$183,0)),"Objectiu no trobat al Pla"))</f>
        <v/>
      </c>
      <c r="F313" s="11" t="n"/>
      <c r="G313" s="11" t="n"/>
      <c r="H313" s="11" t="n"/>
      <c r="I313" s="10">
        <f>IF($D313="","",IFERROR(INDEX(Objectius!$D$2:$D$183,MATCH($D313,Objectius!$A$2:$A$183,0)),""))</f>
        <v/>
      </c>
      <c r="J313" s="11" t="n"/>
      <c r="K313" s="11" t="n"/>
      <c r="L313" s="11" t="n"/>
      <c r="M313" s="12" t="n"/>
      <c r="N313" s="11" t="n"/>
      <c r="O313" s="10">
        <f>IF($N313="","",IFERROR(INDEX('PLA ESTRATÈGIC'!$G$4:$G$452,MATCH($N313,'PLA ESTRATÈGIC'!$Q$4:$Q$452,0)),""))</f>
        <v/>
      </c>
      <c r="P313" s="10">
        <f>IF($N313="","",IFERROR(INDEX('PLA ESTRATÈGIC'!$H$4:$H$452,MATCH($N313,'PLA ESTRATÈGIC'!$Q$4:$Q$452,0)),""))</f>
        <v/>
      </c>
      <c r="Q313" s="13" t="n"/>
      <c r="R313" s="11" t="n"/>
      <c r="S313" s="11" t="n"/>
      <c r="T313" s="11" t="n"/>
      <c r="U313" s="11" t="n"/>
      <c r="V313" s="10">
        <f>IF(COUNTA($C313,$D313,$J313,$M313)=0,"",IF(TRIM(IF($C313="","Falta l'actuació. ","")&amp;IF($D313="","Falta l'objectiu. ","")&amp;IF($J313="","Falta el tipus de despesa. ","")&amp;IF(AND($J313&lt;&gt;"",$J313&lt;&gt;"Mitjans propis",$J313&lt;&gt;"Altres",$M313=""),"Falta l'import. ","")&amp;IF(AND($J313="Contracte menor a càrrec del RAE",$K313=""),"Falta la partida RAE. ","")&amp;IF(AND($B313&lt;&gt;"",COUNTIF($B$6:$B$705,$B313)&gt;1),"Codi RAE repetit. ","")&amp;IF(AND($B313&lt;&gt;"",$J313&lt;&gt;"",$J313&lt;&gt;"Contracte menor a càrrec del RAE"),"Té codi RAE però no és de tipus RAE. ","")&amp;IF($N313="","Falta l'indicador del Pla. ","")&amp;IF($R313="","Falta el gestor. ","")&amp;IF($S313="","Falta indicar si és recurrent. ",""))="","✔",TRIM(IF($C313="","Falta l'actuació. ","")&amp;IF($D313="","Falta l'objectiu. ","")&amp;IF($J313="","Falta el tipus de despesa. ","")&amp;IF(AND($J313&lt;&gt;"",$J313&lt;&gt;"Mitjans propis",$J313&lt;&gt;"Altres",$M313=""),"Falta l'import. ","")&amp;IF(AND($J313="Contracte menor a càrrec del RAE",$K313=""),"Falta la partida RAE. ","")&amp;IF(AND($B313&lt;&gt;"",COUNTIF($B$6:$B$705,$B313)&gt;1),"Codi RAE repetit. ","")&amp;IF(AND($B313&lt;&gt;"",$J313&lt;&gt;"",$J313&lt;&gt;"Contracte menor a càrrec del RAE"),"Té codi RAE però no és de tipus RAE. ","")&amp;IF($N313="","Falta l'indicador del Pla. ","")&amp;IF($R313="","Falta el gestor. ","")&amp;IF($S313="","Falta indicar si és recurrent. ",""))))</f>
        <v/>
      </c>
    </row>
    <row r="314">
      <c r="A314" s="10">
        <f>IF($D314="","","27_"&amp;IFERROR(INDEX(Objectius!$E$2:$E$183,MATCH($D314,Objectius!$A$2:$A$183,0)),"??")&amp;"_"&amp;TEXT(COUNTIF($I$6:$I314,$I314),"00"))</f>
        <v/>
      </c>
      <c r="B314" s="11" t="n"/>
      <c r="C314" s="11" t="n"/>
      <c r="D314" s="11" t="n"/>
      <c r="E314" s="10">
        <f>IF($D314="","",IFERROR(INDEX(Objectius!$C$2:$C$183,MATCH($D314,Objectius!$A$2:$A$183,0)),"Objectiu no trobat al Pla"))</f>
        <v/>
      </c>
      <c r="F314" s="11" t="n"/>
      <c r="G314" s="11" t="n"/>
      <c r="H314" s="11" t="n"/>
      <c r="I314" s="10">
        <f>IF($D314="","",IFERROR(INDEX(Objectius!$D$2:$D$183,MATCH($D314,Objectius!$A$2:$A$183,0)),""))</f>
        <v/>
      </c>
      <c r="J314" s="11" t="n"/>
      <c r="K314" s="11" t="n"/>
      <c r="L314" s="11" t="n"/>
      <c r="M314" s="12" t="n"/>
      <c r="N314" s="11" t="n"/>
      <c r="O314" s="10">
        <f>IF($N314="","",IFERROR(INDEX('PLA ESTRATÈGIC'!$G$4:$G$452,MATCH($N314,'PLA ESTRATÈGIC'!$Q$4:$Q$452,0)),""))</f>
        <v/>
      </c>
      <c r="P314" s="10">
        <f>IF($N314="","",IFERROR(INDEX('PLA ESTRATÈGIC'!$H$4:$H$452,MATCH($N314,'PLA ESTRATÈGIC'!$Q$4:$Q$452,0)),""))</f>
        <v/>
      </c>
      <c r="Q314" s="13" t="n"/>
      <c r="R314" s="11" t="n"/>
      <c r="S314" s="11" t="n"/>
      <c r="T314" s="11" t="n"/>
      <c r="U314" s="11" t="n"/>
      <c r="V314" s="10">
        <f>IF(COUNTA($C314,$D314,$J314,$M314)=0,"",IF(TRIM(IF($C314="","Falta l'actuació. ","")&amp;IF($D314="","Falta l'objectiu. ","")&amp;IF($J314="","Falta el tipus de despesa. ","")&amp;IF(AND($J314&lt;&gt;"",$J314&lt;&gt;"Mitjans propis",$J314&lt;&gt;"Altres",$M314=""),"Falta l'import. ","")&amp;IF(AND($J314="Contracte menor a càrrec del RAE",$K314=""),"Falta la partida RAE. ","")&amp;IF(AND($B314&lt;&gt;"",COUNTIF($B$6:$B$705,$B314)&gt;1),"Codi RAE repetit. ","")&amp;IF(AND($B314&lt;&gt;"",$J314&lt;&gt;"",$J314&lt;&gt;"Contracte menor a càrrec del RAE"),"Té codi RAE però no és de tipus RAE. ","")&amp;IF($N314="","Falta l'indicador del Pla. ","")&amp;IF($R314="","Falta el gestor. ","")&amp;IF($S314="","Falta indicar si és recurrent. ",""))="","✔",TRIM(IF($C314="","Falta l'actuació. ","")&amp;IF($D314="","Falta l'objectiu. ","")&amp;IF($J314="","Falta el tipus de despesa. ","")&amp;IF(AND($J314&lt;&gt;"",$J314&lt;&gt;"Mitjans propis",$J314&lt;&gt;"Altres",$M314=""),"Falta l'import. ","")&amp;IF(AND($J314="Contracte menor a càrrec del RAE",$K314=""),"Falta la partida RAE. ","")&amp;IF(AND($B314&lt;&gt;"",COUNTIF($B$6:$B$705,$B314)&gt;1),"Codi RAE repetit. ","")&amp;IF(AND($B314&lt;&gt;"",$J314&lt;&gt;"",$J314&lt;&gt;"Contracte menor a càrrec del RAE"),"Té codi RAE però no és de tipus RAE. ","")&amp;IF($N314="","Falta l'indicador del Pla. ","")&amp;IF($R314="","Falta el gestor. ","")&amp;IF($S314="","Falta indicar si és recurrent. ",""))))</f>
        <v/>
      </c>
    </row>
    <row r="315">
      <c r="A315" s="10">
        <f>IF($D315="","","27_"&amp;IFERROR(INDEX(Objectius!$E$2:$E$183,MATCH($D315,Objectius!$A$2:$A$183,0)),"??")&amp;"_"&amp;TEXT(COUNTIF($I$6:$I315,$I315),"00"))</f>
        <v/>
      </c>
      <c r="B315" s="11" t="n"/>
      <c r="C315" s="11" t="n"/>
      <c r="D315" s="11" t="n"/>
      <c r="E315" s="10">
        <f>IF($D315="","",IFERROR(INDEX(Objectius!$C$2:$C$183,MATCH($D315,Objectius!$A$2:$A$183,0)),"Objectiu no trobat al Pla"))</f>
        <v/>
      </c>
      <c r="F315" s="11" t="n"/>
      <c r="G315" s="11" t="n"/>
      <c r="H315" s="11" t="n"/>
      <c r="I315" s="10">
        <f>IF($D315="","",IFERROR(INDEX(Objectius!$D$2:$D$183,MATCH($D315,Objectius!$A$2:$A$183,0)),""))</f>
        <v/>
      </c>
      <c r="J315" s="11" t="n"/>
      <c r="K315" s="11" t="n"/>
      <c r="L315" s="11" t="n"/>
      <c r="M315" s="12" t="n"/>
      <c r="N315" s="11" t="n"/>
      <c r="O315" s="10">
        <f>IF($N315="","",IFERROR(INDEX('PLA ESTRATÈGIC'!$G$4:$G$452,MATCH($N315,'PLA ESTRATÈGIC'!$Q$4:$Q$452,0)),""))</f>
        <v/>
      </c>
      <c r="P315" s="10">
        <f>IF($N315="","",IFERROR(INDEX('PLA ESTRATÈGIC'!$H$4:$H$452,MATCH($N315,'PLA ESTRATÈGIC'!$Q$4:$Q$452,0)),""))</f>
        <v/>
      </c>
      <c r="Q315" s="13" t="n"/>
      <c r="R315" s="11" t="n"/>
      <c r="S315" s="11" t="n"/>
      <c r="T315" s="11" t="n"/>
      <c r="U315" s="11" t="n"/>
      <c r="V315" s="10">
        <f>IF(COUNTA($C315,$D315,$J315,$M315)=0,"",IF(TRIM(IF($C315="","Falta l'actuació. ","")&amp;IF($D315="","Falta l'objectiu. ","")&amp;IF($J315="","Falta el tipus de despesa. ","")&amp;IF(AND($J315&lt;&gt;"",$J315&lt;&gt;"Mitjans propis",$J315&lt;&gt;"Altres",$M315=""),"Falta l'import. ","")&amp;IF(AND($J315="Contracte menor a càrrec del RAE",$K315=""),"Falta la partida RAE. ","")&amp;IF(AND($B315&lt;&gt;"",COUNTIF($B$6:$B$705,$B315)&gt;1),"Codi RAE repetit. ","")&amp;IF(AND($B315&lt;&gt;"",$J315&lt;&gt;"",$J315&lt;&gt;"Contracte menor a càrrec del RAE"),"Té codi RAE però no és de tipus RAE. ","")&amp;IF($N315="","Falta l'indicador del Pla. ","")&amp;IF($R315="","Falta el gestor. ","")&amp;IF($S315="","Falta indicar si és recurrent. ",""))="","✔",TRIM(IF($C315="","Falta l'actuació. ","")&amp;IF($D315="","Falta l'objectiu. ","")&amp;IF($J315="","Falta el tipus de despesa. ","")&amp;IF(AND($J315&lt;&gt;"",$J315&lt;&gt;"Mitjans propis",$J315&lt;&gt;"Altres",$M315=""),"Falta l'import. ","")&amp;IF(AND($J315="Contracte menor a càrrec del RAE",$K315=""),"Falta la partida RAE. ","")&amp;IF(AND($B315&lt;&gt;"",COUNTIF($B$6:$B$705,$B315)&gt;1),"Codi RAE repetit. ","")&amp;IF(AND($B315&lt;&gt;"",$J315&lt;&gt;"",$J315&lt;&gt;"Contracte menor a càrrec del RAE"),"Té codi RAE però no és de tipus RAE. ","")&amp;IF($N315="","Falta l'indicador del Pla. ","")&amp;IF($R315="","Falta el gestor. ","")&amp;IF($S315="","Falta indicar si és recurrent. ",""))))</f>
        <v/>
      </c>
    </row>
    <row r="316">
      <c r="A316" s="10">
        <f>IF($D316="","","27_"&amp;IFERROR(INDEX(Objectius!$E$2:$E$183,MATCH($D316,Objectius!$A$2:$A$183,0)),"??")&amp;"_"&amp;TEXT(COUNTIF($I$6:$I316,$I316),"00"))</f>
        <v/>
      </c>
      <c r="B316" s="11" t="n"/>
      <c r="C316" s="11" t="n"/>
      <c r="D316" s="11" t="n"/>
      <c r="E316" s="10">
        <f>IF($D316="","",IFERROR(INDEX(Objectius!$C$2:$C$183,MATCH($D316,Objectius!$A$2:$A$183,0)),"Objectiu no trobat al Pla"))</f>
        <v/>
      </c>
      <c r="F316" s="11" t="n"/>
      <c r="G316" s="11" t="n"/>
      <c r="H316" s="11" t="n"/>
      <c r="I316" s="10">
        <f>IF($D316="","",IFERROR(INDEX(Objectius!$D$2:$D$183,MATCH($D316,Objectius!$A$2:$A$183,0)),""))</f>
        <v/>
      </c>
      <c r="J316" s="11" t="n"/>
      <c r="K316" s="11" t="n"/>
      <c r="L316" s="11" t="n"/>
      <c r="M316" s="12" t="n"/>
      <c r="N316" s="11" t="n"/>
      <c r="O316" s="10">
        <f>IF($N316="","",IFERROR(INDEX('PLA ESTRATÈGIC'!$G$4:$G$452,MATCH($N316,'PLA ESTRATÈGIC'!$Q$4:$Q$452,0)),""))</f>
        <v/>
      </c>
      <c r="P316" s="10">
        <f>IF($N316="","",IFERROR(INDEX('PLA ESTRATÈGIC'!$H$4:$H$452,MATCH($N316,'PLA ESTRATÈGIC'!$Q$4:$Q$452,0)),""))</f>
        <v/>
      </c>
      <c r="Q316" s="13" t="n"/>
      <c r="R316" s="11" t="n"/>
      <c r="S316" s="11" t="n"/>
      <c r="T316" s="11" t="n"/>
      <c r="U316" s="11" t="n"/>
      <c r="V316" s="10">
        <f>IF(COUNTA($C316,$D316,$J316,$M316)=0,"",IF(TRIM(IF($C316="","Falta l'actuació. ","")&amp;IF($D316="","Falta l'objectiu. ","")&amp;IF($J316="","Falta el tipus de despesa. ","")&amp;IF(AND($J316&lt;&gt;"",$J316&lt;&gt;"Mitjans propis",$J316&lt;&gt;"Altres",$M316=""),"Falta l'import. ","")&amp;IF(AND($J316="Contracte menor a càrrec del RAE",$K316=""),"Falta la partida RAE. ","")&amp;IF(AND($B316&lt;&gt;"",COUNTIF($B$6:$B$705,$B316)&gt;1),"Codi RAE repetit. ","")&amp;IF(AND($B316&lt;&gt;"",$J316&lt;&gt;"",$J316&lt;&gt;"Contracte menor a càrrec del RAE"),"Té codi RAE però no és de tipus RAE. ","")&amp;IF($N316="","Falta l'indicador del Pla. ","")&amp;IF($R316="","Falta el gestor. ","")&amp;IF($S316="","Falta indicar si és recurrent. ",""))="","✔",TRIM(IF($C316="","Falta l'actuació. ","")&amp;IF($D316="","Falta l'objectiu. ","")&amp;IF($J316="","Falta el tipus de despesa. ","")&amp;IF(AND($J316&lt;&gt;"",$J316&lt;&gt;"Mitjans propis",$J316&lt;&gt;"Altres",$M316=""),"Falta l'import. ","")&amp;IF(AND($J316="Contracte menor a càrrec del RAE",$K316=""),"Falta la partida RAE. ","")&amp;IF(AND($B316&lt;&gt;"",COUNTIF($B$6:$B$705,$B316)&gt;1),"Codi RAE repetit. ","")&amp;IF(AND($B316&lt;&gt;"",$J316&lt;&gt;"",$J316&lt;&gt;"Contracte menor a càrrec del RAE"),"Té codi RAE però no és de tipus RAE. ","")&amp;IF($N316="","Falta l'indicador del Pla. ","")&amp;IF($R316="","Falta el gestor. ","")&amp;IF($S316="","Falta indicar si és recurrent. ",""))))</f>
        <v/>
      </c>
    </row>
    <row r="317">
      <c r="A317" s="10">
        <f>IF($D317="","","27_"&amp;IFERROR(INDEX(Objectius!$E$2:$E$183,MATCH($D317,Objectius!$A$2:$A$183,0)),"??")&amp;"_"&amp;TEXT(COUNTIF($I$6:$I317,$I317),"00"))</f>
        <v/>
      </c>
      <c r="B317" s="11" t="n"/>
      <c r="C317" s="11" t="n"/>
      <c r="D317" s="11" t="n"/>
      <c r="E317" s="10">
        <f>IF($D317="","",IFERROR(INDEX(Objectius!$C$2:$C$183,MATCH($D317,Objectius!$A$2:$A$183,0)),"Objectiu no trobat al Pla"))</f>
        <v/>
      </c>
      <c r="F317" s="11" t="n"/>
      <c r="G317" s="11" t="n"/>
      <c r="H317" s="11" t="n"/>
      <c r="I317" s="10">
        <f>IF($D317="","",IFERROR(INDEX(Objectius!$D$2:$D$183,MATCH($D317,Objectius!$A$2:$A$183,0)),""))</f>
        <v/>
      </c>
      <c r="J317" s="11" t="n"/>
      <c r="K317" s="11" t="n"/>
      <c r="L317" s="11" t="n"/>
      <c r="M317" s="12" t="n"/>
      <c r="N317" s="11" t="n"/>
      <c r="O317" s="10">
        <f>IF($N317="","",IFERROR(INDEX('PLA ESTRATÈGIC'!$G$4:$G$452,MATCH($N317,'PLA ESTRATÈGIC'!$Q$4:$Q$452,0)),""))</f>
        <v/>
      </c>
      <c r="P317" s="10">
        <f>IF($N317="","",IFERROR(INDEX('PLA ESTRATÈGIC'!$H$4:$H$452,MATCH($N317,'PLA ESTRATÈGIC'!$Q$4:$Q$452,0)),""))</f>
        <v/>
      </c>
      <c r="Q317" s="13" t="n"/>
      <c r="R317" s="11" t="n"/>
      <c r="S317" s="11" t="n"/>
      <c r="T317" s="11" t="n"/>
      <c r="U317" s="11" t="n"/>
      <c r="V317" s="10">
        <f>IF(COUNTA($C317,$D317,$J317,$M317)=0,"",IF(TRIM(IF($C317="","Falta l'actuació. ","")&amp;IF($D317="","Falta l'objectiu. ","")&amp;IF($J317="","Falta el tipus de despesa. ","")&amp;IF(AND($J317&lt;&gt;"",$J317&lt;&gt;"Mitjans propis",$J317&lt;&gt;"Altres",$M317=""),"Falta l'import. ","")&amp;IF(AND($J317="Contracte menor a càrrec del RAE",$K317=""),"Falta la partida RAE. ","")&amp;IF(AND($B317&lt;&gt;"",COUNTIF($B$6:$B$705,$B317)&gt;1),"Codi RAE repetit. ","")&amp;IF(AND($B317&lt;&gt;"",$J317&lt;&gt;"",$J317&lt;&gt;"Contracte menor a càrrec del RAE"),"Té codi RAE però no és de tipus RAE. ","")&amp;IF($N317="","Falta l'indicador del Pla. ","")&amp;IF($R317="","Falta el gestor. ","")&amp;IF($S317="","Falta indicar si és recurrent. ",""))="","✔",TRIM(IF($C317="","Falta l'actuació. ","")&amp;IF($D317="","Falta l'objectiu. ","")&amp;IF($J317="","Falta el tipus de despesa. ","")&amp;IF(AND($J317&lt;&gt;"",$J317&lt;&gt;"Mitjans propis",$J317&lt;&gt;"Altres",$M317=""),"Falta l'import. ","")&amp;IF(AND($J317="Contracte menor a càrrec del RAE",$K317=""),"Falta la partida RAE. ","")&amp;IF(AND($B317&lt;&gt;"",COUNTIF($B$6:$B$705,$B317)&gt;1),"Codi RAE repetit. ","")&amp;IF(AND($B317&lt;&gt;"",$J317&lt;&gt;"",$J317&lt;&gt;"Contracte menor a càrrec del RAE"),"Té codi RAE però no és de tipus RAE. ","")&amp;IF($N317="","Falta l'indicador del Pla. ","")&amp;IF($R317="","Falta el gestor. ","")&amp;IF($S317="","Falta indicar si és recurrent. ",""))))</f>
        <v/>
      </c>
    </row>
    <row r="318">
      <c r="A318" s="10">
        <f>IF($D318="","","27_"&amp;IFERROR(INDEX(Objectius!$E$2:$E$183,MATCH($D318,Objectius!$A$2:$A$183,0)),"??")&amp;"_"&amp;TEXT(COUNTIF($I$6:$I318,$I318),"00"))</f>
        <v/>
      </c>
      <c r="B318" s="11" t="n"/>
      <c r="C318" s="11" t="n"/>
      <c r="D318" s="11" t="n"/>
      <c r="E318" s="10">
        <f>IF($D318="","",IFERROR(INDEX(Objectius!$C$2:$C$183,MATCH($D318,Objectius!$A$2:$A$183,0)),"Objectiu no trobat al Pla"))</f>
        <v/>
      </c>
      <c r="F318" s="11" t="n"/>
      <c r="G318" s="11" t="n"/>
      <c r="H318" s="11" t="n"/>
      <c r="I318" s="10">
        <f>IF($D318="","",IFERROR(INDEX(Objectius!$D$2:$D$183,MATCH($D318,Objectius!$A$2:$A$183,0)),""))</f>
        <v/>
      </c>
      <c r="J318" s="11" t="n"/>
      <c r="K318" s="11" t="n"/>
      <c r="L318" s="11" t="n"/>
      <c r="M318" s="12" t="n"/>
      <c r="N318" s="11" t="n"/>
      <c r="O318" s="10">
        <f>IF($N318="","",IFERROR(INDEX('PLA ESTRATÈGIC'!$G$4:$G$452,MATCH($N318,'PLA ESTRATÈGIC'!$Q$4:$Q$452,0)),""))</f>
        <v/>
      </c>
      <c r="P318" s="10">
        <f>IF($N318="","",IFERROR(INDEX('PLA ESTRATÈGIC'!$H$4:$H$452,MATCH($N318,'PLA ESTRATÈGIC'!$Q$4:$Q$452,0)),""))</f>
        <v/>
      </c>
      <c r="Q318" s="13" t="n"/>
      <c r="R318" s="11" t="n"/>
      <c r="S318" s="11" t="n"/>
      <c r="T318" s="11" t="n"/>
      <c r="U318" s="11" t="n"/>
      <c r="V318" s="10">
        <f>IF(COUNTA($C318,$D318,$J318,$M318)=0,"",IF(TRIM(IF($C318="","Falta l'actuació. ","")&amp;IF($D318="","Falta l'objectiu. ","")&amp;IF($J318="","Falta el tipus de despesa. ","")&amp;IF(AND($J318&lt;&gt;"",$J318&lt;&gt;"Mitjans propis",$J318&lt;&gt;"Altres",$M318=""),"Falta l'import. ","")&amp;IF(AND($J318="Contracte menor a càrrec del RAE",$K318=""),"Falta la partida RAE. ","")&amp;IF(AND($B318&lt;&gt;"",COUNTIF($B$6:$B$705,$B318)&gt;1),"Codi RAE repetit. ","")&amp;IF(AND($B318&lt;&gt;"",$J318&lt;&gt;"",$J318&lt;&gt;"Contracte menor a càrrec del RAE"),"Té codi RAE però no és de tipus RAE. ","")&amp;IF($N318="","Falta l'indicador del Pla. ","")&amp;IF($R318="","Falta el gestor. ","")&amp;IF($S318="","Falta indicar si és recurrent. ",""))="","✔",TRIM(IF($C318="","Falta l'actuació. ","")&amp;IF($D318="","Falta l'objectiu. ","")&amp;IF($J318="","Falta el tipus de despesa. ","")&amp;IF(AND($J318&lt;&gt;"",$J318&lt;&gt;"Mitjans propis",$J318&lt;&gt;"Altres",$M318=""),"Falta l'import. ","")&amp;IF(AND($J318="Contracte menor a càrrec del RAE",$K318=""),"Falta la partida RAE. ","")&amp;IF(AND($B318&lt;&gt;"",COUNTIF($B$6:$B$705,$B318)&gt;1),"Codi RAE repetit. ","")&amp;IF(AND($B318&lt;&gt;"",$J318&lt;&gt;"",$J318&lt;&gt;"Contracte menor a càrrec del RAE"),"Té codi RAE però no és de tipus RAE. ","")&amp;IF($N318="","Falta l'indicador del Pla. ","")&amp;IF($R318="","Falta el gestor. ","")&amp;IF($S318="","Falta indicar si és recurrent. ",""))))</f>
        <v/>
      </c>
    </row>
    <row r="319">
      <c r="A319" s="10">
        <f>IF($D319="","","27_"&amp;IFERROR(INDEX(Objectius!$E$2:$E$183,MATCH($D319,Objectius!$A$2:$A$183,0)),"??")&amp;"_"&amp;TEXT(COUNTIF($I$6:$I319,$I319),"00"))</f>
        <v/>
      </c>
      <c r="B319" s="11" t="n"/>
      <c r="C319" s="11" t="n"/>
      <c r="D319" s="11" t="n"/>
      <c r="E319" s="10">
        <f>IF($D319="","",IFERROR(INDEX(Objectius!$C$2:$C$183,MATCH($D319,Objectius!$A$2:$A$183,0)),"Objectiu no trobat al Pla"))</f>
        <v/>
      </c>
      <c r="F319" s="11" t="n"/>
      <c r="G319" s="11" t="n"/>
      <c r="H319" s="11" t="n"/>
      <c r="I319" s="10">
        <f>IF($D319="","",IFERROR(INDEX(Objectius!$D$2:$D$183,MATCH($D319,Objectius!$A$2:$A$183,0)),""))</f>
        <v/>
      </c>
      <c r="J319" s="11" t="n"/>
      <c r="K319" s="11" t="n"/>
      <c r="L319" s="11" t="n"/>
      <c r="M319" s="12" t="n"/>
      <c r="N319" s="11" t="n"/>
      <c r="O319" s="10">
        <f>IF($N319="","",IFERROR(INDEX('PLA ESTRATÈGIC'!$G$4:$G$452,MATCH($N319,'PLA ESTRATÈGIC'!$Q$4:$Q$452,0)),""))</f>
        <v/>
      </c>
      <c r="P319" s="10">
        <f>IF($N319="","",IFERROR(INDEX('PLA ESTRATÈGIC'!$H$4:$H$452,MATCH($N319,'PLA ESTRATÈGIC'!$Q$4:$Q$452,0)),""))</f>
        <v/>
      </c>
      <c r="Q319" s="13" t="n"/>
      <c r="R319" s="11" t="n"/>
      <c r="S319" s="11" t="n"/>
      <c r="T319" s="11" t="n"/>
      <c r="U319" s="11" t="n"/>
      <c r="V319" s="10">
        <f>IF(COUNTA($C319,$D319,$J319,$M319)=0,"",IF(TRIM(IF($C319="","Falta l'actuació. ","")&amp;IF($D319="","Falta l'objectiu. ","")&amp;IF($J319="","Falta el tipus de despesa. ","")&amp;IF(AND($J319&lt;&gt;"",$J319&lt;&gt;"Mitjans propis",$J319&lt;&gt;"Altres",$M319=""),"Falta l'import. ","")&amp;IF(AND($J319="Contracte menor a càrrec del RAE",$K319=""),"Falta la partida RAE. ","")&amp;IF(AND($B319&lt;&gt;"",COUNTIF($B$6:$B$705,$B319)&gt;1),"Codi RAE repetit. ","")&amp;IF(AND($B319&lt;&gt;"",$J319&lt;&gt;"",$J319&lt;&gt;"Contracte menor a càrrec del RAE"),"Té codi RAE però no és de tipus RAE. ","")&amp;IF($N319="","Falta l'indicador del Pla. ","")&amp;IF($R319="","Falta el gestor. ","")&amp;IF($S319="","Falta indicar si és recurrent. ",""))="","✔",TRIM(IF($C319="","Falta l'actuació. ","")&amp;IF($D319="","Falta l'objectiu. ","")&amp;IF($J319="","Falta el tipus de despesa. ","")&amp;IF(AND($J319&lt;&gt;"",$J319&lt;&gt;"Mitjans propis",$J319&lt;&gt;"Altres",$M319=""),"Falta l'import. ","")&amp;IF(AND($J319="Contracte menor a càrrec del RAE",$K319=""),"Falta la partida RAE. ","")&amp;IF(AND($B319&lt;&gt;"",COUNTIF($B$6:$B$705,$B319)&gt;1),"Codi RAE repetit. ","")&amp;IF(AND($B319&lt;&gt;"",$J319&lt;&gt;"",$J319&lt;&gt;"Contracte menor a càrrec del RAE"),"Té codi RAE però no és de tipus RAE. ","")&amp;IF($N319="","Falta l'indicador del Pla. ","")&amp;IF($R319="","Falta el gestor. ","")&amp;IF($S319="","Falta indicar si és recurrent. ",""))))</f>
        <v/>
      </c>
    </row>
    <row r="320">
      <c r="A320" s="10">
        <f>IF($D320="","","27_"&amp;IFERROR(INDEX(Objectius!$E$2:$E$183,MATCH($D320,Objectius!$A$2:$A$183,0)),"??")&amp;"_"&amp;TEXT(COUNTIF($I$6:$I320,$I320),"00"))</f>
        <v/>
      </c>
      <c r="B320" s="11" t="n"/>
      <c r="C320" s="11" t="n"/>
      <c r="D320" s="11" t="n"/>
      <c r="E320" s="10">
        <f>IF($D320="","",IFERROR(INDEX(Objectius!$C$2:$C$183,MATCH($D320,Objectius!$A$2:$A$183,0)),"Objectiu no trobat al Pla"))</f>
        <v/>
      </c>
      <c r="F320" s="11" t="n"/>
      <c r="G320" s="11" t="n"/>
      <c r="H320" s="11" t="n"/>
      <c r="I320" s="10">
        <f>IF($D320="","",IFERROR(INDEX(Objectius!$D$2:$D$183,MATCH($D320,Objectius!$A$2:$A$183,0)),""))</f>
        <v/>
      </c>
      <c r="J320" s="11" t="n"/>
      <c r="K320" s="11" t="n"/>
      <c r="L320" s="11" t="n"/>
      <c r="M320" s="12" t="n"/>
      <c r="N320" s="11" t="n"/>
      <c r="O320" s="10">
        <f>IF($N320="","",IFERROR(INDEX('PLA ESTRATÈGIC'!$G$4:$G$452,MATCH($N320,'PLA ESTRATÈGIC'!$Q$4:$Q$452,0)),""))</f>
        <v/>
      </c>
      <c r="P320" s="10">
        <f>IF($N320="","",IFERROR(INDEX('PLA ESTRATÈGIC'!$H$4:$H$452,MATCH($N320,'PLA ESTRATÈGIC'!$Q$4:$Q$452,0)),""))</f>
        <v/>
      </c>
      <c r="Q320" s="13" t="n"/>
      <c r="R320" s="11" t="n"/>
      <c r="S320" s="11" t="n"/>
      <c r="T320" s="11" t="n"/>
      <c r="U320" s="11" t="n"/>
      <c r="V320" s="10">
        <f>IF(COUNTA($C320,$D320,$J320,$M320)=0,"",IF(TRIM(IF($C320="","Falta l'actuació. ","")&amp;IF($D320="","Falta l'objectiu. ","")&amp;IF($J320="","Falta el tipus de despesa. ","")&amp;IF(AND($J320&lt;&gt;"",$J320&lt;&gt;"Mitjans propis",$J320&lt;&gt;"Altres",$M320=""),"Falta l'import. ","")&amp;IF(AND($J320="Contracte menor a càrrec del RAE",$K320=""),"Falta la partida RAE. ","")&amp;IF(AND($B320&lt;&gt;"",COUNTIF($B$6:$B$705,$B320)&gt;1),"Codi RAE repetit. ","")&amp;IF(AND($B320&lt;&gt;"",$J320&lt;&gt;"",$J320&lt;&gt;"Contracte menor a càrrec del RAE"),"Té codi RAE però no és de tipus RAE. ","")&amp;IF($N320="","Falta l'indicador del Pla. ","")&amp;IF($R320="","Falta el gestor. ","")&amp;IF($S320="","Falta indicar si és recurrent. ",""))="","✔",TRIM(IF($C320="","Falta l'actuació. ","")&amp;IF($D320="","Falta l'objectiu. ","")&amp;IF($J320="","Falta el tipus de despesa. ","")&amp;IF(AND($J320&lt;&gt;"",$J320&lt;&gt;"Mitjans propis",$J320&lt;&gt;"Altres",$M320=""),"Falta l'import. ","")&amp;IF(AND($J320="Contracte menor a càrrec del RAE",$K320=""),"Falta la partida RAE. ","")&amp;IF(AND($B320&lt;&gt;"",COUNTIF($B$6:$B$705,$B320)&gt;1),"Codi RAE repetit. ","")&amp;IF(AND($B320&lt;&gt;"",$J320&lt;&gt;"",$J320&lt;&gt;"Contracte menor a càrrec del RAE"),"Té codi RAE però no és de tipus RAE. ","")&amp;IF($N320="","Falta l'indicador del Pla. ","")&amp;IF($R320="","Falta el gestor. ","")&amp;IF($S320="","Falta indicar si és recurrent. ",""))))</f>
        <v/>
      </c>
    </row>
    <row r="321">
      <c r="A321" s="10">
        <f>IF($D321="","","27_"&amp;IFERROR(INDEX(Objectius!$E$2:$E$183,MATCH($D321,Objectius!$A$2:$A$183,0)),"??")&amp;"_"&amp;TEXT(COUNTIF($I$6:$I321,$I321),"00"))</f>
        <v/>
      </c>
      <c r="B321" s="11" t="n"/>
      <c r="C321" s="11" t="n"/>
      <c r="D321" s="11" t="n"/>
      <c r="E321" s="10">
        <f>IF($D321="","",IFERROR(INDEX(Objectius!$C$2:$C$183,MATCH($D321,Objectius!$A$2:$A$183,0)),"Objectiu no trobat al Pla"))</f>
        <v/>
      </c>
      <c r="F321" s="11" t="n"/>
      <c r="G321" s="11" t="n"/>
      <c r="H321" s="11" t="n"/>
      <c r="I321" s="10">
        <f>IF($D321="","",IFERROR(INDEX(Objectius!$D$2:$D$183,MATCH($D321,Objectius!$A$2:$A$183,0)),""))</f>
        <v/>
      </c>
      <c r="J321" s="11" t="n"/>
      <c r="K321" s="11" t="n"/>
      <c r="L321" s="11" t="n"/>
      <c r="M321" s="12" t="n"/>
      <c r="N321" s="11" t="n"/>
      <c r="O321" s="10">
        <f>IF($N321="","",IFERROR(INDEX('PLA ESTRATÈGIC'!$G$4:$G$452,MATCH($N321,'PLA ESTRATÈGIC'!$Q$4:$Q$452,0)),""))</f>
        <v/>
      </c>
      <c r="P321" s="10">
        <f>IF($N321="","",IFERROR(INDEX('PLA ESTRATÈGIC'!$H$4:$H$452,MATCH($N321,'PLA ESTRATÈGIC'!$Q$4:$Q$452,0)),""))</f>
        <v/>
      </c>
      <c r="Q321" s="13" t="n"/>
      <c r="R321" s="11" t="n"/>
      <c r="S321" s="11" t="n"/>
      <c r="T321" s="11" t="n"/>
      <c r="U321" s="11" t="n"/>
      <c r="V321" s="10">
        <f>IF(COUNTA($C321,$D321,$J321,$M321)=0,"",IF(TRIM(IF($C321="","Falta l'actuació. ","")&amp;IF($D321="","Falta l'objectiu. ","")&amp;IF($J321="","Falta el tipus de despesa. ","")&amp;IF(AND($J321&lt;&gt;"",$J321&lt;&gt;"Mitjans propis",$J321&lt;&gt;"Altres",$M321=""),"Falta l'import. ","")&amp;IF(AND($J321="Contracte menor a càrrec del RAE",$K321=""),"Falta la partida RAE. ","")&amp;IF(AND($B321&lt;&gt;"",COUNTIF($B$6:$B$705,$B321)&gt;1),"Codi RAE repetit. ","")&amp;IF(AND($B321&lt;&gt;"",$J321&lt;&gt;"",$J321&lt;&gt;"Contracte menor a càrrec del RAE"),"Té codi RAE però no és de tipus RAE. ","")&amp;IF($N321="","Falta l'indicador del Pla. ","")&amp;IF($R321="","Falta el gestor. ","")&amp;IF($S321="","Falta indicar si és recurrent. ",""))="","✔",TRIM(IF($C321="","Falta l'actuació. ","")&amp;IF($D321="","Falta l'objectiu. ","")&amp;IF($J321="","Falta el tipus de despesa. ","")&amp;IF(AND($J321&lt;&gt;"",$J321&lt;&gt;"Mitjans propis",$J321&lt;&gt;"Altres",$M321=""),"Falta l'import. ","")&amp;IF(AND($J321="Contracte menor a càrrec del RAE",$K321=""),"Falta la partida RAE. ","")&amp;IF(AND($B321&lt;&gt;"",COUNTIF($B$6:$B$705,$B321)&gt;1),"Codi RAE repetit. ","")&amp;IF(AND($B321&lt;&gt;"",$J321&lt;&gt;"",$J321&lt;&gt;"Contracte menor a càrrec del RAE"),"Té codi RAE però no és de tipus RAE. ","")&amp;IF($N321="","Falta l'indicador del Pla. ","")&amp;IF($R321="","Falta el gestor. ","")&amp;IF($S321="","Falta indicar si és recurrent. ",""))))</f>
        <v/>
      </c>
    </row>
    <row r="322">
      <c r="A322" s="10">
        <f>IF($D322="","","27_"&amp;IFERROR(INDEX(Objectius!$E$2:$E$183,MATCH($D322,Objectius!$A$2:$A$183,0)),"??")&amp;"_"&amp;TEXT(COUNTIF($I$6:$I322,$I322),"00"))</f>
        <v/>
      </c>
      <c r="B322" s="11" t="n"/>
      <c r="C322" s="11" t="n"/>
      <c r="D322" s="11" t="n"/>
      <c r="E322" s="10">
        <f>IF($D322="","",IFERROR(INDEX(Objectius!$C$2:$C$183,MATCH($D322,Objectius!$A$2:$A$183,0)),"Objectiu no trobat al Pla"))</f>
        <v/>
      </c>
      <c r="F322" s="11" t="n"/>
      <c r="G322" s="11" t="n"/>
      <c r="H322" s="11" t="n"/>
      <c r="I322" s="10">
        <f>IF($D322="","",IFERROR(INDEX(Objectius!$D$2:$D$183,MATCH($D322,Objectius!$A$2:$A$183,0)),""))</f>
        <v/>
      </c>
      <c r="J322" s="11" t="n"/>
      <c r="K322" s="11" t="n"/>
      <c r="L322" s="11" t="n"/>
      <c r="M322" s="12" t="n"/>
      <c r="N322" s="11" t="n"/>
      <c r="O322" s="10">
        <f>IF($N322="","",IFERROR(INDEX('PLA ESTRATÈGIC'!$G$4:$G$452,MATCH($N322,'PLA ESTRATÈGIC'!$Q$4:$Q$452,0)),""))</f>
        <v/>
      </c>
      <c r="P322" s="10">
        <f>IF($N322="","",IFERROR(INDEX('PLA ESTRATÈGIC'!$H$4:$H$452,MATCH($N322,'PLA ESTRATÈGIC'!$Q$4:$Q$452,0)),""))</f>
        <v/>
      </c>
      <c r="Q322" s="13" t="n"/>
      <c r="R322" s="11" t="n"/>
      <c r="S322" s="11" t="n"/>
      <c r="T322" s="11" t="n"/>
      <c r="U322" s="11" t="n"/>
      <c r="V322" s="10">
        <f>IF(COUNTA($C322,$D322,$J322,$M322)=0,"",IF(TRIM(IF($C322="","Falta l'actuació. ","")&amp;IF($D322="","Falta l'objectiu. ","")&amp;IF($J322="","Falta el tipus de despesa. ","")&amp;IF(AND($J322&lt;&gt;"",$J322&lt;&gt;"Mitjans propis",$J322&lt;&gt;"Altres",$M322=""),"Falta l'import. ","")&amp;IF(AND($J322="Contracte menor a càrrec del RAE",$K322=""),"Falta la partida RAE. ","")&amp;IF(AND($B322&lt;&gt;"",COUNTIF($B$6:$B$705,$B322)&gt;1),"Codi RAE repetit. ","")&amp;IF(AND($B322&lt;&gt;"",$J322&lt;&gt;"",$J322&lt;&gt;"Contracte menor a càrrec del RAE"),"Té codi RAE però no és de tipus RAE. ","")&amp;IF($N322="","Falta l'indicador del Pla. ","")&amp;IF($R322="","Falta el gestor. ","")&amp;IF($S322="","Falta indicar si és recurrent. ",""))="","✔",TRIM(IF($C322="","Falta l'actuació. ","")&amp;IF($D322="","Falta l'objectiu. ","")&amp;IF($J322="","Falta el tipus de despesa. ","")&amp;IF(AND($J322&lt;&gt;"",$J322&lt;&gt;"Mitjans propis",$J322&lt;&gt;"Altres",$M322=""),"Falta l'import. ","")&amp;IF(AND($J322="Contracte menor a càrrec del RAE",$K322=""),"Falta la partida RAE. ","")&amp;IF(AND($B322&lt;&gt;"",COUNTIF($B$6:$B$705,$B322)&gt;1),"Codi RAE repetit. ","")&amp;IF(AND($B322&lt;&gt;"",$J322&lt;&gt;"",$J322&lt;&gt;"Contracte menor a càrrec del RAE"),"Té codi RAE però no és de tipus RAE. ","")&amp;IF($N322="","Falta l'indicador del Pla. ","")&amp;IF($R322="","Falta el gestor. ","")&amp;IF($S322="","Falta indicar si és recurrent. ",""))))</f>
        <v/>
      </c>
    </row>
    <row r="323">
      <c r="A323" s="10">
        <f>IF($D323="","","27_"&amp;IFERROR(INDEX(Objectius!$E$2:$E$183,MATCH($D323,Objectius!$A$2:$A$183,0)),"??")&amp;"_"&amp;TEXT(COUNTIF($I$6:$I323,$I323),"00"))</f>
        <v/>
      </c>
      <c r="B323" s="11" t="n"/>
      <c r="C323" s="11" t="n"/>
      <c r="D323" s="11" t="n"/>
      <c r="E323" s="10">
        <f>IF($D323="","",IFERROR(INDEX(Objectius!$C$2:$C$183,MATCH($D323,Objectius!$A$2:$A$183,0)),"Objectiu no trobat al Pla"))</f>
        <v/>
      </c>
      <c r="F323" s="11" t="n"/>
      <c r="G323" s="11" t="n"/>
      <c r="H323" s="11" t="n"/>
      <c r="I323" s="10">
        <f>IF($D323="","",IFERROR(INDEX(Objectius!$D$2:$D$183,MATCH($D323,Objectius!$A$2:$A$183,0)),""))</f>
        <v/>
      </c>
      <c r="J323" s="11" t="n"/>
      <c r="K323" s="11" t="n"/>
      <c r="L323" s="11" t="n"/>
      <c r="M323" s="12" t="n"/>
      <c r="N323" s="11" t="n"/>
      <c r="O323" s="10">
        <f>IF($N323="","",IFERROR(INDEX('PLA ESTRATÈGIC'!$G$4:$G$452,MATCH($N323,'PLA ESTRATÈGIC'!$Q$4:$Q$452,0)),""))</f>
        <v/>
      </c>
      <c r="P323" s="10">
        <f>IF($N323="","",IFERROR(INDEX('PLA ESTRATÈGIC'!$H$4:$H$452,MATCH($N323,'PLA ESTRATÈGIC'!$Q$4:$Q$452,0)),""))</f>
        <v/>
      </c>
      <c r="Q323" s="13" t="n"/>
      <c r="R323" s="11" t="n"/>
      <c r="S323" s="11" t="n"/>
      <c r="T323" s="11" t="n"/>
      <c r="U323" s="11" t="n"/>
      <c r="V323" s="10">
        <f>IF(COUNTA($C323,$D323,$J323,$M323)=0,"",IF(TRIM(IF($C323="","Falta l'actuació. ","")&amp;IF($D323="","Falta l'objectiu. ","")&amp;IF($J323="","Falta el tipus de despesa. ","")&amp;IF(AND($J323&lt;&gt;"",$J323&lt;&gt;"Mitjans propis",$J323&lt;&gt;"Altres",$M323=""),"Falta l'import. ","")&amp;IF(AND($J323="Contracte menor a càrrec del RAE",$K323=""),"Falta la partida RAE. ","")&amp;IF(AND($B323&lt;&gt;"",COUNTIF($B$6:$B$705,$B323)&gt;1),"Codi RAE repetit. ","")&amp;IF(AND($B323&lt;&gt;"",$J323&lt;&gt;"",$J323&lt;&gt;"Contracte menor a càrrec del RAE"),"Té codi RAE però no és de tipus RAE. ","")&amp;IF($N323="","Falta l'indicador del Pla. ","")&amp;IF($R323="","Falta el gestor. ","")&amp;IF($S323="","Falta indicar si és recurrent. ",""))="","✔",TRIM(IF($C323="","Falta l'actuació. ","")&amp;IF($D323="","Falta l'objectiu. ","")&amp;IF($J323="","Falta el tipus de despesa. ","")&amp;IF(AND($J323&lt;&gt;"",$J323&lt;&gt;"Mitjans propis",$J323&lt;&gt;"Altres",$M323=""),"Falta l'import. ","")&amp;IF(AND($J323="Contracte menor a càrrec del RAE",$K323=""),"Falta la partida RAE. ","")&amp;IF(AND($B323&lt;&gt;"",COUNTIF($B$6:$B$705,$B323)&gt;1),"Codi RAE repetit. ","")&amp;IF(AND($B323&lt;&gt;"",$J323&lt;&gt;"",$J323&lt;&gt;"Contracte menor a càrrec del RAE"),"Té codi RAE però no és de tipus RAE. ","")&amp;IF($N323="","Falta l'indicador del Pla. ","")&amp;IF($R323="","Falta el gestor. ","")&amp;IF($S323="","Falta indicar si és recurrent. ",""))))</f>
        <v/>
      </c>
    </row>
    <row r="324">
      <c r="A324" s="10">
        <f>IF($D324="","","27_"&amp;IFERROR(INDEX(Objectius!$E$2:$E$183,MATCH($D324,Objectius!$A$2:$A$183,0)),"??")&amp;"_"&amp;TEXT(COUNTIF($I$6:$I324,$I324),"00"))</f>
        <v/>
      </c>
      <c r="B324" s="11" t="n"/>
      <c r="C324" s="11" t="n"/>
      <c r="D324" s="11" t="n"/>
      <c r="E324" s="10">
        <f>IF($D324="","",IFERROR(INDEX(Objectius!$C$2:$C$183,MATCH($D324,Objectius!$A$2:$A$183,0)),"Objectiu no trobat al Pla"))</f>
        <v/>
      </c>
      <c r="F324" s="11" t="n"/>
      <c r="G324" s="11" t="n"/>
      <c r="H324" s="11" t="n"/>
      <c r="I324" s="10">
        <f>IF($D324="","",IFERROR(INDEX(Objectius!$D$2:$D$183,MATCH($D324,Objectius!$A$2:$A$183,0)),""))</f>
        <v/>
      </c>
      <c r="J324" s="11" t="n"/>
      <c r="K324" s="11" t="n"/>
      <c r="L324" s="11" t="n"/>
      <c r="M324" s="12" t="n"/>
      <c r="N324" s="11" t="n"/>
      <c r="O324" s="10">
        <f>IF($N324="","",IFERROR(INDEX('PLA ESTRATÈGIC'!$G$4:$G$452,MATCH($N324,'PLA ESTRATÈGIC'!$Q$4:$Q$452,0)),""))</f>
        <v/>
      </c>
      <c r="P324" s="10">
        <f>IF($N324="","",IFERROR(INDEX('PLA ESTRATÈGIC'!$H$4:$H$452,MATCH($N324,'PLA ESTRATÈGIC'!$Q$4:$Q$452,0)),""))</f>
        <v/>
      </c>
      <c r="Q324" s="13" t="n"/>
      <c r="R324" s="11" t="n"/>
      <c r="S324" s="11" t="n"/>
      <c r="T324" s="11" t="n"/>
      <c r="U324" s="11" t="n"/>
      <c r="V324" s="10">
        <f>IF(COUNTA($C324,$D324,$J324,$M324)=0,"",IF(TRIM(IF($C324="","Falta l'actuació. ","")&amp;IF($D324="","Falta l'objectiu. ","")&amp;IF($J324="","Falta el tipus de despesa. ","")&amp;IF(AND($J324&lt;&gt;"",$J324&lt;&gt;"Mitjans propis",$J324&lt;&gt;"Altres",$M324=""),"Falta l'import. ","")&amp;IF(AND($J324="Contracte menor a càrrec del RAE",$K324=""),"Falta la partida RAE. ","")&amp;IF(AND($B324&lt;&gt;"",COUNTIF($B$6:$B$705,$B324)&gt;1),"Codi RAE repetit. ","")&amp;IF(AND($B324&lt;&gt;"",$J324&lt;&gt;"",$J324&lt;&gt;"Contracte menor a càrrec del RAE"),"Té codi RAE però no és de tipus RAE. ","")&amp;IF($N324="","Falta l'indicador del Pla. ","")&amp;IF($R324="","Falta el gestor. ","")&amp;IF($S324="","Falta indicar si és recurrent. ",""))="","✔",TRIM(IF($C324="","Falta l'actuació. ","")&amp;IF($D324="","Falta l'objectiu. ","")&amp;IF($J324="","Falta el tipus de despesa. ","")&amp;IF(AND($J324&lt;&gt;"",$J324&lt;&gt;"Mitjans propis",$J324&lt;&gt;"Altres",$M324=""),"Falta l'import. ","")&amp;IF(AND($J324="Contracte menor a càrrec del RAE",$K324=""),"Falta la partida RAE. ","")&amp;IF(AND($B324&lt;&gt;"",COUNTIF($B$6:$B$705,$B324)&gt;1),"Codi RAE repetit. ","")&amp;IF(AND($B324&lt;&gt;"",$J324&lt;&gt;"",$J324&lt;&gt;"Contracte menor a càrrec del RAE"),"Té codi RAE però no és de tipus RAE. ","")&amp;IF($N324="","Falta l'indicador del Pla. ","")&amp;IF($R324="","Falta el gestor. ","")&amp;IF($S324="","Falta indicar si és recurrent. ",""))))</f>
        <v/>
      </c>
    </row>
    <row r="325">
      <c r="A325" s="10">
        <f>IF($D325="","","27_"&amp;IFERROR(INDEX(Objectius!$E$2:$E$183,MATCH($D325,Objectius!$A$2:$A$183,0)),"??")&amp;"_"&amp;TEXT(COUNTIF($I$6:$I325,$I325),"00"))</f>
        <v/>
      </c>
      <c r="B325" s="11" t="n"/>
      <c r="C325" s="11" t="n"/>
      <c r="D325" s="11" t="n"/>
      <c r="E325" s="10">
        <f>IF($D325="","",IFERROR(INDEX(Objectius!$C$2:$C$183,MATCH($D325,Objectius!$A$2:$A$183,0)),"Objectiu no trobat al Pla"))</f>
        <v/>
      </c>
      <c r="F325" s="11" t="n"/>
      <c r="G325" s="11" t="n"/>
      <c r="H325" s="11" t="n"/>
      <c r="I325" s="10">
        <f>IF($D325="","",IFERROR(INDEX(Objectius!$D$2:$D$183,MATCH($D325,Objectius!$A$2:$A$183,0)),""))</f>
        <v/>
      </c>
      <c r="J325" s="11" t="n"/>
      <c r="K325" s="11" t="n"/>
      <c r="L325" s="11" t="n"/>
      <c r="M325" s="12" t="n"/>
      <c r="N325" s="11" t="n"/>
      <c r="O325" s="10">
        <f>IF($N325="","",IFERROR(INDEX('PLA ESTRATÈGIC'!$G$4:$G$452,MATCH($N325,'PLA ESTRATÈGIC'!$Q$4:$Q$452,0)),""))</f>
        <v/>
      </c>
      <c r="P325" s="10">
        <f>IF($N325="","",IFERROR(INDEX('PLA ESTRATÈGIC'!$H$4:$H$452,MATCH($N325,'PLA ESTRATÈGIC'!$Q$4:$Q$452,0)),""))</f>
        <v/>
      </c>
      <c r="Q325" s="13" t="n"/>
      <c r="R325" s="11" t="n"/>
      <c r="S325" s="11" t="n"/>
      <c r="T325" s="11" t="n"/>
      <c r="U325" s="11" t="n"/>
      <c r="V325" s="10">
        <f>IF(COUNTA($C325,$D325,$J325,$M325)=0,"",IF(TRIM(IF($C325="","Falta l'actuació. ","")&amp;IF($D325="","Falta l'objectiu. ","")&amp;IF($J325="","Falta el tipus de despesa. ","")&amp;IF(AND($J325&lt;&gt;"",$J325&lt;&gt;"Mitjans propis",$J325&lt;&gt;"Altres",$M325=""),"Falta l'import. ","")&amp;IF(AND($J325="Contracte menor a càrrec del RAE",$K325=""),"Falta la partida RAE. ","")&amp;IF(AND($B325&lt;&gt;"",COUNTIF($B$6:$B$705,$B325)&gt;1),"Codi RAE repetit. ","")&amp;IF(AND($B325&lt;&gt;"",$J325&lt;&gt;"",$J325&lt;&gt;"Contracte menor a càrrec del RAE"),"Té codi RAE però no és de tipus RAE. ","")&amp;IF($N325="","Falta l'indicador del Pla. ","")&amp;IF($R325="","Falta el gestor. ","")&amp;IF($S325="","Falta indicar si és recurrent. ",""))="","✔",TRIM(IF($C325="","Falta l'actuació. ","")&amp;IF($D325="","Falta l'objectiu. ","")&amp;IF($J325="","Falta el tipus de despesa. ","")&amp;IF(AND($J325&lt;&gt;"",$J325&lt;&gt;"Mitjans propis",$J325&lt;&gt;"Altres",$M325=""),"Falta l'import. ","")&amp;IF(AND($J325="Contracte menor a càrrec del RAE",$K325=""),"Falta la partida RAE. ","")&amp;IF(AND($B325&lt;&gt;"",COUNTIF($B$6:$B$705,$B325)&gt;1),"Codi RAE repetit. ","")&amp;IF(AND($B325&lt;&gt;"",$J325&lt;&gt;"",$J325&lt;&gt;"Contracte menor a càrrec del RAE"),"Té codi RAE però no és de tipus RAE. ","")&amp;IF($N325="","Falta l'indicador del Pla. ","")&amp;IF($R325="","Falta el gestor. ","")&amp;IF($S325="","Falta indicar si és recurrent. ",""))))</f>
        <v/>
      </c>
    </row>
    <row r="326">
      <c r="A326" s="10">
        <f>IF($D326="","","27_"&amp;IFERROR(INDEX(Objectius!$E$2:$E$183,MATCH($D326,Objectius!$A$2:$A$183,0)),"??")&amp;"_"&amp;TEXT(COUNTIF($I$6:$I326,$I326),"00"))</f>
        <v/>
      </c>
      <c r="B326" s="11" t="n"/>
      <c r="C326" s="11" t="n"/>
      <c r="D326" s="11" t="n"/>
      <c r="E326" s="10">
        <f>IF($D326="","",IFERROR(INDEX(Objectius!$C$2:$C$183,MATCH($D326,Objectius!$A$2:$A$183,0)),"Objectiu no trobat al Pla"))</f>
        <v/>
      </c>
      <c r="F326" s="11" t="n"/>
      <c r="G326" s="11" t="n"/>
      <c r="H326" s="11" t="n"/>
      <c r="I326" s="10">
        <f>IF($D326="","",IFERROR(INDEX(Objectius!$D$2:$D$183,MATCH($D326,Objectius!$A$2:$A$183,0)),""))</f>
        <v/>
      </c>
      <c r="J326" s="11" t="n"/>
      <c r="K326" s="11" t="n"/>
      <c r="L326" s="11" t="n"/>
      <c r="M326" s="12" t="n"/>
      <c r="N326" s="11" t="n"/>
      <c r="O326" s="10">
        <f>IF($N326="","",IFERROR(INDEX('PLA ESTRATÈGIC'!$G$4:$G$452,MATCH($N326,'PLA ESTRATÈGIC'!$Q$4:$Q$452,0)),""))</f>
        <v/>
      </c>
      <c r="P326" s="10">
        <f>IF($N326="","",IFERROR(INDEX('PLA ESTRATÈGIC'!$H$4:$H$452,MATCH($N326,'PLA ESTRATÈGIC'!$Q$4:$Q$452,0)),""))</f>
        <v/>
      </c>
      <c r="Q326" s="13" t="n"/>
      <c r="R326" s="11" t="n"/>
      <c r="S326" s="11" t="n"/>
      <c r="T326" s="11" t="n"/>
      <c r="U326" s="11" t="n"/>
      <c r="V326" s="10">
        <f>IF(COUNTA($C326,$D326,$J326,$M326)=0,"",IF(TRIM(IF($C326="","Falta l'actuació. ","")&amp;IF($D326="","Falta l'objectiu. ","")&amp;IF($J326="","Falta el tipus de despesa. ","")&amp;IF(AND($J326&lt;&gt;"",$J326&lt;&gt;"Mitjans propis",$J326&lt;&gt;"Altres",$M326=""),"Falta l'import. ","")&amp;IF(AND($J326="Contracte menor a càrrec del RAE",$K326=""),"Falta la partida RAE. ","")&amp;IF(AND($B326&lt;&gt;"",COUNTIF($B$6:$B$705,$B326)&gt;1),"Codi RAE repetit. ","")&amp;IF(AND($B326&lt;&gt;"",$J326&lt;&gt;"",$J326&lt;&gt;"Contracte menor a càrrec del RAE"),"Té codi RAE però no és de tipus RAE. ","")&amp;IF($N326="","Falta l'indicador del Pla. ","")&amp;IF($R326="","Falta el gestor. ","")&amp;IF($S326="","Falta indicar si és recurrent. ",""))="","✔",TRIM(IF($C326="","Falta l'actuació. ","")&amp;IF($D326="","Falta l'objectiu. ","")&amp;IF($J326="","Falta el tipus de despesa. ","")&amp;IF(AND($J326&lt;&gt;"",$J326&lt;&gt;"Mitjans propis",$J326&lt;&gt;"Altres",$M326=""),"Falta l'import. ","")&amp;IF(AND($J326="Contracte menor a càrrec del RAE",$K326=""),"Falta la partida RAE. ","")&amp;IF(AND($B326&lt;&gt;"",COUNTIF($B$6:$B$705,$B326)&gt;1),"Codi RAE repetit. ","")&amp;IF(AND($B326&lt;&gt;"",$J326&lt;&gt;"",$J326&lt;&gt;"Contracte menor a càrrec del RAE"),"Té codi RAE però no és de tipus RAE. ","")&amp;IF($N326="","Falta l'indicador del Pla. ","")&amp;IF($R326="","Falta el gestor. ","")&amp;IF($S326="","Falta indicar si és recurrent. ",""))))</f>
        <v/>
      </c>
    </row>
    <row r="327">
      <c r="A327" s="10">
        <f>IF($D327="","","27_"&amp;IFERROR(INDEX(Objectius!$E$2:$E$183,MATCH($D327,Objectius!$A$2:$A$183,0)),"??")&amp;"_"&amp;TEXT(COUNTIF($I$6:$I327,$I327),"00"))</f>
        <v/>
      </c>
      <c r="B327" s="11" t="n"/>
      <c r="C327" s="11" t="n"/>
      <c r="D327" s="11" t="n"/>
      <c r="E327" s="10">
        <f>IF($D327="","",IFERROR(INDEX(Objectius!$C$2:$C$183,MATCH($D327,Objectius!$A$2:$A$183,0)),"Objectiu no trobat al Pla"))</f>
        <v/>
      </c>
      <c r="F327" s="11" t="n"/>
      <c r="G327" s="11" t="n"/>
      <c r="H327" s="11" t="n"/>
      <c r="I327" s="10">
        <f>IF($D327="","",IFERROR(INDEX(Objectius!$D$2:$D$183,MATCH($D327,Objectius!$A$2:$A$183,0)),""))</f>
        <v/>
      </c>
      <c r="J327" s="11" t="n"/>
      <c r="K327" s="11" t="n"/>
      <c r="L327" s="11" t="n"/>
      <c r="M327" s="12" t="n"/>
      <c r="N327" s="11" t="n"/>
      <c r="O327" s="10">
        <f>IF($N327="","",IFERROR(INDEX('PLA ESTRATÈGIC'!$G$4:$G$452,MATCH($N327,'PLA ESTRATÈGIC'!$Q$4:$Q$452,0)),""))</f>
        <v/>
      </c>
      <c r="P327" s="10">
        <f>IF($N327="","",IFERROR(INDEX('PLA ESTRATÈGIC'!$H$4:$H$452,MATCH($N327,'PLA ESTRATÈGIC'!$Q$4:$Q$452,0)),""))</f>
        <v/>
      </c>
      <c r="Q327" s="13" t="n"/>
      <c r="R327" s="11" t="n"/>
      <c r="S327" s="11" t="n"/>
      <c r="T327" s="11" t="n"/>
      <c r="U327" s="11" t="n"/>
      <c r="V327" s="10">
        <f>IF(COUNTA($C327,$D327,$J327,$M327)=0,"",IF(TRIM(IF($C327="","Falta l'actuació. ","")&amp;IF($D327="","Falta l'objectiu. ","")&amp;IF($J327="","Falta el tipus de despesa. ","")&amp;IF(AND($J327&lt;&gt;"",$J327&lt;&gt;"Mitjans propis",$J327&lt;&gt;"Altres",$M327=""),"Falta l'import. ","")&amp;IF(AND($J327="Contracte menor a càrrec del RAE",$K327=""),"Falta la partida RAE. ","")&amp;IF(AND($B327&lt;&gt;"",COUNTIF($B$6:$B$705,$B327)&gt;1),"Codi RAE repetit. ","")&amp;IF(AND($B327&lt;&gt;"",$J327&lt;&gt;"",$J327&lt;&gt;"Contracte menor a càrrec del RAE"),"Té codi RAE però no és de tipus RAE. ","")&amp;IF($N327="","Falta l'indicador del Pla. ","")&amp;IF($R327="","Falta el gestor. ","")&amp;IF($S327="","Falta indicar si és recurrent. ",""))="","✔",TRIM(IF($C327="","Falta l'actuació. ","")&amp;IF($D327="","Falta l'objectiu. ","")&amp;IF($J327="","Falta el tipus de despesa. ","")&amp;IF(AND($J327&lt;&gt;"",$J327&lt;&gt;"Mitjans propis",$J327&lt;&gt;"Altres",$M327=""),"Falta l'import. ","")&amp;IF(AND($J327="Contracte menor a càrrec del RAE",$K327=""),"Falta la partida RAE. ","")&amp;IF(AND($B327&lt;&gt;"",COUNTIF($B$6:$B$705,$B327)&gt;1),"Codi RAE repetit. ","")&amp;IF(AND($B327&lt;&gt;"",$J327&lt;&gt;"",$J327&lt;&gt;"Contracte menor a càrrec del RAE"),"Té codi RAE però no és de tipus RAE. ","")&amp;IF($N327="","Falta l'indicador del Pla. ","")&amp;IF($R327="","Falta el gestor. ","")&amp;IF($S327="","Falta indicar si és recurrent. ",""))))</f>
        <v/>
      </c>
    </row>
    <row r="328">
      <c r="A328" s="10">
        <f>IF($D328="","","27_"&amp;IFERROR(INDEX(Objectius!$E$2:$E$183,MATCH($D328,Objectius!$A$2:$A$183,0)),"??")&amp;"_"&amp;TEXT(COUNTIF($I$6:$I328,$I328),"00"))</f>
        <v/>
      </c>
      <c r="B328" s="11" t="n"/>
      <c r="C328" s="11" t="n"/>
      <c r="D328" s="11" t="n"/>
      <c r="E328" s="10">
        <f>IF($D328="","",IFERROR(INDEX(Objectius!$C$2:$C$183,MATCH($D328,Objectius!$A$2:$A$183,0)),"Objectiu no trobat al Pla"))</f>
        <v/>
      </c>
      <c r="F328" s="11" t="n"/>
      <c r="G328" s="11" t="n"/>
      <c r="H328" s="11" t="n"/>
      <c r="I328" s="10">
        <f>IF($D328="","",IFERROR(INDEX(Objectius!$D$2:$D$183,MATCH($D328,Objectius!$A$2:$A$183,0)),""))</f>
        <v/>
      </c>
      <c r="J328" s="11" t="n"/>
      <c r="K328" s="11" t="n"/>
      <c r="L328" s="11" t="n"/>
      <c r="M328" s="12" t="n"/>
      <c r="N328" s="11" t="n"/>
      <c r="O328" s="10">
        <f>IF($N328="","",IFERROR(INDEX('PLA ESTRATÈGIC'!$G$4:$G$452,MATCH($N328,'PLA ESTRATÈGIC'!$Q$4:$Q$452,0)),""))</f>
        <v/>
      </c>
      <c r="P328" s="10">
        <f>IF($N328="","",IFERROR(INDEX('PLA ESTRATÈGIC'!$H$4:$H$452,MATCH($N328,'PLA ESTRATÈGIC'!$Q$4:$Q$452,0)),""))</f>
        <v/>
      </c>
      <c r="Q328" s="13" t="n"/>
      <c r="R328" s="11" t="n"/>
      <c r="S328" s="11" t="n"/>
      <c r="T328" s="11" t="n"/>
      <c r="U328" s="11" t="n"/>
      <c r="V328" s="10">
        <f>IF(COUNTA($C328,$D328,$J328,$M328)=0,"",IF(TRIM(IF($C328="","Falta l'actuació. ","")&amp;IF($D328="","Falta l'objectiu. ","")&amp;IF($J328="","Falta el tipus de despesa. ","")&amp;IF(AND($J328&lt;&gt;"",$J328&lt;&gt;"Mitjans propis",$J328&lt;&gt;"Altres",$M328=""),"Falta l'import. ","")&amp;IF(AND($J328="Contracte menor a càrrec del RAE",$K328=""),"Falta la partida RAE. ","")&amp;IF(AND($B328&lt;&gt;"",COUNTIF($B$6:$B$705,$B328)&gt;1),"Codi RAE repetit. ","")&amp;IF(AND($B328&lt;&gt;"",$J328&lt;&gt;"",$J328&lt;&gt;"Contracte menor a càrrec del RAE"),"Té codi RAE però no és de tipus RAE. ","")&amp;IF($N328="","Falta l'indicador del Pla. ","")&amp;IF($R328="","Falta el gestor. ","")&amp;IF($S328="","Falta indicar si és recurrent. ",""))="","✔",TRIM(IF($C328="","Falta l'actuació. ","")&amp;IF($D328="","Falta l'objectiu. ","")&amp;IF($J328="","Falta el tipus de despesa. ","")&amp;IF(AND($J328&lt;&gt;"",$J328&lt;&gt;"Mitjans propis",$J328&lt;&gt;"Altres",$M328=""),"Falta l'import. ","")&amp;IF(AND($J328="Contracte menor a càrrec del RAE",$K328=""),"Falta la partida RAE. ","")&amp;IF(AND($B328&lt;&gt;"",COUNTIF($B$6:$B$705,$B328)&gt;1),"Codi RAE repetit. ","")&amp;IF(AND($B328&lt;&gt;"",$J328&lt;&gt;"",$J328&lt;&gt;"Contracte menor a càrrec del RAE"),"Té codi RAE però no és de tipus RAE. ","")&amp;IF($N328="","Falta l'indicador del Pla. ","")&amp;IF($R328="","Falta el gestor. ","")&amp;IF($S328="","Falta indicar si és recurrent. ",""))))</f>
        <v/>
      </c>
    </row>
    <row r="329">
      <c r="A329" s="10">
        <f>IF($D329="","","27_"&amp;IFERROR(INDEX(Objectius!$E$2:$E$183,MATCH($D329,Objectius!$A$2:$A$183,0)),"??")&amp;"_"&amp;TEXT(COUNTIF($I$6:$I329,$I329),"00"))</f>
        <v/>
      </c>
      <c r="B329" s="11" t="n"/>
      <c r="C329" s="11" t="n"/>
      <c r="D329" s="11" t="n"/>
      <c r="E329" s="10">
        <f>IF($D329="","",IFERROR(INDEX(Objectius!$C$2:$C$183,MATCH($D329,Objectius!$A$2:$A$183,0)),"Objectiu no trobat al Pla"))</f>
        <v/>
      </c>
      <c r="F329" s="11" t="n"/>
      <c r="G329" s="11" t="n"/>
      <c r="H329" s="11" t="n"/>
      <c r="I329" s="10">
        <f>IF($D329="","",IFERROR(INDEX(Objectius!$D$2:$D$183,MATCH($D329,Objectius!$A$2:$A$183,0)),""))</f>
        <v/>
      </c>
      <c r="J329" s="11" t="n"/>
      <c r="K329" s="11" t="n"/>
      <c r="L329" s="11" t="n"/>
      <c r="M329" s="12" t="n"/>
      <c r="N329" s="11" t="n"/>
      <c r="O329" s="10">
        <f>IF($N329="","",IFERROR(INDEX('PLA ESTRATÈGIC'!$G$4:$G$452,MATCH($N329,'PLA ESTRATÈGIC'!$Q$4:$Q$452,0)),""))</f>
        <v/>
      </c>
      <c r="P329" s="10">
        <f>IF($N329="","",IFERROR(INDEX('PLA ESTRATÈGIC'!$H$4:$H$452,MATCH($N329,'PLA ESTRATÈGIC'!$Q$4:$Q$452,0)),""))</f>
        <v/>
      </c>
      <c r="Q329" s="13" t="n"/>
      <c r="R329" s="11" t="n"/>
      <c r="S329" s="11" t="n"/>
      <c r="T329" s="11" t="n"/>
      <c r="U329" s="11" t="n"/>
      <c r="V329" s="10">
        <f>IF(COUNTA($C329,$D329,$J329,$M329)=0,"",IF(TRIM(IF($C329="","Falta l'actuació. ","")&amp;IF($D329="","Falta l'objectiu. ","")&amp;IF($J329="","Falta el tipus de despesa. ","")&amp;IF(AND($J329&lt;&gt;"",$J329&lt;&gt;"Mitjans propis",$J329&lt;&gt;"Altres",$M329=""),"Falta l'import. ","")&amp;IF(AND($J329="Contracte menor a càrrec del RAE",$K329=""),"Falta la partida RAE. ","")&amp;IF(AND($B329&lt;&gt;"",COUNTIF($B$6:$B$705,$B329)&gt;1),"Codi RAE repetit. ","")&amp;IF(AND($B329&lt;&gt;"",$J329&lt;&gt;"",$J329&lt;&gt;"Contracte menor a càrrec del RAE"),"Té codi RAE però no és de tipus RAE. ","")&amp;IF($N329="","Falta l'indicador del Pla. ","")&amp;IF($R329="","Falta el gestor. ","")&amp;IF($S329="","Falta indicar si és recurrent. ",""))="","✔",TRIM(IF($C329="","Falta l'actuació. ","")&amp;IF($D329="","Falta l'objectiu. ","")&amp;IF($J329="","Falta el tipus de despesa. ","")&amp;IF(AND($J329&lt;&gt;"",$J329&lt;&gt;"Mitjans propis",$J329&lt;&gt;"Altres",$M329=""),"Falta l'import. ","")&amp;IF(AND($J329="Contracte menor a càrrec del RAE",$K329=""),"Falta la partida RAE. ","")&amp;IF(AND($B329&lt;&gt;"",COUNTIF($B$6:$B$705,$B329)&gt;1),"Codi RAE repetit. ","")&amp;IF(AND($B329&lt;&gt;"",$J329&lt;&gt;"",$J329&lt;&gt;"Contracte menor a càrrec del RAE"),"Té codi RAE però no és de tipus RAE. ","")&amp;IF($N329="","Falta l'indicador del Pla. ","")&amp;IF($R329="","Falta el gestor. ","")&amp;IF($S329="","Falta indicar si és recurrent. ",""))))</f>
        <v/>
      </c>
    </row>
    <row r="330">
      <c r="A330" s="10">
        <f>IF($D330="","","27_"&amp;IFERROR(INDEX(Objectius!$E$2:$E$183,MATCH($D330,Objectius!$A$2:$A$183,0)),"??")&amp;"_"&amp;TEXT(COUNTIF($I$6:$I330,$I330),"00"))</f>
        <v/>
      </c>
      <c r="B330" s="11" t="n"/>
      <c r="C330" s="11" t="n"/>
      <c r="D330" s="11" t="n"/>
      <c r="E330" s="10">
        <f>IF($D330="","",IFERROR(INDEX(Objectius!$C$2:$C$183,MATCH($D330,Objectius!$A$2:$A$183,0)),"Objectiu no trobat al Pla"))</f>
        <v/>
      </c>
      <c r="F330" s="11" t="n"/>
      <c r="G330" s="11" t="n"/>
      <c r="H330" s="11" t="n"/>
      <c r="I330" s="10">
        <f>IF($D330="","",IFERROR(INDEX(Objectius!$D$2:$D$183,MATCH($D330,Objectius!$A$2:$A$183,0)),""))</f>
        <v/>
      </c>
      <c r="J330" s="11" t="n"/>
      <c r="K330" s="11" t="n"/>
      <c r="L330" s="11" t="n"/>
      <c r="M330" s="12" t="n"/>
      <c r="N330" s="11" t="n"/>
      <c r="O330" s="10">
        <f>IF($N330="","",IFERROR(INDEX('PLA ESTRATÈGIC'!$G$4:$G$452,MATCH($N330,'PLA ESTRATÈGIC'!$Q$4:$Q$452,0)),""))</f>
        <v/>
      </c>
      <c r="P330" s="10">
        <f>IF($N330="","",IFERROR(INDEX('PLA ESTRATÈGIC'!$H$4:$H$452,MATCH($N330,'PLA ESTRATÈGIC'!$Q$4:$Q$452,0)),""))</f>
        <v/>
      </c>
      <c r="Q330" s="13" t="n"/>
      <c r="R330" s="11" t="n"/>
      <c r="S330" s="11" t="n"/>
      <c r="T330" s="11" t="n"/>
      <c r="U330" s="11" t="n"/>
      <c r="V330" s="10">
        <f>IF(COUNTA($C330,$D330,$J330,$M330)=0,"",IF(TRIM(IF($C330="","Falta l'actuació. ","")&amp;IF($D330="","Falta l'objectiu. ","")&amp;IF($J330="","Falta el tipus de despesa. ","")&amp;IF(AND($J330&lt;&gt;"",$J330&lt;&gt;"Mitjans propis",$J330&lt;&gt;"Altres",$M330=""),"Falta l'import. ","")&amp;IF(AND($J330="Contracte menor a càrrec del RAE",$K330=""),"Falta la partida RAE. ","")&amp;IF(AND($B330&lt;&gt;"",COUNTIF($B$6:$B$705,$B330)&gt;1),"Codi RAE repetit. ","")&amp;IF(AND($B330&lt;&gt;"",$J330&lt;&gt;"",$J330&lt;&gt;"Contracte menor a càrrec del RAE"),"Té codi RAE però no és de tipus RAE. ","")&amp;IF($N330="","Falta l'indicador del Pla. ","")&amp;IF($R330="","Falta el gestor. ","")&amp;IF($S330="","Falta indicar si és recurrent. ",""))="","✔",TRIM(IF($C330="","Falta l'actuació. ","")&amp;IF($D330="","Falta l'objectiu. ","")&amp;IF($J330="","Falta el tipus de despesa. ","")&amp;IF(AND($J330&lt;&gt;"",$J330&lt;&gt;"Mitjans propis",$J330&lt;&gt;"Altres",$M330=""),"Falta l'import. ","")&amp;IF(AND($J330="Contracte menor a càrrec del RAE",$K330=""),"Falta la partida RAE. ","")&amp;IF(AND($B330&lt;&gt;"",COUNTIF($B$6:$B$705,$B330)&gt;1),"Codi RAE repetit. ","")&amp;IF(AND($B330&lt;&gt;"",$J330&lt;&gt;"",$J330&lt;&gt;"Contracte menor a càrrec del RAE"),"Té codi RAE però no és de tipus RAE. ","")&amp;IF($N330="","Falta l'indicador del Pla. ","")&amp;IF($R330="","Falta el gestor. ","")&amp;IF($S330="","Falta indicar si és recurrent. ",""))))</f>
        <v/>
      </c>
    </row>
    <row r="331">
      <c r="A331" s="10">
        <f>IF($D331="","","27_"&amp;IFERROR(INDEX(Objectius!$E$2:$E$183,MATCH($D331,Objectius!$A$2:$A$183,0)),"??")&amp;"_"&amp;TEXT(COUNTIF($I$6:$I331,$I331),"00"))</f>
        <v/>
      </c>
      <c r="B331" s="11" t="n"/>
      <c r="C331" s="11" t="n"/>
      <c r="D331" s="11" t="n"/>
      <c r="E331" s="10">
        <f>IF($D331="","",IFERROR(INDEX(Objectius!$C$2:$C$183,MATCH($D331,Objectius!$A$2:$A$183,0)),"Objectiu no trobat al Pla"))</f>
        <v/>
      </c>
      <c r="F331" s="11" t="n"/>
      <c r="G331" s="11" t="n"/>
      <c r="H331" s="11" t="n"/>
      <c r="I331" s="10">
        <f>IF($D331="","",IFERROR(INDEX(Objectius!$D$2:$D$183,MATCH($D331,Objectius!$A$2:$A$183,0)),""))</f>
        <v/>
      </c>
      <c r="J331" s="11" t="n"/>
      <c r="K331" s="11" t="n"/>
      <c r="L331" s="11" t="n"/>
      <c r="M331" s="12" t="n"/>
      <c r="N331" s="11" t="n"/>
      <c r="O331" s="10">
        <f>IF($N331="","",IFERROR(INDEX('PLA ESTRATÈGIC'!$G$4:$G$452,MATCH($N331,'PLA ESTRATÈGIC'!$Q$4:$Q$452,0)),""))</f>
        <v/>
      </c>
      <c r="P331" s="10">
        <f>IF($N331="","",IFERROR(INDEX('PLA ESTRATÈGIC'!$H$4:$H$452,MATCH($N331,'PLA ESTRATÈGIC'!$Q$4:$Q$452,0)),""))</f>
        <v/>
      </c>
      <c r="Q331" s="13" t="n"/>
      <c r="R331" s="11" t="n"/>
      <c r="S331" s="11" t="n"/>
      <c r="T331" s="11" t="n"/>
      <c r="U331" s="11" t="n"/>
      <c r="V331" s="10">
        <f>IF(COUNTA($C331,$D331,$J331,$M331)=0,"",IF(TRIM(IF($C331="","Falta l'actuació. ","")&amp;IF($D331="","Falta l'objectiu. ","")&amp;IF($J331="","Falta el tipus de despesa. ","")&amp;IF(AND($J331&lt;&gt;"",$J331&lt;&gt;"Mitjans propis",$J331&lt;&gt;"Altres",$M331=""),"Falta l'import. ","")&amp;IF(AND($J331="Contracte menor a càrrec del RAE",$K331=""),"Falta la partida RAE. ","")&amp;IF(AND($B331&lt;&gt;"",COUNTIF($B$6:$B$705,$B331)&gt;1),"Codi RAE repetit. ","")&amp;IF(AND($B331&lt;&gt;"",$J331&lt;&gt;"",$J331&lt;&gt;"Contracte menor a càrrec del RAE"),"Té codi RAE però no és de tipus RAE. ","")&amp;IF($N331="","Falta l'indicador del Pla. ","")&amp;IF($R331="","Falta el gestor. ","")&amp;IF($S331="","Falta indicar si és recurrent. ",""))="","✔",TRIM(IF($C331="","Falta l'actuació. ","")&amp;IF($D331="","Falta l'objectiu. ","")&amp;IF($J331="","Falta el tipus de despesa. ","")&amp;IF(AND($J331&lt;&gt;"",$J331&lt;&gt;"Mitjans propis",$J331&lt;&gt;"Altres",$M331=""),"Falta l'import. ","")&amp;IF(AND($J331="Contracte menor a càrrec del RAE",$K331=""),"Falta la partida RAE. ","")&amp;IF(AND($B331&lt;&gt;"",COUNTIF($B$6:$B$705,$B331)&gt;1),"Codi RAE repetit. ","")&amp;IF(AND($B331&lt;&gt;"",$J331&lt;&gt;"",$J331&lt;&gt;"Contracte menor a càrrec del RAE"),"Té codi RAE però no és de tipus RAE. ","")&amp;IF($N331="","Falta l'indicador del Pla. ","")&amp;IF($R331="","Falta el gestor. ","")&amp;IF($S331="","Falta indicar si és recurrent. ",""))))</f>
        <v/>
      </c>
    </row>
    <row r="332">
      <c r="A332" s="10">
        <f>IF($D332="","","27_"&amp;IFERROR(INDEX(Objectius!$E$2:$E$183,MATCH($D332,Objectius!$A$2:$A$183,0)),"??")&amp;"_"&amp;TEXT(COUNTIF($I$6:$I332,$I332),"00"))</f>
        <v/>
      </c>
      <c r="B332" s="11" t="n"/>
      <c r="C332" s="11" t="n"/>
      <c r="D332" s="11" t="n"/>
      <c r="E332" s="10">
        <f>IF($D332="","",IFERROR(INDEX(Objectius!$C$2:$C$183,MATCH($D332,Objectius!$A$2:$A$183,0)),"Objectiu no trobat al Pla"))</f>
        <v/>
      </c>
      <c r="F332" s="11" t="n"/>
      <c r="G332" s="11" t="n"/>
      <c r="H332" s="11" t="n"/>
      <c r="I332" s="10">
        <f>IF($D332="","",IFERROR(INDEX(Objectius!$D$2:$D$183,MATCH($D332,Objectius!$A$2:$A$183,0)),""))</f>
        <v/>
      </c>
      <c r="J332" s="11" t="n"/>
      <c r="K332" s="11" t="n"/>
      <c r="L332" s="11" t="n"/>
      <c r="M332" s="12" t="n"/>
      <c r="N332" s="11" t="n"/>
      <c r="O332" s="10">
        <f>IF($N332="","",IFERROR(INDEX('PLA ESTRATÈGIC'!$G$4:$G$452,MATCH($N332,'PLA ESTRATÈGIC'!$Q$4:$Q$452,0)),""))</f>
        <v/>
      </c>
      <c r="P332" s="10">
        <f>IF($N332="","",IFERROR(INDEX('PLA ESTRATÈGIC'!$H$4:$H$452,MATCH($N332,'PLA ESTRATÈGIC'!$Q$4:$Q$452,0)),""))</f>
        <v/>
      </c>
      <c r="Q332" s="13" t="n"/>
      <c r="R332" s="11" t="n"/>
      <c r="S332" s="11" t="n"/>
      <c r="T332" s="11" t="n"/>
      <c r="U332" s="11" t="n"/>
      <c r="V332" s="10">
        <f>IF(COUNTA($C332,$D332,$J332,$M332)=0,"",IF(TRIM(IF($C332="","Falta l'actuació. ","")&amp;IF($D332="","Falta l'objectiu. ","")&amp;IF($J332="","Falta el tipus de despesa. ","")&amp;IF(AND($J332&lt;&gt;"",$J332&lt;&gt;"Mitjans propis",$J332&lt;&gt;"Altres",$M332=""),"Falta l'import. ","")&amp;IF(AND($J332="Contracte menor a càrrec del RAE",$K332=""),"Falta la partida RAE. ","")&amp;IF(AND($B332&lt;&gt;"",COUNTIF($B$6:$B$705,$B332)&gt;1),"Codi RAE repetit. ","")&amp;IF(AND($B332&lt;&gt;"",$J332&lt;&gt;"",$J332&lt;&gt;"Contracte menor a càrrec del RAE"),"Té codi RAE però no és de tipus RAE. ","")&amp;IF($N332="","Falta l'indicador del Pla. ","")&amp;IF($R332="","Falta el gestor. ","")&amp;IF($S332="","Falta indicar si és recurrent. ",""))="","✔",TRIM(IF($C332="","Falta l'actuació. ","")&amp;IF($D332="","Falta l'objectiu. ","")&amp;IF($J332="","Falta el tipus de despesa. ","")&amp;IF(AND($J332&lt;&gt;"",$J332&lt;&gt;"Mitjans propis",$J332&lt;&gt;"Altres",$M332=""),"Falta l'import. ","")&amp;IF(AND($J332="Contracte menor a càrrec del RAE",$K332=""),"Falta la partida RAE. ","")&amp;IF(AND($B332&lt;&gt;"",COUNTIF($B$6:$B$705,$B332)&gt;1),"Codi RAE repetit. ","")&amp;IF(AND($B332&lt;&gt;"",$J332&lt;&gt;"",$J332&lt;&gt;"Contracte menor a càrrec del RAE"),"Té codi RAE però no és de tipus RAE. ","")&amp;IF($N332="","Falta l'indicador del Pla. ","")&amp;IF($R332="","Falta el gestor. ","")&amp;IF($S332="","Falta indicar si és recurrent. ",""))))</f>
        <v/>
      </c>
    </row>
    <row r="333">
      <c r="A333" s="10">
        <f>IF($D333="","","27_"&amp;IFERROR(INDEX(Objectius!$E$2:$E$183,MATCH($D333,Objectius!$A$2:$A$183,0)),"??")&amp;"_"&amp;TEXT(COUNTIF($I$6:$I333,$I333),"00"))</f>
        <v/>
      </c>
      <c r="B333" s="11" t="n"/>
      <c r="C333" s="11" t="n"/>
      <c r="D333" s="11" t="n"/>
      <c r="E333" s="10">
        <f>IF($D333="","",IFERROR(INDEX(Objectius!$C$2:$C$183,MATCH($D333,Objectius!$A$2:$A$183,0)),"Objectiu no trobat al Pla"))</f>
        <v/>
      </c>
      <c r="F333" s="11" t="n"/>
      <c r="G333" s="11" t="n"/>
      <c r="H333" s="11" t="n"/>
      <c r="I333" s="10">
        <f>IF($D333="","",IFERROR(INDEX(Objectius!$D$2:$D$183,MATCH($D333,Objectius!$A$2:$A$183,0)),""))</f>
        <v/>
      </c>
      <c r="J333" s="11" t="n"/>
      <c r="K333" s="11" t="n"/>
      <c r="L333" s="11" t="n"/>
      <c r="M333" s="12" t="n"/>
      <c r="N333" s="11" t="n"/>
      <c r="O333" s="10">
        <f>IF($N333="","",IFERROR(INDEX('PLA ESTRATÈGIC'!$G$4:$G$452,MATCH($N333,'PLA ESTRATÈGIC'!$Q$4:$Q$452,0)),""))</f>
        <v/>
      </c>
      <c r="P333" s="10">
        <f>IF($N333="","",IFERROR(INDEX('PLA ESTRATÈGIC'!$H$4:$H$452,MATCH($N333,'PLA ESTRATÈGIC'!$Q$4:$Q$452,0)),""))</f>
        <v/>
      </c>
      <c r="Q333" s="13" t="n"/>
      <c r="R333" s="11" t="n"/>
      <c r="S333" s="11" t="n"/>
      <c r="T333" s="11" t="n"/>
      <c r="U333" s="11" t="n"/>
      <c r="V333" s="10">
        <f>IF(COUNTA($C333,$D333,$J333,$M333)=0,"",IF(TRIM(IF($C333="","Falta l'actuació. ","")&amp;IF($D333="","Falta l'objectiu. ","")&amp;IF($J333="","Falta el tipus de despesa. ","")&amp;IF(AND($J333&lt;&gt;"",$J333&lt;&gt;"Mitjans propis",$J333&lt;&gt;"Altres",$M333=""),"Falta l'import. ","")&amp;IF(AND($J333="Contracte menor a càrrec del RAE",$K333=""),"Falta la partida RAE. ","")&amp;IF(AND($B333&lt;&gt;"",COUNTIF($B$6:$B$705,$B333)&gt;1),"Codi RAE repetit. ","")&amp;IF(AND($B333&lt;&gt;"",$J333&lt;&gt;"",$J333&lt;&gt;"Contracte menor a càrrec del RAE"),"Té codi RAE però no és de tipus RAE. ","")&amp;IF($N333="","Falta l'indicador del Pla. ","")&amp;IF($R333="","Falta el gestor. ","")&amp;IF($S333="","Falta indicar si és recurrent. ",""))="","✔",TRIM(IF($C333="","Falta l'actuació. ","")&amp;IF($D333="","Falta l'objectiu. ","")&amp;IF($J333="","Falta el tipus de despesa. ","")&amp;IF(AND($J333&lt;&gt;"",$J333&lt;&gt;"Mitjans propis",$J333&lt;&gt;"Altres",$M333=""),"Falta l'import. ","")&amp;IF(AND($J333="Contracte menor a càrrec del RAE",$K333=""),"Falta la partida RAE. ","")&amp;IF(AND($B333&lt;&gt;"",COUNTIF($B$6:$B$705,$B333)&gt;1),"Codi RAE repetit. ","")&amp;IF(AND($B333&lt;&gt;"",$J333&lt;&gt;"",$J333&lt;&gt;"Contracte menor a càrrec del RAE"),"Té codi RAE però no és de tipus RAE. ","")&amp;IF($N333="","Falta l'indicador del Pla. ","")&amp;IF($R333="","Falta el gestor. ","")&amp;IF($S333="","Falta indicar si és recurrent. ",""))))</f>
        <v/>
      </c>
    </row>
    <row r="334">
      <c r="A334" s="10">
        <f>IF($D334="","","27_"&amp;IFERROR(INDEX(Objectius!$E$2:$E$183,MATCH($D334,Objectius!$A$2:$A$183,0)),"??")&amp;"_"&amp;TEXT(COUNTIF($I$6:$I334,$I334),"00"))</f>
        <v/>
      </c>
      <c r="B334" s="11" t="n"/>
      <c r="C334" s="11" t="n"/>
      <c r="D334" s="11" t="n"/>
      <c r="E334" s="10">
        <f>IF($D334="","",IFERROR(INDEX(Objectius!$C$2:$C$183,MATCH($D334,Objectius!$A$2:$A$183,0)),"Objectiu no trobat al Pla"))</f>
        <v/>
      </c>
      <c r="F334" s="11" t="n"/>
      <c r="G334" s="11" t="n"/>
      <c r="H334" s="11" t="n"/>
      <c r="I334" s="10">
        <f>IF($D334="","",IFERROR(INDEX(Objectius!$D$2:$D$183,MATCH($D334,Objectius!$A$2:$A$183,0)),""))</f>
        <v/>
      </c>
      <c r="J334" s="11" t="n"/>
      <c r="K334" s="11" t="n"/>
      <c r="L334" s="11" t="n"/>
      <c r="M334" s="12" t="n"/>
      <c r="N334" s="11" t="n"/>
      <c r="O334" s="10">
        <f>IF($N334="","",IFERROR(INDEX('PLA ESTRATÈGIC'!$G$4:$G$452,MATCH($N334,'PLA ESTRATÈGIC'!$Q$4:$Q$452,0)),""))</f>
        <v/>
      </c>
      <c r="P334" s="10">
        <f>IF($N334="","",IFERROR(INDEX('PLA ESTRATÈGIC'!$H$4:$H$452,MATCH($N334,'PLA ESTRATÈGIC'!$Q$4:$Q$452,0)),""))</f>
        <v/>
      </c>
      <c r="Q334" s="13" t="n"/>
      <c r="R334" s="11" t="n"/>
      <c r="S334" s="11" t="n"/>
      <c r="T334" s="11" t="n"/>
      <c r="U334" s="11" t="n"/>
      <c r="V334" s="10">
        <f>IF(COUNTA($C334,$D334,$J334,$M334)=0,"",IF(TRIM(IF($C334="","Falta l'actuació. ","")&amp;IF($D334="","Falta l'objectiu. ","")&amp;IF($J334="","Falta el tipus de despesa. ","")&amp;IF(AND($J334&lt;&gt;"",$J334&lt;&gt;"Mitjans propis",$J334&lt;&gt;"Altres",$M334=""),"Falta l'import. ","")&amp;IF(AND($J334="Contracte menor a càrrec del RAE",$K334=""),"Falta la partida RAE. ","")&amp;IF(AND($B334&lt;&gt;"",COUNTIF($B$6:$B$705,$B334)&gt;1),"Codi RAE repetit. ","")&amp;IF(AND($B334&lt;&gt;"",$J334&lt;&gt;"",$J334&lt;&gt;"Contracte menor a càrrec del RAE"),"Té codi RAE però no és de tipus RAE. ","")&amp;IF($N334="","Falta l'indicador del Pla. ","")&amp;IF($R334="","Falta el gestor. ","")&amp;IF($S334="","Falta indicar si és recurrent. ",""))="","✔",TRIM(IF($C334="","Falta l'actuació. ","")&amp;IF($D334="","Falta l'objectiu. ","")&amp;IF($J334="","Falta el tipus de despesa. ","")&amp;IF(AND($J334&lt;&gt;"",$J334&lt;&gt;"Mitjans propis",$J334&lt;&gt;"Altres",$M334=""),"Falta l'import. ","")&amp;IF(AND($J334="Contracte menor a càrrec del RAE",$K334=""),"Falta la partida RAE. ","")&amp;IF(AND($B334&lt;&gt;"",COUNTIF($B$6:$B$705,$B334)&gt;1),"Codi RAE repetit. ","")&amp;IF(AND($B334&lt;&gt;"",$J334&lt;&gt;"",$J334&lt;&gt;"Contracte menor a càrrec del RAE"),"Té codi RAE però no és de tipus RAE. ","")&amp;IF($N334="","Falta l'indicador del Pla. ","")&amp;IF($R334="","Falta el gestor. ","")&amp;IF($S334="","Falta indicar si és recurrent. ",""))))</f>
        <v/>
      </c>
    </row>
    <row r="335">
      <c r="A335" s="10">
        <f>IF($D335="","","27_"&amp;IFERROR(INDEX(Objectius!$E$2:$E$183,MATCH($D335,Objectius!$A$2:$A$183,0)),"??")&amp;"_"&amp;TEXT(COUNTIF($I$6:$I335,$I335),"00"))</f>
        <v/>
      </c>
      <c r="B335" s="11" t="n"/>
      <c r="C335" s="11" t="n"/>
      <c r="D335" s="11" t="n"/>
      <c r="E335" s="10">
        <f>IF($D335="","",IFERROR(INDEX(Objectius!$C$2:$C$183,MATCH($D335,Objectius!$A$2:$A$183,0)),"Objectiu no trobat al Pla"))</f>
        <v/>
      </c>
      <c r="F335" s="11" t="n"/>
      <c r="G335" s="11" t="n"/>
      <c r="H335" s="11" t="n"/>
      <c r="I335" s="10">
        <f>IF($D335="","",IFERROR(INDEX(Objectius!$D$2:$D$183,MATCH($D335,Objectius!$A$2:$A$183,0)),""))</f>
        <v/>
      </c>
      <c r="J335" s="11" t="n"/>
      <c r="K335" s="11" t="n"/>
      <c r="L335" s="11" t="n"/>
      <c r="M335" s="12" t="n"/>
      <c r="N335" s="11" t="n"/>
      <c r="O335" s="10">
        <f>IF($N335="","",IFERROR(INDEX('PLA ESTRATÈGIC'!$G$4:$G$452,MATCH($N335,'PLA ESTRATÈGIC'!$Q$4:$Q$452,0)),""))</f>
        <v/>
      </c>
      <c r="P335" s="10">
        <f>IF($N335="","",IFERROR(INDEX('PLA ESTRATÈGIC'!$H$4:$H$452,MATCH($N335,'PLA ESTRATÈGIC'!$Q$4:$Q$452,0)),""))</f>
        <v/>
      </c>
      <c r="Q335" s="13" t="n"/>
      <c r="R335" s="11" t="n"/>
      <c r="S335" s="11" t="n"/>
      <c r="T335" s="11" t="n"/>
      <c r="U335" s="11" t="n"/>
      <c r="V335" s="10">
        <f>IF(COUNTA($C335,$D335,$J335,$M335)=0,"",IF(TRIM(IF($C335="","Falta l'actuació. ","")&amp;IF($D335="","Falta l'objectiu. ","")&amp;IF($J335="","Falta el tipus de despesa. ","")&amp;IF(AND($J335&lt;&gt;"",$J335&lt;&gt;"Mitjans propis",$J335&lt;&gt;"Altres",$M335=""),"Falta l'import. ","")&amp;IF(AND($J335="Contracte menor a càrrec del RAE",$K335=""),"Falta la partida RAE. ","")&amp;IF(AND($B335&lt;&gt;"",COUNTIF($B$6:$B$705,$B335)&gt;1),"Codi RAE repetit. ","")&amp;IF(AND($B335&lt;&gt;"",$J335&lt;&gt;"",$J335&lt;&gt;"Contracte menor a càrrec del RAE"),"Té codi RAE però no és de tipus RAE. ","")&amp;IF($N335="","Falta l'indicador del Pla. ","")&amp;IF($R335="","Falta el gestor. ","")&amp;IF($S335="","Falta indicar si és recurrent. ",""))="","✔",TRIM(IF($C335="","Falta l'actuació. ","")&amp;IF($D335="","Falta l'objectiu. ","")&amp;IF($J335="","Falta el tipus de despesa. ","")&amp;IF(AND($J335&lt;&gt;"",$J335&lt;&gt;"Mitjans propis",$J335&lt;&gt;"Altres",$M335=""),"Falta l'import. ","")&amp;IF(AND($J335="Contracte menor a càrrec del RAE",$K335=""),"Falta la partida RAE. ","")&amp;IF(AND($B335&lt;&gt;"",COUNTIF($B$6:$B$705,$B335)&gt;1),"Codi RAE repetit. ","")&amp;IF(AND($B335&lt;&gt;"",$J335&lt;&gt;"",$J335&lt;&gt;"Contracte menor a càrrec del RAE"),"Té codi RAE però no és de tipus RAE. ","")&amp;IF($N335="","Falta l'indicador del Pla. ","")&amp;IF($R335="","Falta el gestor. ","")&amp;IF($S335="","Falta indicar si és recurrent. ",""))))</f>
        <v/>
      </c>
    </row>
    <row r="336">
      <c r="A336" s="10">
        <f>IF($D336="","","27_"&amp;IFERROR(INDEX(Objectius!$E$2:$E$183,MATCH($D336,Objectius!$A$2:$A$183,0)),"??")&amp;"_"&amp;TEXT(COUNTIF($I$6:$I336,$I336),"00"))</f>
        <v/>
      </c>
      <c r="B336" s="11" t="n"/>
      <c r="C336" s="11" t="n"/>
      <c r="D336" s="11" t="n"/>
      <c r="E336" s="10">
        <f>IF($D336="","",IFERROR(INDEX(Objectius!$C$2:$C$183,MATCH($D336,Objectius!$A$2:$A$183,0)),"Objectiu no trobat al Pla"))</f>
        <v/>
      </c>
      <c r="F336" s="11" t="n"/>
      <c r="G336" s="11" t="n"/>
      <c r="H336" s="11" t="n"/>
      <c r="I336" s="10">
        <f>IF($D336="","",IFERROR(INDEX(Objectius!$D$2:$D$183,MATCH($D336,Objectius!$A$2:$A$183,0)),""))</f>
        <v/>
      </c>
      <c r="J336" s="11" t="n"/>
      <c r="K336" s="11" t="n"/>
      <c r="L336" s="11" t="n"/>
      <c r="M336" s="12" t="n"/>
      <c r="N336" s="11" t="n"/>
      <c r="O336" s="10">
        <f>IF($N336="","",IFERROR(INDEX('PLA ESTRATÈGIC'!$G$4:$G$452,MATCH($N336,'PLA ESTRATÈGIC'!$Q$4:$Q$452,0)),""))</f>
        <v/>
      </c>
      <c r="P336" s="10">
        <f>IF($N336="","",IFERROR(INDEX('PLA ESTRATÈGIC'!$H$4:$H$452,MATCH($N336,'PLA ESTRATÈGIC'!$Q$4:$Q$452,0)),""))</f>
        <v/>
      </c>
      <c r="Q336" s="13" t="n"/>
      <c r="R336" s="11" t="n"/>
      <c r="S336" s="11" t="n"/>
      <c r="T336" s="11" t="n"/>
      <c r="U336" s="11" t="n"/>
      <c r="V336" s="10">
        <f>IF(COUNTA($C336,$D336,$J336,$M336)=0,"",IF(TRIM(IF($C336="","Falta l'actuació. ","")&amp;IF($D336="","Falta l'objectiu. ","")&amp;IF($J336="","Falta el tipus de despesa. ","")&amp;IF(AND($J336&lt;&gt;"",$J336&lt;&gt;"Mitjans propis",$J336&lt;&gt;"Altres",$M336=""),"Falta l'import. ","")&amp;IF(AND($J336="Contracte menor a càrrec del RAE",$K336=""),"Falta la partida RAE. ","")&amp;IF(AND($B336&lt;&gt;"",COUNTIF($B$6:$B$705,$B336)&gt;1),"Codi RAE repetit. ","")&amp;IF(AND($B336&lt;&gt;"",$J336&lt;&gt;"",$J336&lt;&gt;"Contracte menor a càrrec del RAE"),"Té codi RAE però no és de tipus RAE. ","")&amp;IF($N336="","Falta l'indicador del Pla. ","")&amp;IF($R336="","Falta el gestor. ","")&amp;IF($S336="","Falta indicar si és recurrent. ",""))="","✔",TRIM(IF($C336="","Falta l'actuació. ","")&amp;IF($D336="","Falta l'objectiu. ","")&amp;IF($J336="","Falta el tipus de despesa. ","")&amp;IF(AND($J336&lt;&gt;"",$J336&lt;&gt;"Mitjans propis",$J336&lt;&gt;"Altres",$M336=""),"Falta l'import. ","")&amp;IF(AND($J336="Contracte menor a càrrec del RAE",$K336=""),"Falta la partida RAE. ","")&amp;IF(AND($B336&lt;&gt;"",COUNTIF($B$6:$B$705,$B336)&gt;1),"Codi RAE repetit. ","")&amp;IF(AND($B336&lt;&gt;"",$J336&lt;&gt;"",$J336&lt;&gt;"Contracte menor a càrrec del RAE"),"Té codi RAE però no és de tipus RAE. ","")&amp;IF($N336="","Falta l'indicador del Pla. ","")&amp;IF($R336="","Falta el gestor. ","")&amp;IF($S336="","Falta indicar si és recurrent. ",""))))</f>
        <v/>
      </c>
    </row>
    <row r="337">
      <c r="A337" s="10">
        <f>IF($D337="","","27_"&amp;IFERROR(INDEX(Objectius!$E$2:$E$183,MATCH($D337,Objectius!$A$2:$A$183,0)),"??")&amp;"_"&amp;TEXT(COUNTIF($I$6:$I337,$I337),"00"))</f>
        <v/>
      </c>
      <c r="B337" s="11" t="n"/>
      <c r="C337" s="11" t="n"/>
      <c r="D337" s="11" t="n"/>
      <c r="E337" s="10">
        <f>IF($D337="","",IFERROR(INDEX(Objectius!$C$2:$C$183,MATCH($D337,Objectius!$A$2:$A$183,0)),"Objectiu no trobat al Pla"))</f>
        <v/>
      </c>
      <c r="F337" s="11" t="n"/>
      <c r="G337" s="11" t="n"/>
      <c r="H337" s="11" t="n"/>
      <c r="I337" s="10">
        <f>IF($D337="","",IFERROR(INDEX(Objectius!$D$2:$D$183,MATCH($D337,Objectius!$A$2:$A$183,0)),""))</f>
        <v/>
      </c>
      <c r="J337" s="11" t="n"/>
      <c r="K337" s="11" t="n"/>
      <c r="L337" s="11" t="n"/>
      <c r="M337" s="12" t="n"/>
      <c r="N337" s="11" t="n"/>
      <c r="O337" s="10">
        <f>IF($N337="","",IFERROR(INDEX('PLA ESTRATÈGIC'!$G$4:$G$452,MATCH($N337,'PLA ESTRATÈGIC'!$Q$4:$Q$452,0)),""))</f>
        <v/>
      </c>
      <c r="P337" s="10">
        <f>IF($N337="","",IFERROR(INDEX('PLA ESTRATÈGIC'!$H$4:$H$452,MATCH($N337,'PLA ESTRATÈGIC'!$Q$4:$Q$452,0)),""))</f>
        <v/>
      </c>
      <c r="Q337" s="13" t="n"/>
      <c r="R337" s="11" t="n"/>
      <c r="S337" s="11" t="n"/>
      <c r="T337" s="11" t="n"/>
      <c r="U337" s="11" t="n"/>
      <c r="V337" s="10">
        <f>IF(COUNTA($C337,$D337,$J337,$M337)=0,"",IF(TRIM(IF($C337="","Falta l'actuació. ","")&amp;IF($D337="","Falta l'objectiu. ","")&amp;IF($J337="","Falta el tipus de despesa. ","")&amp;IF(AND($J337&lt;&gt;"",$J337&lt;&gt;"Mitjans propis",$J337&lt;&gt;"Altres",$M337=""),"Falta l'import. ","")&amp;IF(AND($J337="Contracte menor a càrrec del RAE",$K337=""),"Falta la partida RAE. ","")&amp;IF(AND($B337&lt;&gt;"",COUNTIF($B$6:$B$705,$B337)&gt;1),"Codi RAE repetit. ","")&amp;IF(AND($B337&lt;&gt;"",$J337&lt;&gt;"",$J337&lt;&gt;"Contracte menor a càrrec del RAE"),"Té codi RAE però no és de tipus RAE. ","")&amp;IF($N337="","Falta l'indicador del Pla. ","")&amp;IF($R337="","Falta el gestor. ","")&amp;IF($S337="","Falta indicar si és recurrent. ",""))="","✔",TRIM(IF($C337="","Falta l'actuació. ","")&amp;IF($D337="","Falta l'objectiu. ","")&amp;IF($J337="","Falta el tipus de despesa. ","")&amp;IF(AND($J337&lt;&gt;"",$J337&lt;&gt;"Mitjans propis",$J337&lt;&gt;"Altres",$M337=""),"Falta l'import. ","")&amp;IF(AND($J337="Contracte menor a càrrec del RAE",$K337=""),"Falta la partida RAE. ","")&amp;IF(AND($B337&lt;&gt;"",COUNTIF($B$6:$B$705,$B337)&gt;1),"Codi RAE repetit. ","")&amp;IF(AND($B337&lt;&gt;"",$J337&lt;&gt;"",$J337&lt;&gt;"Contracte menor a càrrec del RAE"),"Té codi RAE però no és de tipus RAE. ","")&amp;IF($N337="","Falta l'indicador del Pla. ","")&amp;IF($R337="","Falta el gestor. ","")&amp;IF($S337="","Falta indicar si és recurrent. ",""))))</f>
        <v/>
      </c>
    </row>
    <row r="338">
      <c r="A338" s="10">
        <f>IF($D338="","","27_"&amp;IFERROR(INDEX(Objectius!$E$2:$E$183,MATCH($D338,Objectius!$A$2:$A$183,0)),"??")&amp;"_"&amp;TEXT(COUNTIF($I$6:$I338,$I338),"00"))</f>
        <v/>
      </c>
      <c r="B338" s="11" t="n"/>
      <c r="C338" s="11" t="n"/>
      <c r="D338" s="11" t="n"/>
      <c r="E338" s="10">
        <f>IF($D338="","",IFERROR(INDEX(Objectius!$C$2:$C$183,MATCH($D338,Objectius!$A$2:$A$183,0)),"Objectiu no trobat al Pla"))</f>
        <v/>
      </c>
      <c r="F338" s="11" t="n"/>
      <c r="G338" s="11" t="n"/>
      <c r="H338" s="11" t="n"/>
      <c r="I338" s="10">
        <f>IF($D338="","",IFERROR(INDEX(Objectius!$D$2:$D$183,MATCH($D338,Objectius!$A$2:$A$183,0)),""))</f>
        <v/>
      </c>
      <c r="J338" s="11" t="n"/>
      <c r="K338" s="11" t="n"/>
      <c r="L338" s="11" t="n"/>
      <c r="M338" s="12" t="n"/>
      <c r="N338" s="11" t="n"/>
      <c r="O338" s="10">
        <f>IF($N338="","",IFERROR(INDEX('PLA ESTRATÈGIC'!$G$4:$G$452,MATCH($N338,'PLA ESTRATÈGIC'!$Q$4:$Q$452,0)),""))</f>
        <v/>
      </c>
      <c r="P338" s="10">
        <f>IF($N338="","",IFERROR(INDEX('PLA ESTRATÈGIC'!$H$4:$H$452,MATCH($N338,'PLA ESTRATÈGIC'!$Q$4:$Q$452,0)),""))</f>
        <v/>
      </c>
      <c r="Q338" s="13" t="n"/>
      <c r="R338" s="11" t="n"/>
      <c r="S338" s="11" t="n"/>
      <c r="T338" s="11" t="n"/>
      <c r="U338" s="11" t="n"/>
      <c r="V338" s="10">
        <f>IF(COUNTA($C338,$D338,$J338,$M338)=0,"",IF(TRIM(IF($C338="","Falta l'actuació. ","")&amp;IF($D338="","Falta l'objectiu. ","")&amp;IF($J338="","Falta el tipus de despesa. ","")&amp;IF(AND($J338&lt;&gt;"",$J338&lt;&gt;"Mitjans propis",$J338&lt;&gt;"Altres",$M338=""),"Falta l'import. ","")&amp;IF(AND($J338="Contracte menor a càrrec del RAE",$K338=""),"Falta la partida RAE. ","")&amp;IF(AND($B338&lt;&gt;"",COUNTIF($B$6:$B$705,$B338)&gt;1),"Codi RAE repetit. ","")&amp;IF(AND($B338&lt;&gt;"",$J338&lt;&gt;"",$J338&lt;&gt;"Contracte menor a càrrec del RAE"),"Té codi RAE però no és de tipus RAE. ","")&amp;IF($N338="","Falta l'indicador del Pla. ","")&amp;IF($R338="","Falta el gestor. ","")&amp;IF($S338="","Falta indicar si és recurrent. ",""))="","✔",TRIM(IF($C338="","Falta l'actuació. ","")&amp;IF($D338="","Falta l'objectiu. ","")&amp;IF($J338="","Falta el tipus de despesa. ","")&amp;IF(AND($J338&lt;&gt;"",$J338&lt;&gt;"Mitjans propis",$J338&lt;&gt;"Altres",$M338=""),"Falta l'import. ","")&amp;IF(AND($J338="Contracte menor a càrrec del RAE",$K338=""),"Falta la partida RAE. ","")&amp;IF(AND($B338&lt;&gt;"",COUNTIF($B$6:$B$705,$B338)&gt;1),"Codi RAE repetit. ","")&amp;IF(AND($B338&lt;&gt;"",$J338&lt;&gt;"",$J338&lt;&gt;"Contracte menor a càrrec del RAE"),"Té codi RAE però no és de tipus RAE. ","")&amp;IF($N338="","Falta l'indicador del Pla. ","")&amp;IF($R338="","Falta el gestor. ","")&amp;IF($S338="","Falta indicar si és recurrent. ",""))))</f>
        <v/>
      </c>
    </row>
    <row r="339">
      <c r="A339" s="10">
        <f>IF($D339="","","27_"&amp;IFERROR(INDEX(Objectius!$E$2:$E$183,MATCH($D339,Objectius!$A$2:$A$183,0)),"??")&amp;"_"&amp;TEXT(COUNTIF($I$6:$I339,$I339),"00"))</f>
        <v/>
      </c>
      <c r="B339" s="11" t="n"/>
      <c r="C339" s="11" t="n"/>
      <c r="D339" s="11" t="n"/>
      <c r="E339" s="10">
        <f>IF($D339="","",IFERROR(INDEX(Objectius!$C$2:$C$183,MATCH($D339,Objectius!$A$2:$A$183,0)),"Objectiu no trobat al Pla"))</f>
        <v/>
      </c>
      <c r="F339" s="11" t="n"/>
      <c r="G339" s="11" t="n"/>
      <c r="H339" s="11" t="n"/>
      <c r="I339" s="10">
        <f>IF($D339="","",IFERROR(INDEX(Objectius!$D$2:$D$183,MATCH($D339,Objectius!$A$2:$A$183,0)),""))</f>
        <v/>
      </c>
      <c r="J339" s="11" t="n"/>
      <c r="K339" s="11" t="n"/>
      <c r="L339" s="11" t="n"/>
      <c r="M339" s="12" t="n"/>
      <c r="N339" s="11" t="n"/>
      <c r="O339" s="10">
        <f>IF($N339="","",IFERROR(INDEX('PLA ESTRATÈGIC'!$G$4:$G$452,MATCH($N339,'PLA ESTRATÈGIC'!$Q$4:$Q$452,0)),""))</f>
        <v/>
      </c>
      <c r="P339" s="10">
        <f>IF($N339="","",IFERROR(INDEX('PLA ESTRATÈGIC'!$H$4:$H$452,MATCH($N339,'PLA ESTRATÈGIC'!$Q$4:$Q$452,0)),""))</f>
        <v/>
      </c>
      <c r="Q339" s="13" t="n"/>
      <c r="R339" s="11" t="n"/>
      <c r="S339" s="11" t="n"/>
      <c r="T339" s="11" t="n"/>
      <c r="U339" s="11" t="n"/>
      <c r="V339" s="10">
        <f>IF(COUNTA($C339,$D339,$J339,$M339)=0,"",IF(TRIM(IF($C339="","Falta l'actuació. ","")&amp;IF($D339="","Falta l'objectiu. ","")&amp;IF($J339="","Falta el tipus de despesa. ","")&amp;IF(AND($J339&lt;&gt;"",$J339&lt;&gt;"Mitjans propis",$J339&lt;&gt;"Altres",$M339=""),"Falta l'import. ","")&amp;IF(AND($J339="Contracte menor a càrrec del RAE",$K339=""),"Falta la partida RAE. ","")&amp;IF(AND($B339&lt;&gt;"",COUNTIF($B$6:$B$705,$B339)&gt;1),"Codi RAE repetit. ","")&amp;IF(AND($B339&lt;&gt;"",$J339&lt;&gt;"",$J339&lt;&gt;"Contracte menor a càrrec del RAE"),"Té codi RAE però no és de tipus RAE. ","")&amp;IF($N339="","Falta l'indicador del Pla. ","")&amp;IF($R339="","Falta el gestor. ","")&amp;IF($S339="","Falta indicar si és recurrent. ",""))="","✔",TRIM(IF($C339="","Falta l'actuació. ","")&amp;IF($D339="","Falta l'objectiu. ","")&amp;IF($J339="","Falta el tipus de despesa. ","")&amp;IF(AND($J339&lt;&gt;"",$J339&lt;&gt;"Mitjans propis",$J339&lt;&gt;"Altres",$M339=""),"Falta l'import. ","")&amp;IF(AND($J339="Contracte menor a càrrec del RAE",$K339=""),"Falta la partida RAE. ","")&amp;IF(AND($B339&lt;&gt;"",COUNTIF($B$6:$B$705,$B339)&gt;1),"Codi RAE repetit. ","")&amp;IF(AND($B339&lt;&gt;"",$J339&lt;&gt;"",$J339&lt;&gt;"Contracte menor a càrrec del RAE"),"Té codi RAE però no és de tipus RAE. ","")&amp;IF($N339="","Falta l'indicador del Pla. ","")&amp;IF($R339="","Falta el gestor. ","")&amp;IF($S339="","Falta indicar si és recurrent. ",""))))</f>
        <v/>
      </c>
    </row>
    <row r="340">
      <c r="A340" s="10">
        <f>IF($D340="","","27_"&amp;IFERROR(INDEX(Objectius!$E$2:$E$183,MATCH($D340,Objectius!$A$2:$A$183,0)),"??")&amp;"_"&amp;TEXT(COUNTIF($I$6:$I340,$I340),"00"))</f>
        <v/>
      </c>
      <c r="B340" s="11" t="n"/>
      <c r="C340" s="11" t="n"/>
      <c r="D340" s="11" t="n"/>
      <c r="E340" s="10">
        <f>IF($D340="","",IFERROR(INDEX(Objectius!$C$2:$C$183,MATCH($D340,Objectius!$A$2:$A$183,0)),"Objectiu no trobat al Pla"))</f>
        <v/>
      </c>
      <c r="F340" s="11" t="n"/>
      <c r="G340" s="11" t="n"/>
      <c r="H340" s="11" t="n"/>
      <c r="I340" s="10">
        <f>IF($D340="","",IFERROR(INDEX(Objectius!$D$2:$D$183,MATCH($D340,Objectius!$A$2:$A$183,0)),""))</f>
        <v/>
      </c>
      <c r="J340" s="11" t="n"/>
      <c r="K340" s="11" t="n"/>
      <c r="L340" s="11" t="n"/>
      <c r="M340" s="12" t="n"/>
      <c r="N340" s="11" t="n"/>
      <c r="O340" s="10">
        <f>IF($N340="","",IFERROR(INDEX('PLA ESTRATÈGIC'!$G$4:$G$452,MATCH($N340,'PLA ESTRATÈGIC'!$Q$4:$Q$452,0)),""))</f>
        <v/>
      </c>
      <c r="P340" s="10">
        <f>IF($N340="","",IFERROR(INDEX('PLA ESTRATÈGIC'!$H$4:$H$452,MATCH($N340,'PLA ESTRATÈGIC'!$Q$4:$Q$452,0)),""))</f>
        <v/>
      </c>
      <c r="Q340" s="13" t="n"/>
      <c r="R340" s="11" t="n"/>
      <c r="S340" s="11" t="n"/>
      <c r="T340" s="11" t="n"/>
      <c r="U340" s="11" t="n"/>
      <c r="V340" s="10">
        <f>IF(COUNTA($C340,$D340,$J340,$M340)=0,"",IF(TRIM(IF($C340="","Falta l'actuació. ","")&amp;IF($D340="","Falta l'objectiu. ","")&amp;IF($J340="","Falta el tipus de despesa. ","")&amp;IF(AND($J340&lt;&gt;"",$J340&lt;&gt;"Mitjans propis",$J340&lt;&gt;"Altres",$M340=""),"Falta l'import. ","")&amp;IF(AND($J340="Contracte menor a càrrec del RAE",$K340=""),"Falta la partida RAE. ","")&amp;IF(AND($B340&lt;&gt;"",COUNTIF($B$6:$B$705,$B340)&gt;1),"Codi RAE repetit. ","")&amp;IF(AND($B340&lt;&gt;"",$J340&lt;&gt;"",$J340&lt;&gt;"Contracte menor a càrrec del RAE"),"Té codi RAE però no és de tipus RAE. ","")&amp;IF($N340="","Falta l'indicador del Pla. ","")&amp;IF($R340="","Falta el gestor. ","")&amp;IF($S340="","Falta indicar si és recurrent. ",""))="","✔",TRIM(IF($C340="","Falta l'actuació. ","")&amp;IF($D340="","Falta l'objectiu. ","")&amp;IF($J340="","Falta el tipus de despesa. ","")&amp;IF(AND($J340&lt;&gt;"",$J340&lt;&gt;"Mitjans propis",$J340&lt;&gt;"Altres",$M340=""),"Falta l'import. ","")&amp;IF(AND($J340="Contracte menor a càrrec del RAE",$K340=""),"Falta la partida RAE. ","")&amp;IF(AND($B340&lt;&gt;"",COUNTIF($B$6:$B$705,$B340)&gt;1),"Codi RAE repetit. ","")&amp;IF(AND($B340&lt;&gt;"",$J340&lt;&gt;"",$J340&lt;&gt;"Contracte menor a càrrec del RAE"),"Té codi RAE però no és de tipus RAE. ","")&amp;IF($N340="","Falta l'indicador del Pla. ","")&amp;IF($R340="","Falta el gestor. ","")&amp;IF($S340="","Falta indicar si és recurrent. ",""))))</f>
        <v/>
      </c>
    </row>
    <row r="341">
      <c r="A341" s="10">
        <f>IF($D341="","","27_"&amp;IFERROR(INDEX(Objectius!$E$2:$E$183,MATCH($D341,Objectius!$A$2:$A$183,0)),"??")&amp;"_"&amp;TEXT(COUNTIF($I$6:$I341,$I341),"00"))</f>
        <v/>
      </c>
      <c r="B341" s="11" t="n"/>
      <c r="C341" s="11" t="n"/>
      <c r="D341" s="11" t="n"/>
      <c r="E341" s="10">
        <f>IF($D341="","",IFERROR(INDEX(Objectius!$C$2:$C$183,MATCH($D341,Objectius!$A$2:$A$183,0)),"Objectiu no trobat al Pla"))</f>
        <v/>
      </c>
      <c r="F341" s="11" t="n"/>
      <c r="G341" s="11" t="n"/>
      <c r="H341" s="11" t="n"/>
      <c r="I341" s="10">
        <f>IF($D341="","",IFERROR(INDEX(Objectius!$D$2:$D$183,MATCH($D341,Objectius!$A$2:$A$183,0)),""))</f>
        <v/>
      </c>
      <c r="J341" s="11" t="n"/>
      <c r="K341" s="11" t="n"/>
      <c r="L341" s="11" t="n"/>
      <c r="M341" s="12" t="n"/>
      <c r="N341" s="11" t="n"/>
      <c r="O341" s="10">
        <f>IF($N341="","",IFERROR(INDEX('PLA ESTRATÈGIC'!$G$4:$G$452,MATCH($N341,'PLA ESTRATÈGIC'!$Q$4:$Q$452,0)),""))</f>
        <v/>
      </c>
      <c r="P341" s="10">
        <f>IF($N341="","",IFERROR(INDEX('PLA ESTRATÈGIC'!$H$4:$H$452,MATCH($N341,'PLA ESTRATÈGIC'!$Q$4:$Q$452,0)),""))</f>
        <v/>
      </c>
      <c r="Q341" s="13" t="n"/>
      <c r="R341" s="11" t="n"/>
      <c r="S341" s="11" t="n"/>
      <c r="T341" s="11" t="n"/>
      <c r="U341" s="11" t="n"/>
      <c r="V341" s="10">
        <f>IF(COUNTA($C341,$D341,$J341,$M341)=0,"",IF(TRIM(IF($C341="","Falta l'actuació. ","")&amp;IF($D341="","Falta l'objectiu. ","")&amp;IF($J341="","Falta el tipus de despesa. ","")&amp;IF(AND($J341&lt;&gt;"",$J341&lt;&gt;"Mitjans propis",$J341&lt;&gt;"Altres",$M341=""),"Falta l'import. ","")&amp;IF(AND($J341="Contracte menor a càrrec del RAE",$K341=""),"Falta la partida RAE. ","")&amp;IF(AND($B341&lt;&gt;"",COUNTIF($B$6:$B$705,$B341)&gt;1),"Codi RAE repetit. ","")&amp;IF(AND($B341&lt;&gt;"",$J341&lt;&gt;"",$J341&lt;&gt;"Contracte menor a càrrec del RAE"),"Té codi RAE però no és de tipus RAE. ","")&amp;IF($N341="","Falta l'indicador del Pla. ","")&amp;IF($R341="","Falta el gestor. ","")&amp;IF($S341="","Falta indicar si és recurrent. ",""))="","✔",TRIM(IF($C341="","Falta l'actuació. ","")&amp;IF($D341="","Falta l'objectiu. ","")&amp;IF($J341="","Falta el tipus de despesa. ","")&amp;IF(AND($J341&lt;&gt;"",$J341&lt;&gt;"Mitjans propis",$J341&lt;&gt;"Altres",$M341=""),"Falta l'import. ","")&amp;IF(AND($J341="Contracte menor a càrrec del RAE",$K341=""),"Falta la partida RAE. ","")&amp;IF(AND($B341&lt;&gt;"",COUNTIF($B$6:$B$705,$B341)&gt;1),"Codi RAE repetit. ","")&amp;IF(AND($B341&lt;&gt;"",$J341&lt;&gt;"",$J341&lt;&gt;"Contracte menor a càrrec del RAE"),"Té codi RAE però no és de tipus RAE. ","")&amp;IF($N341="","Falta l'indicador del Pla. ","")&amp;IF($R341="","Falta el gestor. ","")&amp;IF($S341="","Falta indicar si és recurrent. ",""))))</f>
        <v/>
      </c>
    </row>
    <row r="342">
      <c r="A342" s="10">
        <f>IF($D342="","","27_"&amp;IFERROR(INDEX(Objectius!$E$2:$E$183,MATCH($D342,Objectius!$A$2:$A$183,0)),"??")&amp;"_"&amp;TEXT(COUNTIF($I$6:$I342,$I342),"00"))</f>
        <v/>
      </c>
      <c r="B342" s="11" t="n"/>
      <c r="C342" s="11" t="n"/>
      <c r="D342" s="11" t="n"/>
      <c r="E342" s="10">
        <f>IF($D342="","",IFERROR(INDEX(Objectius!$C$2:$C$183,MATCH($D342,Objectius!$A$2:$A$183,0)),"Objectiu no trobat al Pla"))</f>
        <v/>
      </c>
      <c r="F342" s="11" t="n"/>
      <c r="G342" s="11" t="n"/>
      <c r="H342" s="11" t="n"/>
      <c r="I342" s="10">
        <f>IF($D342="","",IFERROR(INDEX(Objectius!$D$2:$D$183,MATCH($D342,Objectius!$A$2:$A$183,0)),""))</f>
        <v/>
      </c>
      <c r="J342" s="11" t="n"/>
      <c r="K342" s="11" t="n"/>
      <c r="L342" s="11" t="n"/>
      <c r="M342" s="12" t="n"/>
      <c r="N342" s="11" t="n"/>
      <c r="O342" s="10">
        <f>IF($N342="","",IFERROR(INDEX('PLA ESTRATÈGIC'!$G$4:$G$452,MATCH($N342,'PLA ESTRATÈGIC'!$Q$4:$Q$452,0)),""))</f>
        <v/>
      </c>
      <c r="P342" s="10">
        <f>IF($N342="","",IFERROR(INDEX('PLA ESTRATÈGIC'!$H$4:$H$452,MATCH($N342,'PLA ESTRATÈGIC'!$Q$4:$Q$452,0)),""))</f>
        <v/>
      </c>
      <c r="Q342" s="13" t="n"/>
      <c r="R342" s="11" t="n"/>
      <c r="S342" s="11" t="n"/>
      <c r="T342" s="11" t="n"/>
      <c r="U342" s="11" t="n"/>
      <c r="V342" s="10">
        <f>IF(COUNTA($C342,$D342,$J342,$M342)=0,"",IF(TRIM(IF($C342="","Falta l'actuació. ","")&amp;IF($D342="","Falta l'objectiu. ","")&amp;IF($J342="","Falta el tipus de despesa. ","")&amp;IF(AND($J342&lt;&gt;"",$J342&lt;&gt;"Mitjans propis",$J342&lt;&gt;"Altres",$M342=""),"Falta l'import. ","")&amp;IF(AND($J342="Contracte menor a càrrec del RAE",$K342=""),"Falta la partida RAE. ","")&amp;IF(AND($B342&lt;&gt;"",COUNTIF($B$6:$B$705,$B342)&gt;1),"Codi RAE repetit. ","")&amp;IF(AND($B342&lt;&gt;"",$J342&lt;&gt;"",$J342&lt;&gt;"Contracte menor a càrrec del RAE"),"Té codi RAE però no és de tipus RAE. ","")&amp;IF($N342="","Falta l'indicador del Pla. ","")&amp;IF($R342="","Falta el gestor. ","")&amp;IF($S342="","Falta indicar si és recurrent. ",""))="","✔",TRIM(IF($C342="","Falta l'actuació. ","")&amp;IF($D342="","Falta l'objectiu. ","")&amp;IF($J342="","Falta el tipus de despesa. ","")&amp;IF(AND($J342&lt;&gt;"",$J342&lt;&gt;"Mitjans propis",$J342&lt;&gt;"Altres",$M342=""),"Falta l'import. ","")&amp;IF(AND($J342="Contracte menor a càrrec del RAE",$K342=""),"Falta la partida RAE. ","")&amp;IF(AND($B342&lt;&gt;"",COUNTIF($B$6:$B$705,$B342)&gt;1),"Codi RAE repetit. ","")&amp;IF(AND($B342&lt;&gt;"",$J342&lt;&gt;"",$J342&lt;&gt;"Contracte menor a càrrec del RAE"),"Té codi RAE però no és de tipus RAE. ","")&amp;IF($N342="","Falta l'indicador del Pla. ","")&amp;IF($R342="","Falta el gestor. ","")&amp;IF($S342="","Falta indicar si és recurrent. ",""))))</f>
        <v/>
      </c>
    </row>
    <row r="343">
      <c r="A343" s="10">
        <f>IF($D343="","","27_"&amp;IFERROR(INDEX(Objectius!$E$2:$E$183,MATCH($D343,Objectius!$A$2:$A$183,0)),"??")&amp;"_"&amp;TEXT(COUNTIF($I$6:$I343,$I343),"00"))</f>
        <v/>
      </c>
      <c r="B343" s="11" t="n"/>
      <c r="C343" s="11" t="n"/>
      <c r="D343" s="11" t="n"/>
      <c r="E343" s="10">
        <f>IF($D343="","",IFERROR(INDEX(Objectius!$C$2:$C$183,MATCH($D343,Objectius!$A$2:$A$183,0)),"Objectiu no trobat al Pla"))</f>
        <v/>
      </c>
      <c r="F343" s="11" t="n"/>
      <c r="G343" s="11" t="n"/>
      <c r="H343" s="11" t="n"/>
      <c r="I343" s="10">
        <f>IF($D343="","",IFERROR(INDEX(Objectius!$D$2:$D$183,MATCH($D343,Objectius!$A$2:$A$183,0)),""))</f>
        <v/>
      </c>
      <c r="J343" s="11" t="n"/>
      <c r="K343" s="11" t="n"/>
      <c r="L343" s="11" t="n"/>
      <c r="M343" s="12" t="n"/>
      <c r="N343" s="11" t="n"/>
      <c r="O343" s="10">
        <f>IF($N343="","",IFERROR(INDEX('PLA ESTRATÈGIC'!$G$4:$G$452,MATCH($N343,'PLA ESTRATÈGIC'!$Q$4:$Q$452,0)),""))</f>
        <v/>
      </c>
      <c r="P343" s="10">
        <f>IF($N343="","",IFERROR(INDEX('PLA ESTRATÈGIC'!$H$4:$H$452,MATCH($N343,'PLA ESTRATÈGIC'!$Q$4:$Q$452,0)),""))</f>
        <v/>
      </c>
      <c r="Q343" s="13" t="n"/>
      <c r="R343" s="11" t="n"/>
      <c r="S343" s="11" t="n"/>
      <c r="T343" s="11" t="n"/>
      <c r="U343" s="11" t="n"/>
      <c r="V343" s="10">
        <f>IF(COUNTA($C343,$D343,$J343,$M343)=0,"",IF(TRIM(IF($C343="","Falta l'actuació. ","")&amp;IF($D343="","Falta l'objectiu. ","")&amp;IF($J343="","Falta el tipus de despesa. ","")&amp;IF(AND($J343&lt;&gt;"",$J343&lt;&gt;"Mitjans propis",$J343&lt;&gt;"Altres",$M343=""),"Falta l'import. ","")&amp;IF(AND($J343="Contracte menor a càrrec del RAE",$K343=""),"Falta la partida RAE. ","")&amp;IF(AND($B343&lt;&gt;"",COUNTIF($B$6:$B$705,$B343)&gt;1),"Codi RAE repetit. ","")&amp;IF(AND($B343&lt;&gt;"",$J343&lt;&gt;"",$J343&lt;&gt;"Contracte menor a càrrec del RAE"),"Té codi RAE però no és de tipus RAE. ","")&amp;IF($N343="","Falta l'indicador del Pla. ","")&amp;IF($R343="","Falta el gestor. ","")&amp;IF($S343="","Falta indicar si és recurrent. ",""))="","✔",TRIM(IF($C343="","Falta l'actuació. ","")&amp;IF($D343="","Falta l'objectiu. ","")&amp;IF($J343="","Falta el tipus de despesa. ","")&amp;IF(AND($J343&lt;&gt;"",$J343&lt;&gt;"Mitjans propis",$J343&lt;&gt;"Altres",$M343=""),"Falta l'import. ","")&amp;IF(AND($J343="Contracte menor a càrrec del RAE",$K343=""),"Falta la partida RAE. ","")&amp;IF(AND($B343&lt;&gt;"",COUNTIF($B$6:$B$705,$B343)&gt;1),"Codi RAE repetit. ","")&amp;IF(AND($B343&lt;&gt;"",$J343&lt;&gt;"",$J343&lt;&gt;"Contracte menor a càrrec del RAE"),"Té codi RAE però no és de tipus RAE. ","")&amp;IF($N343="","Falta l'indicador del Pla. ","")&amp;IF($R343="","Falta el gestor. ","")&amp;IF($S343="","Falta indicar si és recurrent. ",""))))</f>
        <v/>
      </c>
    </row>
    <row r="344">
      <c r="A344" s="10">
        <f>IF($D344="","","27_"&amp;IFERROR(INDEX(Objectius!$E$2:$E$183,MATCH($D344,Objectius!$A$2:$A$183,0)),"??")&amp;"_"&amp;TEXT(COUNTIF($I$6:$I344,$I344),"00"))</f>
        <v/>
      </c>
      <c r="B344" s="11" t="n"/>
      <c r="C344" s="11" t="n"/>
      <c r="D344" s="11" t="n"/>
      <c r="E344" s="10">
        <f>IF($D344="","",IFERROR(INDEX(Objectius!$C$2:$C$183,MATCH($D344,Objectius!$A$2:$A$183,0)),"Objectiu no trobat al Pla"))</f>
        <v/>
      </c>
      <c r="F344" s="11" t="n"/>
      <c r="G344" s="11" t="n"/>
      <c r="H344" s="11" t="n"/>
      <c r="I344" s="10">
        <f>IF($D344="","",IFERROR(INDEX(Objectius!$D$2:$D$183,MATCH($D344,Objectius!$A$2:$A$183,0)),""))</f>
        <v/>
      </c>
      <c r="J344" s="11" t="n"/>
      <c r="K344" s="11" t="n"/>
      <c r="L344" s="11" t="n"/>
      <c r="M344" s="12" t="n"/>
      <c r="N344" s="11" t="n"/>
      <c r="O344" s="10">
        <f>IF($N344="","",IFERROR(INDEX('PLA ESTRATÈGIC'!$G$4:$G$452,MATCH($N344,'PLA ESTRATÈGIC'!$Q$4:$Q$452,0)),""))</f>
        <v/>
      </c>
      <c r="P344" s="10">
        <f>IF($N344="","",IFERROR(INDEX('PLA ESTRATÈGIC'!$H$4:$H$452,MATCH($N344,'PLA ESTRATÈGIC'!$Q$4:$Q$452,0)),""))</f>
        <v/>
      </c>
      <c r="Q344" s="13" t="n"/>
      <c r="R344" s="11" t="n"/>
      <c r="S344" s="11" t="n"/>
      <c r="T344" s="11" t="n"/>
      <c r="U344" s="11" t="n"/>
      <c r="V344" s="10">
        <f>IF(COUNTA($C344,$D344,$J344,$M344)=0,"",IF(TRIM(IF($C344="","Falta l'actuació. ","")&amp;IF($D344="","Falta l'objectiu. ","")&amp;IF($J344="","Falta el tipus de despesa. ","")&amp;IF(AND($J344&lt;&gt;"",$J344&lt;&gt;"Mitjans propis",$J344&lt;&gt;"Altres",$M344=""),"Falta l'import. ","")&amp;IF(AND($J344="Contracte menor a càrrec del RAE",$K344=""),"Falta la partida RAE. ","")&amp;IF(AND($B344&lt;&gt;"",COUNTIF($B$6:$B$705,$B344)&gt;1),"Codi RAE repetit. ","")&amp;IF(AND($B344&lt;&gt;"",$J344&lt;&gt;"",$J344&lt;&gt;"Contracte menor a càrrec del RAE"),"Té codi RAE però no és de tipus RAE. ","")&amp;IF($N344="","Falta l'indicador del Pla. ","")&amp;IF($R344="","Falta el gestor. ","")&amp;IF($S344="","Falta indicar si és recurrent. ",""))="","✔",TRIM(IF($C344="","Falta l'actuació. ","")&amp;IF($D344="","Falta l'objectiu. ","")&amp;IF($J344="","Falta el tipus de despesa. ","")&amp;IF(AND($J344&lt;&gt;"",$J344&lt;&gt;"Mitjans propis",$J344&lt;&gt;"Altres",$M344=""),"Falta l'import. ","")&amp;IF(AND($J344="Contracte menor a càrrec del RAE",$K344=""),"Falta la partida RAE. ","")&amp;IF(AND($B344&lt;&gt;"",COUNTIF($B$6:$B$705,$B344)&gt;1),"Codi RAE repetit. ","")&amp;IF(AND($B344&lt;&gt;"",$J344&lt;&gt;"",$J344&lt;&gt;"Contracte menor a càrrec del RAE"),"Té codi RAE però no és de tipus RAE. ","")&amp;IF($N344="","Falta l'indicador del Pla. ","")&amp;IF($R344="","Falta el gestor. ","")&amp;IF($S344="","Falta indicar si és recurrent. ",""))))</f>
        <v/>
      </c>
    </row>
    <row r="345">
      <c r="A345" s="10">
        <f>IF($D345="","","27_"&amp;IFERROR(INDEX(Objectius!$E$2:$E$183,MATCH($D345,Objectius!$A$2:$A$183,0)),"??")&amp;"_"&amp;TEXT(COUNTIF($I$6:$I345,$I345),"00"))</f>
        <v/>
      </c>
      <c r="B345" s="11" t="n"/>
      <c r="C345" s="11" t="n"/>
      <c r="D345" s="11" t="n"/>
      <c r="E345" s="10">
        <f>IF($D345="","",IFERROR(INDEX(Objectius!$C$2:$C$183,MATCH($D345,Objectius!$A$2:$A$183,0)),"Objectiu no trobat al Pla"))</f>
        <v/>
      </c>
      <c r="F345" s="11" t="n"/>
      <c r="G345" s="11" t="n"/>
      <c r="H345" s="11" t="n"/>
      <c r="I345" s="10">
        <f>IF($D345="","",IFERROR(INDEX(Objectius!$D$2:$D$183,MATCH($D345,Objectius!$A$2:$A$183,0)),""))</f>
        <v/>
      </c>
      <c r="J345" s="11" t="n"/>
      <c r="K345" s="11" t="n"/>
      <c r="L345" s="11" t="n"/>
      <c r="M345" s="12" t="n"/>
      <c r="N345" s="11" t="n"/>
      <c r="O345" s="10">
        <f>IF($N345="","",IFERROR(INDEX('PLA ESTRATÈGIC'!$G$4:$G$452,MATCH($N345,'PLA ESTRATÈGIC'!$Q$4:$Q$452,0)),""))</f>
        <v/>
      </c>
      <c r="P345" s="10">
        <f>IF($N345="","",IFERROR(INDEX('PLA ESTRATÈGIC'!$H$4:$H$452,MATCH($N345,'PLA ESTRATÈGIC'!$Q$4:$Q$452,0)),""))</f>
        <v/>
      </c>
      <c r="Q345" s="13" t="n"/>
      <c r="R345" s="11" t="n"/>
      <c r="S345" s="11" t="n"/>
      <c r="T345" s="11" t="n"/>
      <c r="U345" s="11" t="n"/>
      <c r="V345" s="10">
        <f>IF(COUNTA($C345,$D345,$J345,$M345)=0,"",IF(TRIM(IF($C345="","Falta l'actuació. ","")&amp;IF($D345="","Falta l'objectiu. ","")&amp;IF($J345="","Falta el tipus de despesa. ","")&amp;IF(AND($J345&lt;&gt;"",$J345&lt;&gt;"Mitjans propis",$J345&lt;&gt;"Altres",$M345=""),"Falta l'import. ","")&amp;IF(AND($J345="Contracte menor a càrrec del RAE",$K345=""),"Falta la partida RAE. ","")&amp;IF(AND($B345&lt;&gt;"",COUNTIF($B$6:$B$705,$B345)&gt;1),"Codi RAE repetit. ","")&amp;IF(AND($B345&lt;&gt;"",$J345&lt;&gt;"",$J345&lt;&gt;"Contracte menor a càrrec del RAE"),"Té codi RAE però no és de tipus RAE. ","")&amp;IF($N345="","Falta l'indicador del Pla. ","")&amp;IF($R345="","Falta el gestor. ","")&amp;IF($S345="","Falta indicar si és recurrent. ",""))="","✔",TRIM(IF($C345="","Falta l'actuació. ","")&amp;IF($D345="","Falta l'objectiu. ","")&amp;IF($J345="","Falta el tipus de despesa. ","")&amp;IF(AND($J345&lt;&gt;"",$J345&lt;&gt;"Mitjans propis",$J345&lt;&gt;"Altres",$M345=""),"Falta l'import. ","")&amp;IF(AND($J345="Contracte menor a càrrec del RAE",$K345=""),"Falta la partida RAE. ","")&amp;IF(AND($B345&lt;&gt;"",COUNTIF($B$6:$B$705,$B345)&gt;1),"Codi RAE repetit. ","")&amp;IF(AND($B345&lt;&gt;"",$J345&lt;&gt;"",$J345&lt;&gt;"Contracte menor a càrrec del RAE"),"Té codi RAE però no és de tipus RAE. ","")&amp;IF($N345="","Falta l'indicador del Pla. ","")&amp;IF($R345="","Falta el gestor. ","")&amp;IF($S345="","Falta indicar si és recurrent. ",""))))</f>
        <v/>
      </c>
    </row>
    <row r="346">
      <c r="A346" s="10">
        <f>IF($D346="","","27_"&amp;IFERROR(INDEX(Objectius!$E$2:$E$183,MATCH($D346,Objectius!$A$2:$A$183,0)),"??")&amp;"_"&amp;TEXT(COUNTIF($I$6:$I346,$I346),"00"))</f>
        <v/>
      </c>
      <c r="B346" s="11" t="n"/>
      <c r="C346" s="11" t="n"/>
      <c r="D346" s="11" t="n"/>
      <c r="E346" s="10">
        <f>IF($D346="","",IFERROR(INDEX(Objectius!$C$2:$C$183,MATCH($D346,Objectius!$A$2:$A$183,0)),"Objectiu no trobat al Pla"))</f>
        <v/>
      </c>
      <c r="F346" s="11" t="n"/>
      <c r="G346" s="11" t="n"/>
      <c r="H346" s="11" t="n"/>
      <c r="I346" s="10">
        <f>IF($D346="","",IFERROR(INDEX(Objectius!$D$2:$D$183,MATCH($D346,Objectius!$A$2:$A$183,0)),""))</f>
        <v/>
      </c>
      <c r="J346" s="11" t="n"/>
      <c r="K346" s="11" t="n"/>
      <c r="L346" s="11" t="n"/>
      <c r="M346" s="12" t="n"/>
      <c r="N346" s="11" t="n"/>
      <c r="O346" s="10">
        <f>IF($N346="","",IFERROR(INDEX('PLA ESTRATÈGIC'!$G$4:$G$452,MATCH($N346,'PLA ESTRATÈGIC'!$Q$4:$Q$452,0)),""))</f>
        <v/>
      </c>
      <c r="P346" s="10">
        <f>IF($N346="","",IFERROR(INDEX('PLA ESTRATÈGIC'!$H$4:$H$452,MATCH($N346,'PLA ESTRATÈGIC'!$Q$4:$Q$452,0)),""))</f>
        <v/>
      </c>
      <c r="Q346" s="13" t="n"/>
      <c r="R346" s="11" t="n"/>
      <c r="S346" s="11" t="n"/>
      <c r="T346" s="11" t="n"/>
      <c r="U346" s="11" t="n"/>
      <c r="V346" s="10">
        <f>IF(COUNTA($C346,$D346,$J346,$M346)=0,"",IF(TRIM(IF($C346="","Falta l'actuació. ","")&amp;IF($D346="","Falta l'objectiu. ","")&amp;IF($J346="","Falta el tipus de despesa. ","")&amp;IF(AND($J346&lt;&gt;"",$J346&lt;&gt;"Mitjans propis",$J346&lt;&gt;"Altres",$M346=""),"Falta l'import. ","")&amp;IF(AND($J346="Contracte menor a càrrec del RAE",$K346=""),"Falta la partida RAE. ","")&amp;IF(AND($B346&lt;&gt;"",COUNTIF($B$6:$B$705,$B346)&gt;1),"Codi RAE repetit. ","")&amp;IF(AND($B346&lt;&gt;"",$J346&lt;&gt;"",$J346&lt;&gt;"Contracte menor a càrrec del RAE"),"Té codi RAE però no és de tipus RAE. ","")&amp;IF($N346="","Falta l'indicador del Pla. ","")&amp;IF($R346="","Falta el gestor. ","")&amp;IF($S346="","Falta indicar si és recurrent. ",""))="","✔",TRIM(IF($C346="","Falta l'actuació. ","")&amp;IF($D346="","Falta l'objectiu. ","")&amp;IF($J346="","Falta el tipus de despesa. ","")&amp;IF(AND($J346&lt;&gt;"",$J346&lt;&gt;"Mitjans propis",$J346&lt;&gt;"Altres",$M346=""),"Falta l'import. ","")&amp;IF(AND($J346="Contracte menor a càrrec del RAE",$K346=""),"Falta la partida RAE. ","")&amp;IF(AND($B346&lt;&gt;"",COUNTIF($B$6:$B$705,$B346)&gt;1),"Codi RAE repetit. ","")&amp;IF(AND($B346&lt;&gt;"",$J346&lt;&gt;"",$J346&lt;&gt;"Contracte menor a càrrec del RAE"),"Té codi RAE però no és de tipus RAE. ","")&amp;IF($N346="","Falta l'indicador del Pla. ","")&amp;IF($R346="","Falta el gestor. ","")&amp;IF($S346="","Falta indicar si és recurrent. ",""))))</f>
        <v/>
      </c>
    </row>
    <row r="347">
      <c r="A347" s="10">
        <f>IF($D347="","","27_"&amp;IFERROR(INDEX(Objectius!$E$2:$E$183,MATCH($D347,Objectius!$A$2:$A$183,0)),"??")&amp;"_"&amp;TEXT(COUNTIF($I$6:$I347,$I347),"00"))</f>
        <v/>
      </c>
      <c r="B347" s="11" t="n"/>
      <c r="C347" s="11" t="n"/>
      <c r="D347" s="11" t="n"/>
      <c r="E347" s="10">
        <f>IF($D347="","",IFERROR(INDEX(Objectius!$C$2:$C$183,MATCH($D347,Objectius!$A$2:$A$183,0)),"Objectiu no trobat al Pla"))</f>
        <v/>
      </c>
      <c r="F347" s="11" t="n"/>
      <c r="G347" s="11" t="n"/>
      <c r="H347" s="11" t="n"/>
      <c r="I347" s="10">
        <f>IF($D347="","",IFERROR(INDEX(Objectius!$D$2:$D$183,MATCH($D347,Objectius!$A$2:$A$183,0)),""))</f>
        <v/>
      </c>
      <c r="J347" s="11" t="n"/>
      <c r="K347" s="11" t="n"/>
      <c r="L347" s="11" t="n"/>
      <c r="M347" s="12" t="n"/>
      <c r="N347" s="11" t="n"/>
      <c r="O347" s="10">
        <f>IF($N347="","",IFERROR(INDEX('PLA ESTRATÈGIC'!$G$4:$G$452,MATCH($N347,'PLA ESTRATÈGIC'!$Q$4:$Q$452,0)),""))</f>
        <v/>
      </c>
      <c r="P347" s="10">
        <f>IF($N347="","",IFERROR(INDEX('PLA ESTRATÈGIC'!$H$4:$H$452,MATCH($N347,'PLA ESTRATÈGIC'!$Q$4:$Q$452,0)),""))</f>
        <v/>
      </c>
      <c r="Q347" s="13" t="n"/>
      <c r="R347" s="11" t="n"/>
      <c r="S347" s="11" t="n"/>
      <c r="T347" s="11" t="n"/>
      <c r="U347" s="11" t="n"/>
      <c r="V347" s="10">
        <f>IF(COUNTA($C347,$D347,$J347,$M347)=0,"",IF(TRIM(IF($C347="","Falta l'actuació. ","")&amp;IF($D347="","Falta l'objectiu. ","")&amp;IF($J347="","Falta el tipus de despesa. ","")&amp;IF(AND($J347&lt;&gt;"",$J347&lt;&gt;"Mitjans propis",$J347&lt;&gt;"Altres",$M347=""),"Falta l'import. ","")&amp;IF(AND($J347="Contracte menor a càrrec del RAE",$K347=""),"Falta la partida RAE. ","")&amp;IF(AND($B347&lt;&gt;"",COUNTIF($B$6:$B$705,$B347)&gt;1),"Codi RAE repetit. ","")&amp;IF(AND($B347&lt;&gt;"",$J347&lt;&gt;"",$J347&lt;&gt;"Contracte menor a càrrec del RAE"),"Té codi RAE però no és de tipus RAE. ","")&amp;IF($N347="","Falta l'indicador del Pla. ","")&amp;IF($R347="","Falta el gestor. ","")&amp;IF($S347="","Falta indicar si és recurrent. ",""))="","✔",TRIM(IF($C347="","Falta l'actuació. ","")&amp;IF($D347="","Falta l'objectiu. ","")&amp;IF($J347="","Falta el tipus de despesa. ","")&amp;IF(AND($J347&lt;&gt;"",$J347&lt;&gt;"Mitjans propis",$J347&lt;&gt;"Altres",$M347=""),"Falta l'import. ","")&amp;IF(AND($J347="Contracte menor a càrrec del RAE",$K347=""),"Falta la partida RAE. ","")&amp;IF(AND($B347&lt;&gt;"",COUNTIF($B$6:$B$705,$B347)&gt;1),"Codi RAE repetit. ","")&amp;IF(AND($B347&lt;&gt;"",$J347&lt;&gt;"",$J347&lt;&gt;"Contracte menor a càrrec del RAE"),"Té codi RAE però no és de tipus RAE. ","")&amp;IF($N347="","Falta l'indicador del Pla. ","")&amp;IF($R347="","Falta el gestor. ","")&amp;IF($S347="","Falta indicar si és recurrent. ",""))))</f>
        <v/>
      </c>
    </row>
    <row r="348">
      <c r="A348" s="10">
        <f>IF($D348="","","27_"&amp;IFERROR(INDEX(Objectius!$E$2:$E$183,MATCH($D348,Objectius!$A$2:$A$183,0)),"??")&amp;"_"&amp;TEXT(COUNTIF($I$6:$I348,$I348),"00"))</f>
        <v/>
      </c>
      <c r="B348" s="11" t="n"/>
      <c r="C348" s="11" t="n"/>
      <c r="D348" s="11" t="n"/>
      <c r="E348" s="10">
        <f>IF($D348="","",IFERROR(INDEX(Objectius!$C$2:$C$183,MATCH($D348,Objectius!$A$2:$A$183,0)),"Objectiu no trobat al Pla"))</f>
        <v/>
      </c>
      <c r="F348" s="11" t="n"/>
      <c r="G348" s="11" t="n"/>
      <c r="H348" s="11" t="n"/>
      <c r="I348" s="10">
        <f>IF($D348="","",IFERROR(INDEX(Objectius!$D$2:$D$183,MATCH($D348,Objectius!$A$2:$A$183,0)),""))</f>
        <v/>
      </c>
      <c r="J348" s="11" t="n"/>
      <c r="K348" s="11" t="n"/>
      <c r="L348" s="11" t="n"/>
      <c r="M348" s="12" t="n"/>
      <c r="N348" s="11" t="n"/>
      <c r="O348" s="10">
        <f>IF($N348="","",IFERROR(INDEX('PLA ESTRATÈGIC'!$G$4:$G$452,MATCH($N348,'PLA ESTRATÈGIC'!$Q$4:$Q$452,0)),""))</f>
        <v/>
      </c>
      <c r="P348" s="10">
        <f>IF($N348="","",IFERROR(INDEX('PLA ESTRATÈGIC'!$H$4:$H$452,MATCH($N348,'PLA ESTRATÈGIC'!$Q$4:$Q$452,0)),""))</f>
        <v/>
      </c>
      <c r="Q348" s="13" t="n"/>
      <c r="R348" s="11" t="n"/>
      <c r="S348" s="11" t="n"/>
      <c r="T348" s="11" t="n"/>
      <c r="U348" s="11" t="n"/>
      <c r="V348" s="10">
        <f>IF(COUNTA($C348,$D348,$J348,$M348)=0,"",IF(TRIM(IF($C348="","Falta l'actuació. ","")&amp;IF($D348="","Falta l'objectiu. ","")&amp;IF($J348="","Falta el tipus de despesa. ","")&amp;IF(AND($J348&lt;&gt;"",$J348&lt;&gt;"Mitjans propis",$J348&lt;&gt;"Altres",$M348=""),"Falta l'import. ","")&amp;IF(AND($J348="Contracte menor a càrrec del RAE",$K348=""),"Falta la partida RAE. ","")&amp;IF(AND($B348&lt;&gt;"",COUNTIF($B$6:$B$705,$B348)&gt;1),"Codi RAE repetit. ","")&amp;IF(AND($B348&lt;&gt;"",$J348&lt;&gt;"",$J348&lt;&gt;"Contracte menor a càrrec del RAE"),"Té codi RAE però no és de tipus RAE. ","")&amp;IF($N348="","Falta l'indicador del Pla. ","")&amp;IF($R348="","Falta el gestor. ","")&amp;IF($S348="","Falta indicar si és recurrent. ",""))="","✔",TRIM(IF($C348="","Falta l'actuació. ","")&amp;IF($D348="","Falta l'objectiu. ","")&amp;IF($J348="","Falta el tipus de despesa. ","")&amp;IF(AND($J348&lt;&gt;"",$J348&lt;&gt;"Mitjans propis",$J348&lt;&gt;"Altres",$M348=""),"Falta l'import. ","")&amp;IF(AND($J348="Contracte menor a càrrec del RAE",$K348=""),"Falta la partida RAE. ","")&amp;IF(AND($B348&lt;&gt;"",COUNTIF($B$6:$B$705,$B348)&gt;1),"Codi RAE repetit. ","")&amp;IF(AND($B348&lt;&gt;"",$J348&lt;&gt;"",$J348&lt;&gt;"Contracte menor a càrrec del RAE"),"Té codi RAE però no és de tipus RAE. ","")&amp;IF($N348="","Falta l'indicador del Pla. ","")&amp;IF($R348="","Falta el gestor. ","")&amp;IF($S348="","Falta indicar si és recurrent. ",""))))</f>
        <v/>
      </c>
    </row>
    <row r="349">
      <c r="A349" s="10">
        <f>IF($D349="","","27_"&amp;IFERROR(INDEX(Objectius!$E$2:$E$183,MATCH($D349,Objectius!$A$2:$A$183,0)),"??")&amp;"_"&amp;TEXT(COUNTIF($I$6:$I349,$I349),"00"))</f>
        <v/>
      </c>
      <c r="B349" s="11" t="n"/>
      <c r="C349" s="11" t="n"/>
      <c r="D349" s="11" t="n"/>
      <c r="E349" s="10">
        <f>IF($D349="","",IFERROR(INDEX(Objectius!$C$2:$C$183,MATCH($D349,Objectius!$A$2:$A$183,0)),"Objectiu no trobat al Pla"))</f>
        <v/>
      </c>
      <c r="F349" s="11" t="n"/>
      <c r="G349" s="11" t="n"/>
      <c r="H349" s="11" t="n"/>
      <c r="I349" s="10">
        <f>IF($D349="","",IFERROR(INDEX(Objectius!$D$2:$D$183,MATCH($D349,Objectius!$A$2:$A$183,0)),""))</f>
        <v/>
      </c>
      <c r="J349" s="11" t="n"/>
      <c r="K349" s="11" t="n"/>
      <c r="L349" s="11" t="n"/>
      <c r="M349" s="12" t="n"/>
      <c r="N349" s="11" t="n"/>
      <c r="O349" s="10">
        <f>IF($N349="","",IFERROR(INDEX('PLA ESTRATÈGIC'!$G$4:$G$452,MATCH($N349,'PLA ESTRATÈGIC'!$Q$4:$Q$452,0)),""))</f>
        <v/>
      </c>
      <c r="P349" s="10">
        <f>IF($N349="","",IFERROR(INDEX('PLA ESTRATÈGIC'!$H$4:$H$452,MATCH($N349,'PLA ESTRATÈGIC'!$Q$4:$Q$452,0)),""))</f>
        <v/>
      </c>
      <c r="Q349" s="13" t="n"/>
      <c r="R349" s="11" t="n"/>
      <c r="S349" s="11" t="n"/>
      <c r="T349" s="11" t="n"/>
      <c r="U349" s="11" t="n"/>
      <c r="V349" s="10">
        <f>IF(COUNTA($C349,$D349,$J349,$M349)=0,"",IF(TRIM(IF($C349="","Falta l'actuació. ","")&amp;IF($D349="","Falta l'objectiu. ","")&amp;IF($J349="","Falta el tipus de despesa. ","")&amp;IF(AND($J349&lt;&gt;"",$J349&lt;&gt;"Mitjans propis",$J349&lt;&gt;"Altres",$M349=""),"Falta l'import. ","")&amp;IF(AND($J349="Contracte menor a càrrec del RAE",$K349=""),"Falta la partida RAE. ","")&amp;IF(AND($B349&lt;&gt;"",COUNTIF($B$6:$B$705,$B349)&gt;1),"Codi RAE repetit. ","")&amp;IF(AND($B349&lt;&gt;"",$J349&lt;&gt;"",$J349&lt;&gt;"Contracte menor a càrrec del RAE"),"Té codi RAE però no és de tipus RAE. ","")&amp;IF($N349="","Falta l'indicador del Pla. ","")&amp;IF($R349="","Falta el gestor. ","")&amp;IF($S349="","Falta indicar si és recurrent. ",""))="","✔",TRIM(IF($C349="","Falta l'actuació. ","")&amp;IF($D349="","Falta l'objectiu. ","")&amp;IF($J349="","Falta el tipus de despesa. ","")&amp;IF(AND($J349&lt;&gt;"",$J349&lt;&gt;"Mitjans propis",$J349&lt;&gt;"Altres",$M349=""),"Falta l'import. ","")&amp;IF(AND($J349="Contracte menor a càrrec del RAE",$K349=""),"Falta la partida RAE. ","")&amp;IF(AND($B349&lt;&gt;"",COUNTIF($B$6:$B$705,$B349)&gt;1),"Codi RAE repetit. ","")&amp;IF(AND($B349&lt;&gt;"",$J349&lt;&gt;"",$J349&lt;&gt;"Contracte menor a càrrec del RAE"),"Té codi RAE però no és de tipus RAE. ","")&amp;IF($N349="","Falta l'indicador del Pla. ","")&amp;IF($R349="","Falta el gestor. ","")&amp;IF($S349="","Falta indicar si és recurrent. ",""))))</f>
        <v/>
      </c>
    </row>
    <row r="350">
      <c r="A350" s="10">
        <f>IF($D350="","","27_"&amp;IFERROR(INDEX(Objectius!$E$2:$E$183,MATCH($D350,Objectius!$A$2:$A$183,0)),"??")&amp;"_"&amp;TEXT(COUNTIF($I$6:$I350,$I350),"00"))</f>
        <v/>
      </c>
      <c r="B350" s="11" t="n"/>
      <c r="C350" s="11" t="n"/>
      <c r="D350" s="11" t="n"/>
      <c r="E350" s="10">
        <f>IF($D350="","",IFERROR(INDEX(Objectius!$C$2:$C$183,MATCH($D350,Objectius!$A$2:$A$183,0)),"Objectiu no trobat al Pla"))</f>
        <v/>
      </c>
      <c r="F350" s="11" t="n"/>
      <c r="G350" s="11" t="n"/>
      <c r="H350" s="11" t="n"/>
      <c r="I350" s="10">
        <f>IF($D350="","",IFERROR(INDEX(Objectius!$D$2:$D$183,MATCH($D350,Objectius!$A$2:$A$183,0)),""))</f>
        <v/>
      </c>
      <c r="J350" s="11" t="n"/>
      <c r="K350" s="11" t="n"/>
      <c r="L350" s="11" t="n"/>
      <c r="M350" s="12" t="n"/>
      <c r="N350" s="11" t="n"/>
      <c r="O350" s="10">
        <f>IF($N350="","",IFERROR(INDEX('PLA ESTRATÈGIC'!$G$4:$G$452,MATCH($N350,'PLA ESTRATÈGIC'!$Q$4:$Q$452,0)),""))</f>
        <v/>
      </c>
      <c r="P350" s="10">
        <f>IF($N350="","",IFERROR(INDEX('PLA ESTRATÈGIC'!$H$4:$H$452,MATCH($N350,'PLA ESTRATÈGIC'!$Q$4:$Q$452,0)),""))</f>
        <v/>
      </c>
      <c r="Q350" s="13" t="n"/>
      <c r="R350" s="11" t="n"/>
      <c r="S350" s="11" t="n"/>
      <c r="T350" s="11" t="n"/>
      <c r="U350" s="11" t="n"/>
      <c r="V350" s="10">
        <f>IF(COUNTA($C350,$D350,$J350,$M350)=0,"",IF(TRIM(IF($C350="","Falta l'actuació. ","")&amp;IF($D350="","Falta l'objectiu. ","")&amp;IF($J350="","Falta el tipus de despesa. ","")&amp;IF(AND($J350&lt;&gt;"",$J350&lt;&gt;"Mitjans propis",$J350&lt;&gt;"Altres",$M350=""),"Falta l'import. ","")&amp;IF(AND($J350="Contracte menor a càrrec del RAE",$K350=""),"Falta la partida RAE. ","")&amp;IF(AND($B350&lt;&gt;"",COUNTIF($B$6:$B$705,$B350)&gt;1),"Codi RAE repetit. ","")&amp;IF(AND($B350&lt;&gt;"",$J350&lt;&gt;"",$J350&lt;&gt;"Contracte menor a càrrec del RAE"),"Té codi RAE però no és de tipus RAE. ","")&amp;IF($N350="","Falta l'indicador del Pla. ","")&amp;IF($R350="","Falta el gestor. ","")&amp;IF($S350="","Falta indicar si és recurrent. ",""))="","✔",TRIM(IF($C350="","Falta l'actuació. ","")&amp;IF($D350="","Falta l'objectiu. ","")&amp;IF($J350="","Falta el tipus de despesa. ","")&amp;IF(AND($J350&lt;&gt;"",$J350&lt;&gt;"Mitjans propis",$J350&lt;&gt;"Altres",$M350=""),"Falta l'import. ","")&amp;IF(AND($J350="Contracte menor a càrrec del RAE",$K350=""),"Falta la partida RAE. ","")&amp;IF(AND($B350&lt;&gt;"",COUNTIF($B$6:$B$705,$B350)&gt;1),"Codi RAE repetit. ","")&amp;IF(AND($B350&lt;&gt;"",$J350&lt;&gt;"",$J350&lt;&gt;"Contracte menor a càrrec del RAE"),"Té codi RAE però no és de tipus RAE. ","")&amp;IF($N350="","Falta l'indicador del Pla. ","")&amp;IF($R350="","Falta el gestor. ","")&amp;IF($S350="","Falta indicar si és recurrent. ",""))))</f>
        <v/>
      </c>
    </row>
    <row r="351">
      <c r="A351" s="10">
        <f>IF($D351="","","27_"&amp;IFERROR(INDEX(Objectius!$E$2:$E$183,MATCH($D351,Objectius!$A$2:$A$183,0)),"??")&amp;"_"&amp;TEXT(COUNTIF($I$6:$I351,$I351),"00"))</f>
        <v/>
      </c>
      <c r="B351" s="11" t="n"/>
      <c r="C351" s="11" t="n"/>
      <c r="D351" s="11" t="n"/>
      <c r="E351" s="10">
        <f>IF($D351="","",IFERROR(INDEX(Objectius!$C$2:$C$183,MATCH($D351,Objectius!$A$2:$A$183,0)),"Objectiu no trobat al Pla"))</f>
        <v/>
      </c>
      <c r="F351" s="11" t="n"/>
      <c r="G351" s="11" t="n"/>
      <c r="H351" s="11" t="n"/>
      <c r="I351" s="10">
        <f>IF($D351="","",IFERROR(INDEX(Objectius!$D$2:$D$183,MATCH($D351,Objectius!$A$2:$A$183,0)),""))</f>
        <v/>
      </c>
      <c r="J351" s="11" t="n"/>
      <c r="K351" s="11" t="n"/>
      <c r="L351" s="11" t="n"/>
      <c r="M351" s="12" t="n"/>
      <c r="N351" s="11" t="n"/>
      <c r="O351" s="10">
        <f>IF($N351="","",IFERROR(INDEX('PLA ESTRATÈGIC'!$G$4:$G$452,MATCH($N351,'PLA ESTRATÈGIC'!$Q$4:$Q$452,0)),""))</f>
        <v/>
      </c>
      <c r="P351" s="10">
        <f>IF($N351="","",IFERROR(INDEX('PLA ESTRATÈGIC'!$H$4:$H$452,MATCH($N351,'PLA ESTRATÈGIC'!$Q$4:$Q$452,0)),""))</f>
        <v/>
      </c>
      <c r="Q351" s="13" t="n"/>
      <c r="R351" s="11" t="n"/>
      <c r="S351" s="11" t="n"/>
      <c r="T351" s="11" t="n"/>
      <c r="U351" s="11" t="n"/>
      <c r="V351" s="10">
        <f>IF(COUNTA($C351,$D351,$J351,$M351)=0,"",IF(TRIM(IF($C351="","Falta l'actuació. ","")&amp;IF($D351="","Falta l'objectiu. ","")&amp;IF($J351="","Falta el tipus de despesa. ","")&amp;IF(AND($J351&lt;&gt;"",$J351&lt;&gt;"Mitjans propis",$J351&lt;&gt;"Altres",$M351=""),"Falta l'import. ","")&amp;IF(AND($J351="Contracte menor a càrrec del RAE",$K351=""),"Falta la partida RAE. ","")&amp;IF(AND($B351&lt;&gt;"",COUNTIF($B$6:$B$705,$B351)&gt;1),"Codi RAE repetit. ","")&amp;IF(AND($B351&lt;&gt;"",$J351&lt;&gt;"",$J351&lt;&gt;"Contracte menor a càrrec del RAE"),"Té codi RAE però no és de tipus RAE. ","")&amp;IF($N351="","Falta l'indicador del Pla. ","")&amp;IF($R351="","Falta el gestor. ","")&amp;IF($S351="","Falta indicar si és recurrent. ",""))="","✔",TRIM(IF($C351="","Falta l'actuació. ","")&amp;IF($D351="","Falta l'objectiu. ","")&amp;IF($J351="","Falta el tipus de despesa. ","")&amp;IF(AND($J351&lt;&gt;"",$J351&lt;&gt;"Mitjans propis",$J351&lt;&gt;"Altres",$M351=""),"Falta l'import. ","")&amp;IF(AND($J351="Contracte menor a càrrec del RAE",$K351=""),"Falta la partida RAE. ","")&amp;IF(AND($B351&lt;&gt;"",COUNTIF($B$6:$B$705,$B351)&gt;1),"Codi RAE repetit. ","")&amp;IF(AND($B351&lt;&gt;"",$J351&lt;&gt;"",$J351&lt;&gt;"Contracte menor a càrrec del RAE"),"Té codi RAE però no és de tipus RAE. ","")&amp;IF($N351="","Falta l'indicador del Pla. ","")&amp;IF($R351="","Falta el gestor. ","")&amp;IF($S351="","Falta indicar si és recurrent. ",""))))</f>
        <v/>
      </c>
    </row>
    <row r="352">
      <c r="A352" s="10">
        <f>IF($D352="","","27_"&amp;IFERROR(INDEX(Objectius!$E$2:$E$183,MATCH($D352,Objectius!$A$2:$A$183,0)),"??")&amp;"_"&amp;TEXT(COUNTIF($I$6:$I352,$I352),"00"))</f>
        <v/>
      </c>
      <c r="B352" s="11" t="n"/>
      <c r="C352" s="11" t="n"/>
      <c r="D352" s="11" t="n"/>
      <c r="E352" s="10">
        <f>IF($D352="","",IFERROR(INDEX(Objectius!$C$2:$C$183,MATCH($D352,Objectius!$A$2:$A$183,0)),"Objectiu no trobat al Pla"))</f>
        <v/>
      </c>
      <c r="F352" s="11" t="n"/>
      <c r="G352" s="11" t="n"/>
      <c r="H352" s="11" t="n"/>
      <c r="I352" s="10">
        <f>IF($D352="","",IFERROR(INDEX(Objectius!$D$2:$D$183,MATCH($D352,Objectius!$A$2:$A$183,0)),""))</f>
        <v/>
      </c>
      <c r="J352" s="11" t="n"/>
      <c r="K352" s="11" t="n"/>
      <c r="L352" s="11" t="n"/>
      <c r="M352" s="12" t="n"/>
      <c r="N352" s="11" t="n"/>
      <c r="O352" s="10">
        <f>IF($N352="","",IFERROR(INDEX('PLA ESTRATÈGIC'!$G$4:$G$452,MATCH($N352,'PLA ESTRATÈGIC'!$Q$4:$Q$452,0)),""))</f>
        <v/>
      </c>
      <c r="P352" s="10">
        <f>IF($N352="","",IFERROR(INDEX('PLA ESTRATÈGIC'!$H$4:$H$452,MATCH($N352,'PLA ESTRATÈGIC'!$Q$4:$Q$452,0)),""))</f>
        <v/>
      </c>
      <c r="Q352" s="13" t="n"/>
      <c r="R352" s="11" t="n"/>
      <c r="S352" s="11" t="n"/>
      <c r="T352" s="11" t="n"/>
      <c r="U352" s="11" t="n"/>
      <c r="V352" s="10">
        <f>IF(COUNTA($C352,$D352,$J352,$M352)=0,"",IF(TRIM(IF($C352="","Falta l'actuació. ","")&amp;IF($D352="","Falta l'objectiu. ","")&amp;IF($J352="","Falta el tipus de despesa. ","")&amp;IF(AND($J352&lt;&gt;"",$J352&lt;&gt;"Mitjans propis",$J352&lt;&gt;"Altres",$M352=""),"Falta l'import. ","")&amp;IF(AND($J352="Contracte menor a càrrec del RAE",$K352=""),"Falta la partida RAE. ","")&amp;IF(AND($B352&lt;&gt;"",COUNTIF($B$6:$B$705,$B352)&gt;1),"Codi RAE repetit. ","")&amp;IF(AND($B352&lt;&gt;"",$J352&lt;&gt;"",$J352&lt;&gt;"Contracte menor a càrrec del RAE"),"Té codi RAE però no és de tipus RAE. ","")&amp;IF($N352="","Falta l'indicador del Pla. ","")&amp;IF($R352="","Falta el gestor. ","")&amp;IF($S352="","Falta indicar si és recurrent. ",""))="","✔",TRIM(IF($C352="","Falta l'actuació. ","")&amp;IF($D352="","Falta l'objectiu. ","")&amp;IF($J352="","Falta el tipus de despesa. ","")&amp;IF(AND($J352&lt;&gt;"",$J352&lt;&gt;"Mitjans propis",$J352&lt;&gt;"Altres",$M352=""),"Falta l'import. ","")&amp;IF(AND($J352="Contracte menor a càrrec del RAE",$K352=""),"Falta la partida RAE. ","")&amp;IF(AND($B352&lt;&gt;"",COUNTIF($B$6:$B$705,$B352)&gt;1),"Codi RAE repetit. ","")&amp;IF(AND($B352&lt;&gt;"",$J352&lt;&gt;"",$J352&lt;&gt;"Contracte menor a càrrec del RAE"),"Té codi RAE però no és de tipus RAE. ","")&amp;IF($N352="","Falta l'indicador del Pla. ","")&amp;IF($R352="","Falta el gestor. ","")&amp;IF($S352="","Falta indicar si és recurrent. ",""))))</f>
        <v/>
      </c>
    </row>
    <row r="353">
      <c r="A353" s="10">
        <f>IF($D353="","","27_"&amp;IFERROR(INDEX(Objectius!$E$2:$E$183,MATCH($D353,Objectius!$A$2:$A$183,0)),"??")&amp;"_"&amp;TEXT(COUNTIF($I$6:$I353,$I353),"00"))</f>
        <v/>
      </c>
      <c r="B353" s="11" t="n"/>
      <c r="C353" s="11" t="n"/>
      <c r="D353" s="11" t="n"/>
      <c r="E353" s="10">
        <f>IF($D353="","",IFERROR(INDEX(Objectius!$C$2:$C$183,MATCH($D353,Objectius!$A$2:$A$183,0)),"Objectiu no trobat al Pla"))</f>
        <v/>
      </c>
      <c r="F353" s="11" t="n"/>
      <c r="G353" s="11" t="n"/>
      <c r="H353" s="11" t="n"/>
      <c r="I353" s="10">
        <f>IF($D353="","",IFERROR(INDEX(Objectius!$D$2:$D$183,MATCH($D353,Objectius!$A$2:$A$183,0)),""))</f>
        <v/>
      </c>
      <c r="J353" s="11" t="n"/>
      <c r="K353" s="11" t="n"/>
      <c r="L353" s="11" t="n"/>
      <c r="M353" s="12" t="n"/>
      <c r="N353" s="11" t="n"/>
      <c r="O353" s="10">
        <f>IF($N353="","",IFERROR(INDEX('PLA ESTRATÈGIC'!$G$4:$G$452,MATCH($N353,'PLA ESTRATÈGIC'!$Q$4:$Q$452,0)),""))</f>
        <v/>
      </c>
      <c r="P353" s="10">
        <f>IF($N353="","",IFERROR(INDEX('PLA ESTRATÈGIC'!$H$4:$H$452,MATCH($N353,'PLA ESTRATÈGIC'!$Q$4:$Q$452,0)),""))</f>
        <v/>
      </c>
      <c r="Q353" s="13" t="n"/>
      <c r="R353" s="11" t="n"/>
      <c r="S353" s="11" t="n"/>
      <c r="T353" s="11" t="n"/>
      <c r="U353" s="11" t="n"/>
      <c r="V353" s="10">
        <f>IF(COUNTA($C353,$D353,$J353,$M353)=0,"",IF(TRIM(IF($C353="","Falta l'actuació. ","")&amp;IF($D353="","Falta l'objectiu. ","")&amp;IF($J353="","Falta el tipus de despesa. ","")&amp;IF(AND($J353&lt;&gt;"",$J353&lt;&gt;"Mitjans propis",$J353&lt;&gt;"Altres",$M353=""),"Falta l'import. ","")&amp;IF(AND($J353="Contracte menor a càrrec del RAE",$K353=""),"Falta la partida RAE. ","")&amp;IF(AND($B353&lt;&gt;"",COUNTIF($B$6:$B$705,$B353)&gt;1),"Codi RAE repetit. ","")&amp;IF(AND($B353&lt;&gt;"",$J353&lt;&gt;"",$J353&lt;&gt;"Contracte menor a càrrec del RAE"),"Té codi RAE però no és de tipus RAE. ","")&amp;IF($N353="","Falta l'indicador del Pla. ","")&amp;IF($R353="","Falta el gestor. ","")&amp;IF($S353="","Falta indicar si és recurrent. ",""))="","✔",TRIM(IF($C353="","Falta l'actuació. ","")&amp;IF($D353="","Falta l'objectiu. ","")&amp;IF($J353="","Falta el tipus de despesa. ","")&amp;IF(AND($J353&lt;&gt;"",$J353&lt;&gt;"Mitjans propis",$J353&lt;&gt;"Altres",$M353=""),"Falta l'import. ","")&amp;IF(AND($J353="Contracte menor a càrrec del RAE",$K353=""),"Falta la partida RAE. ","")&amp;IF(AND($B353&lt;&gt;"",COUNTIF($B$6:$B$705,$B353)&gt;1),"Codi RAE repetit. ","")&amp;IF(AND($B353&lt;&gt;"",$J353&lt;&gt;"",$J353&lt;&gt;"Contracte menor a càrrec del RAE"),"Té codi RAE però no és de tipus RAE. ","")&amp;IF($N353="","Falta l'indicador del Pla. ","")&amp;IF($R353="","Falta el gestor. ","")&amp;IF($S353="","Falta indicar si és recurrent. ",""))))</f>
        <v/>
      </c>
    </row>
    <row r="354">
      <c r="A354" s="10">
        <f>IF($D354="","","27_"&amp;IFERROR(INDEX(Objectius!$E$2:$E$183,MATCH($D354,Objectius!$A$2:$A$183,0)),"??")&amp;"_"&amp;TEXT(COUNTIF($I$6:$I354,$I354),"00"))</f>
        <v/>
      </c>
      <c r="B354" s="11" t="n"/>
      <c r="C354" s="11" t="n"/>
      <c r="D354" s="11" t="n"/>
      <c r="E354" s="10">
        <f>IF($D354="","",IFERROR(INDEX(Objectius!$C$2:$C$183,MATCH($D354,Objectius!$A$2:$A$183,0)),"Objectiu no trobat al Pla"))</f>
        <v/>
      </c>
      <c r="F354" s="11" t="n"/>
      <c r="G354" s="11" t="n"/>
      <c r="H354" s="11" t="n"/>
      <c r="I354" s="10">
        <f>IF($D354="","",IFERROR(INDEX(Objectius!$D$2:$D$183,MATCH($D354,Objectius!$A$2:$A$183,0)),""))</f>
        <v/>
      </c>
      <c r="J354" s="11" t="n"/>
      <c r="K354" s="11" t="n"/>
      <c r="L354" s="11" t="n"/>
      <c r="M354" s="12" t="n"/>
      <c r="N354" s="11" t="n"/>
      <c r="O354" s="10">
        <f>IF($N354="","",IFERROR(INDEX('PLA ESTRATÈGIC'!$G$4:$G$452,MATCH($N354,'PLA ESTRATÈGIC'!$Q$4:$Q$452,0)),""))</f>
        <v/>
      </c>
      <c r="P354" s="10">
        <f>IF($N354="","",IFERROR(INDEX('PLA ESTRATÈGIC'!$H$4:$H$452,MATCH($N354,'PLA ESTRATÈGIC'!$Q$4:$Q$452,0)),""))</f>
        <v/>
      </c>
      <c r="Q354" s="13" t="n"/>
      <c r="R354" s="11" t="n"/>
      <c r="S354" s="11" t="n"/>
      <c r="T354" s="11" t="n"/>
      <c r="U354" s="11" t="n"/>
      <c r="V354" s="10">
        <f>IF(COUNTA($C354,$D354,$J354,$M354)=0,"",IF(TRIM(IF($C354="","Falta l'actuació. ","")&amp;IF($D354="","Falta l'objectiu. ","")&amp;IF($J354="","Falta el tipus de despesa. ","")&amp;IF(AND($J354&lt;&gt;"",$J354&lt;&gt;"Mitjans propis",$J354&lt;&gt;"Altres",$M354=""),"Falta l'import. ","")&amp;IF(AND($J354="Contracte menor a càrrec del RAE",$K354=""),"Falta la partida RAE. ","")&amp;IF(AND($B354&lt;&gt;"",COUNTIF($B$6:$B$705,$B354)&gt;1),"Codi RAE repetit. ","")&amp;IF(AND($B354&lt;&gt;"",$J354&lt;&gt;"",$J354&lt;&gt;"Contracte menor a càrrec del RAE"),"Té codi RAE però no és de tipus RAE. ","")&amp;IF($N354="","Falta l'indicador del Pla. ","")&amp;IF($R354="","Falta el gestor. ","")&amp;IF($S354="","Falta indicar si és recurrent. ",""))="","✔",TRIM(IF($C354="","Falta l'actuació. ","")&amp;IF($D354="","Falta l'objectiu. ","")&amp;IF($J354="","Falta el tipus de despesa. ","")&amp;IF(AND($J354&lt;&gt;"",$J354&lt;&gt;"Mitjans propis",$J354&lt;&gt;"Altres",$M354=""),"Falta l'import. ","")&amp;IF(AND($J354="Contracte menor a càrrec del RAE",$K354=""),"Falta la partida RAE. ","")&amp;IF(AND($B354&lt;&gt;"",COUNTIF($B$6:$B$705,$B354)&gt;1),"Codi RAE repetit. ","")&amp;IF(AND($B354&lt;&gt;"",$J354&lt;&gt;"",$J354&lt;&gt;"Contracte menor a càrrec del RAE"),"Té codi RAE però no és de tipus RAE. ","")&amp;IF($N354="","Falta l'indicador del Pla. ","")&amp;IF($R354="","Falta el gestor. ","")&amp;IF($S354="","Falta indicar si és recurrent. ",""))))</f>
        <v/>
      </c>
    </row>
    <row r="355">
      <c r="A355" s="10">
        <f>IF($D355="","","27_"&amp;IFERROR(INDEX(Objectius!$E$2:$E$183,MATCH($D355,Objectius!$A$2:$A$183,0)),"??")&amp;"_"&amp;TEXT(COUNTIF($I$6:$I355,$I355),"00"))</f>
        <v/>
      </c>
      <c r="B355" s="11" t="n"/>
      <c r="C355" s="11" t="n"/>
      <c r="D355" s="11" t="n"/>
      <c r="E355" s="10">
        <f>IF($D355="","",IFERROR(INDEX(Objectius!$C$2:$C$183,MATCH($D355,Objectius!$A$2:$A$183,0)),"Objectiu no trobat al Pla"))</f>
        <v/>
      </c>
      <c r="F355" s="11" t="n"/>
      <c r="G355" s="11" t="n"/>
      <c r="H355" s="11" t="n"/>
      <c r="I355" s="10">
        <f>IF($D355="","",IFERROR(INDEX(Objectius!$D$2:$D$183,MATCH($D355,Objectius!$A$2:$A$183,0)),""))</f>
        <v/>
      </c>
      <c r="J355" s="11" t="n"/>
      <c r="K355" s="11" t="n"/>
      <c r="L355" s="11" t="n"/>
      <c r="M355" s="12" t="n"/>
      <c r="N355" s="11" t="n"/>
      <c r="O355" s="10">
        <f>IF($N355="","",IFERROR(INDEX('PLA ESTRATÈGIC'!$G$4:$G$452,MATCH($N355,'PLA ESTRATÈGIC'!$Q$4:$Q$452,0)),""))</f>
        <v/>
      </c>
      <c r="P355" s="10">
        <f>IF($N355="","",IFERROR(INDEX('PLA ESTRATÈGIC'!$H$4:$H$452,MATCH($N355,'PLA ESTRATÈGIC'!$Q$4:$Q$452,0)),""))</f>
        <v/>
      </c>
      <c r="Q355" s="13" t="n"/>
      <c r="R355" s="11" t="n"/>
      <c r="S355" s="11" t="n"/>
      <c r="T355" s="11" t="n"/>
      <c r="U355" s="11" t="n"/>
      <c r="V355" s="10">
        <f>IF(COUNTA($C355,$D355,$J355,$M355)=0,"",IF(TRIM(IF($C355="","Falta l'actuació. ","")&amp;IF($D355="","Falta l'objectiu. ","")&amp;IF($J355="","Falta el tipus de despesa. ","")&amp;IF(AND($J355&lt;&gt;"",$J355&lt;&gt;"Mitjans propis",$J355&lt;&gt;"Altres",$M355=""),"Falta l'import. ","")&amp;IF(AND($J355="Contracte menor a càrrec del RAE",$K355=""),"Falta la partida RAE. ","")&amp;IF(AND($B355&lt;&gt;"",COUNTIF($B$6:$B$705,$B355)&gt;1),"Codi RAE repetit. ","")&amp;IF(AND($B355&lt;&gt;"",$J355&lt;&gt;"",$J355&lt;&gt;"Contracte menor a càrrec del RAE"),"Té codi RAE però no és de tipus RAE. ","")&amp;IF($N355="","Falta l'indicador del Pla. ","")&amp;IF($R355="","Falta el gestor. ","")&amp;IF($S355="","Falta indicar si és recurrent. ",""))="","✔",TRIM(IF($C355="","Falta l'actuació. ","")&amp;IF($D355="","Falta l'objectiu. ","")&amp;IF($J355="","Falta el tipus de despesa. ","")&amp;IF(AND($J355&lt;&gt;"",$J355&lt;&gt;"Mitjans propis",$J355&lt;&gt;"Altres",$M355=""),"Falta l'import. ","")&amp;IF(AND($J355="Contracte menor a càrrec del RAE",$K355=""),"Falta la partida RAE. ","")&amp;IF(AND($B355&lt;&gt;"",COUNTIF($B$6:$B$705,$B355)&gt;1),"Codi RAE repetit. ","")&amp;IF(AND($B355&lt;&gt;"",$J355&lt;&gt;"",$J355&lt;&gt;"Contracte menor a càrrec del RAE"),"Té codi RAE però no és de tipus RAE. ","")&amp;IF($N355="","Falta l'indicador del Pla. ","")&amp;IF($R355="","Falta el gestor. ","")&amp;IF($S355="","Falta indicar si és recurrent. ",""))))</f>
        <v/>
      </c>
    </row>
    <row r="356">
      <c r="A356" s="10">
        <f>IF($D356="","","27_"&amp;IFERROR(INDEX(Objectius!$E$2:$E$183,MATCH($D356,Objectius!$A$2:$A$183,0)),"??")&amp;"_"&amp;TEXT(COUNTIF($I$6:$I356,$I356),"00"))</f>
        <v/>
      </c>
      <c r="B356" s="11" t="n"/>
      <c r="C356" s="11" t="n"/>
      <c r="D356" s="11" t="n"/>
      <c r="E356" s="10">
        <f>IF($D356="","",IFERROR(INDEX(Objectius!$C$2:$C$183,MATCH($D356,Objectius!$A$2:$A$183,0)),"Objectiu no trobat al Pla"))</f>
        <v/>
      </c>
      <c r="F356" s="11" t="n"/>
      <c r="G356" s="11" t="n"/>
      <c r="H356" s="11" t="n"/>
      <c r="I356" s="10">
        <f>IF($D356="","",IFERROR(INDEX(Objectius!$D$2:$D$183,MATCH($D356,Objectius!$A$2:$A$183,0)),""))</f>
        <v/>
      </c>
      <c r="J356" s="11" t="n"/>
      <c r="K356" s="11" t="n"/>
      <c r="L356" s="11" t="n"/>
      <c r="M356" s="12" t="n"/>
      <c r="N356" s="11" t="n"/>
      <c r="O356" s="10">
        <f>IF($N356="","",IFERROR(INDEX('PLA ESTRATÈGIC'!$G$4:$G$452,MATCH($N356,'PLA ESTRATÈGIC'!$Q$4:$Q$452,0)),""))</f>
        <v/>
      </c>
      <c r="P356" s="10">
        <f>IF($N356="","",IFERROR(INDEX('PLA ESTRATÈGIC'!$H$4:$H$452,MATCH($N356,'PLA ESTRATÈGIC'!$Q$4:$Q$452,0)),""))</f>
        <v/>
      </c>
      <c r="Q356" s="13" t="n"/>
      <c r="R356" s="11" t="n"/>
      <c r="S356" s="11" t="n"/>
      <c r="T356" s="11" t="n"/>
      <c r="U356" s="11" t="n"/>
      <c r="V356" s="10">
        <f>IF(COUNTA($C356,$D356,$J356,$M356)=0,"",IF(TRIM(IF($C356="","Falta l'actuació. ","")&amp;IF($D356="","Falta l'objectiu. ","")&amp;IF($J356="","Falta el tipus de despesa. ","")&amp;IF(AND($J356&lt;&gt;"",$J356&lt;&gt;"Mitjans propis",$J356&lt;&gt;"Altres",$M356=""),"Falta l'import. ","")&amp;IF(AND($J356="Contracte menor a càrrec del RAE",$K356=""),"Falta la partida RAE. ","")&amp;IF(AND($B356&lt;&gt;"",COUNTIF($B$6:$B$705,$B356)&gt;1),"Codi RAE repetit. ","")&amp;IF(AND($B356&lt;&gt;"",$J356&lt;&gt;"",$J356&lt;&gt;"Contracte menor a càrrec del RAE"),"Té codi RAE però no és de tipus RAE. ","")&amp;IF($N356="","Falta l'indicador del Pla. ","")&amp;IF($R356="","Falta el gestor. ","")&amp;IF($S356="","Falta indicar si és recurrent. ",""))="","✔",TRIM(IF($C356="","Falta l'actuació. ","")&amp;IF($D356="","Falta l'objectiu. ","")&amp;IF($J356="","Falta el tipus de despesa. ","")&amp;IF(AND($J356&lt;&gt;"",$J356&lt;&gt;"Mitjans propis",$J356&lt;&gt;"Altres",$M356=""),"Falta l'import. ","")&amp;IF(AND($J356="Contracte menor a càrrec del RAE",$K356=""),"Falta la partida RAE. ","")&amp;IF(AND($B356&lt;&gt;"",COUNTIF($B$6:$B$705,$B356)&gt;1),"Codi RAE repetit. ","")&amp;IF(AND($B356&lt;&gt;"",$J356&lt;&gt;"",$J356&lt;&gt;"Contracte menor a càrrec del RAE"),"Té codi RAE però no és de tipus RAE. ","")&amp;IF($N356="","Falta l'indicador del Pla. ","")&amp;IF($R356="","Falta el gestor. ","")&amp;IF($S356="","Falta indicar si és recurrent. ",""))))</f>
        <v/>
      </c>
    </row>
    <row r="357">
      <c r="A357" s="10">
        <f>IF($D357="","","27_"&amp;IFERROR(INDEX(Objectius!$E$2:$E$183,MATCH($D357,Objectius!$A$2:$A$183,0)),"??")&amp;"_"&amp;TEXT(COUNTIF($I$6:$I357,$I357),"00"))</f>
        <v/>
      </c>
      <c r="B357" s="11" t="n"/>
      <c r="C357" s="11" t="n"/>
      <c r="D357" s="11" t="n"/>
      <c r="E357" s="10">
        <f>IF($D357="","",IFERROR(INDEX(Objectius!$C$2:$C$183,MATCH($D357,Objectius!$A$2:$A$183,0)),"Objectiu no trobat al Pla"))</f>
        <v/>
      </c>
      <c r="F357" s="11" t="n"/>
      <c r="G357" s="11" t="n"/>
      <c r="H357" s="11" t="n"/>
      <c r="I357" s="10">
        <f>IF($D357="","",IFERROR(INDEX(Objectius!$D$2:$D$183,MATCH($D357,Objectius!$A$2:$A$183,0)),""))</f>
        <v/>
      </c>
      <c r="J357" s="11" t="n"/>
      <c r="K357" s="11" t="n"/>
      <c r="L357" s="11" t="n"/>
      <c r="M357" s="12" t="n"/>
      <c r="N357" s="11" t="n"/>
      <c r="O357" s="10">
        <f>IF($N357="","",IFERROR(INDEX('PLA ESTRATÈGIC'!$G$4:$G$452,MATCH($N357,'PLA ESTRATÈGIC'!$Q$4:$Q$452,0)),""))</f>
        <v/>
      </c>
      <c r="P357" s="10">
        <f>IF($N357="","",IFERROR(INDEX('PLA ESTRATÈGIC'!$H$4:$H$452,MATCH($N357,'PLA ESTRATÈGIC'!$Q$4:$Q$452,0)),""))</f>
        <v/>
      </c>
      <c r="Q357" s="13" t="n"/>
      <c r="R357" s="11" t="n"/>
      <c r="S357" s="11" t="n"/>
      <c r="T357" s="11" t="n"/>
      <c r="U357" s="11" t="n"/>
      <c r="V357" s="10">
        <f>IF(COUNTA($C357,$D357,$J357,$M357)=0,"",IF(TRIM(IF($C357="","Falta l'actuació. ","")&amp;IF($D357="","Falta l'objectiu. ","")&amp;IF($J357="","Falta el tipus de despesa. ","")&amp;IF(AND($J357&lt;&gt;"",$J357&lt;&gt;"Mitjans propis",$J357&lt;&gt;"Altres",$M357=""),"Falta l'import. ","")&amp;IF(AND($J357="Contracte menor a càrrec del RAE",$K357=""),"Falta la partida RAE. ","")&amp;IF(AND($B357&lt;&gt;"",COUNTIF($B$6:$B$705,$B357)&gt;1),"Codi RAE repetit. ","")&amp;IF(AND($B357&lt;&gt;"",$J357&lt;&gt;"",$J357&lt;&gt;"Contracte menor a càrrec del RAE"),"Té codi RAE però no és de tipus RAE. ","")&amp;IF($N357="","Falta l'indicador del Pla. ","")&amp;IF($R357="","Falta el gestor. ","")&amp;IF($S357="","Falta indicar si és recurrent. ",""))="","✔",TRIM(IF($C357="","Falta l'actuació. ","")&amp;IF($D357="","Falta l'objectiu. ","")&amp;IF($J357="","Falta el tipus de despesa. ","")&amp;IF(AND($J357&lt;&gt;"",$J357&lt;&gt;"Mitjans propis",$J357&lt;&gt;"Altres",$M357=""),"Falta l'import. ","")&amp;IF(AND($J357="Contracte menor a càrrec del RAE",$K357=""),"Falta la partida RAE. ","")&amp;IF(AND($B357&lt;&gt;"",COUNTIF($B$6:$B$705,$B357)&gt;1),"Codi RAE repetit. ","")&amp;IF(AND($B357&lt;&gt;"",$J357&lt;&gt;"",$J357&lt;&gt;"Contracte menor a càrrec del RAE"),"Té codi RAE però no és de tipus RAE. ","")&amp;IF($N357="","Falta l'indicador del Pla. ","")&amp;IF($R357="","Falta el gestor. ","")&amp;IF($S357="","Falta indicar si és recurrent. ",""))))</f>
        <v/>
      </c>
    </row>
    <row r="358">
      <c r="A358" s="10">
        <f>IF($D358="","","27_"&amp;IFERROR(INDEX(Objectius!$E$2:$E$183,MATCH($D358,Objectius!$A$2:$A$183,0)),"??")&amp;"_"&amp;TEXT(COUNTIF($I$6:$I358,$I358),"00"))</f>
        <v/>
      </c>
      <c r="B358" s="11" t="n"/>
      <c r="C358" s="11" t="n"/>
      <c r="D358" s="11" t="n"/>
      <c r="E358" s="10">
        <f>IF($D358="","",IFERROR(INDEX(Objectius!$C$2:$C$183,MATCH($D358,Objectius!$A$2:$A$183,0)),"Objectiu no trobat al Pla"))</f>
        <v/>
      </c>
      <c r="F358" s="11" t="n"/>
      <c r="G358" s="11" t="n"/>
      <c r="H358" s="11" t="n"/>
      <c r="I358" s="10">
        <f>IF($D358="","",IFERROR(INDEX(Objectius!$D$2:$D$183,MATCH($D358,Objectius!$A$2:$A$183,0)),""))</f>
        <v/>
      </c>
      <c r="J358" s="11" t="n"/>
      <c r="K358" s="11" t="n"/>
      <c r="L358" s="11" t="n"/>
      <c r="M358" s="12" t="n"/>
      <c r="N358" s="11" t="n"/>
      <c r="O358" s="10">
        <f>IF($N358="","",IFERROR(INDEX('PLA ESTRATÈGIC'!$G$4:$G$452,MATCH($N358,'PLA ESTRATÈGIC'!$Q$4:$Q$452,0)),""))</f>
        <v/>
      </c>
      <c r="P358" s="10">
        <f>IF($N358="","",IFERROR(INDEX('PLA ESTRATÈGIC'!$H$4:$H$452,MATCH($N358,'PLA ESTRATÈGIC'!$Q$4:$Q$452,0)),""))</f>
        <v/>
      </c>
      <c r="Q358" s="13" t="n"/>
      <c r="R358" s="11" t="n"/>
      <c r="S358" s="11" t="n"/>
      <c r="T358" s="11" t="n"/>
      <c r="U358" s="11" t="n"/>
      <c r="V358" s="10">
        <f>IF(COUNTA($C358,$D358,$J358,$M358)=0,"",IF(TRIM(IF($C358="","Falta l'actuació. ","")&amp;IF($D358="","Falta l'objectiu. ","")&amp;IF($J358="","Falta el tipus de despesa. ","")&amp;IF(AND($J358&lt;&gt;"",$J358&lt;&gt;"Mitjans propis",$J358&lt;&gt;"Altres",$M358=""),"Falta l'import. ","")&amp;IF(AND($J358="Contracte menor a càrrec del RAE",$K358=""),"Falta la partida RAE. ","")&amp;IF(AND($B358&lt;&gt;"",COUNTIF($B$6:$B$705,$B358)&gt;1),"Codi RAE repetit. ","")&amp;IF(AND($B358&lt;&gt;"",$J358&lt;&gt;"",$J358&lt;&gt;"Contracte menor a càrrec del RAE"),"Té codi RAE però no és de tipus RAE. ","")&amp;IF($N358="","Falta l'indicador del Pla. ","")&amp;IF($R358="","Falta el gestor. ","")&amp;IF($S358="","Falta indicar si és recurrent. ",""))="","✔",TRIM(IF($C358="","Falta l'actuació. ","")&amp;IF($D358="","Falta l'objectiu. ","")&amp;IF($J358="","Falta el tipus de despesa. ","")&amp;IF(AND($J358&lt;&gt;"",$J358&lt;&gt;"Mitjans propis",$J358&lt;&gt;"Altres",$M358=""),"Falta l'import. ","")&amp;IF(AND($J358="Contracte menor a càrrec del RAE",$K358=""),"Falta la partida RAE. ","")&amp;IF(AND($B358&lt;&gt;"",COUNTIF($B$6:$B$705,$B358)&gt;1),"Codi RAE repetit. ","")&amp;IF(AND($B358&lt;&gt;"",$J358&lt;&gt;"",$J358&lt;&gt;"Contracte menor a càrrec del RAE"),"Té codi RAE però no és de tipus RAE. ","")&amp;IF($N358="","Falta l'indicador del Pla. ","")&amp;IF($R358="","Falta el gestor. ","")&amp;IF($S358="","Falta indicar si és recurrent. ",""))))</f>
        <v/>
      </c>
    </row>
    <row r="359">
      <c r="A359" s="10">
        <f>IF($D359="","","27_"&amp;IFERROR(INDEX(Objectius!$E$2:$E$183,MATCH($D359,Objectius!$A$2:$A$183,0)),"??")&amp;"_"&amp;TEXT(COUNTIF($I$6:$I359,$I359),"00"))</f>
        <v/>
      </c>
      <c r="B359" s="11" t="n"/>
      <c r="C359" s="11" t="n"/>
      <c r="D359" s="11" t="n"/>
      <c r="E359" s="10">
        <f>IF($D359="","",IFERROR(INDEX(Objectius!$C$2:$C$183,MATCH($D359,Objectius!$A$2:$A$183,0)),"Objectiu no trobat al Pla"))</f>
        <v/>
      </c>
      <c r="F359" s="11" t="n"/>
      <c r="G359" s="11" t="n"/>
      <c r="H359" s="11" t="n"/>
      <c r="I359" s="10">
        <f>IF($D359="","",IFERROR(INDEX(Objectius!$D$2:$D$183,MATCH($D359,Objectius!$A$2:$A$183,0)),""))</f>
        <v/>
      </c>
      <c r="J359" s="11" t="n"/>
      <c r="K359" s="11" t="n"/>
      <c r="L359" s="11" t="n"/>
      <c r="M359" s="12" t="n"/>
      <c r="N359" s="11" t="n"/>
      <c r="O359" s="10">
        <f>IF($N359="","",IFERROR(INDEX('PLA ESTRATÈGIC'!$G$4:$G$452,MATCH($N359,'PLA ESTRATÈGIC'!$Q$4:$Q$452,0)),""))</f>
        <v/>
      </c>
      <c r="P359" s="10">
        <f>IF($N359="","",IFERROR(INDEX('PLA ESTRATÈGIC'!$H$4:$H$452,MATCH($N359,'PLA ESTRATÈGIC'!$Q$4:$Q$452,0)),""))</f>
        <v/>
      </c>
      <c r="Q359" s="13" t="n"/>
      <c r="R359" s="11" t="n"/>
      <c r="S359" s="11" t="n"/>
      <c r="T359" s="11" t="n"/>
      <c r="U359" s="11" t="n"/>
      <c r="V359" s="10">
        <f>IF(COUNTA($C359,$D359,$J359,$M359)=0,"",IF(TRIM(IF($C359="","Falta l'actuació. ","")&amp;IF($D359="","Falta l'objectiu. ","")&amp;IF($J359="","Falta el tipus de despesa. ","")&amp;IF(AND($J359&lt;&gt;"",$J359&lt;&gt;"Mitjans propis",$J359&lt;&gt;"Altres",$M359=""),"Falta l'import. ","")&amp;IF(AND($J359="Contracte menor a càrrec del RAE",$K359=""),"Falta la partida RAE. ","")&amp;IF(AND($B359&lt;&gt;"",COUNTIF($B$6:$B$705,$B359)&gt;1),"Codi RAE repetit. ","")&amp;IF(AND($B359&lt;&gt;"",$J359&lt;&gt;"",$J359&lt;&gt;"Contracte menor a càrrec del RAE"),"Té codi RAE però no és de tipus RAE. ","")&amp;IF($N359="","Falta l'indicador del Pla. ","")&amp;IF($R359="","Falta el gestor. ","")&amp;IF($S359="","Falta indicar si és recurrent. ",""))="","✔",TRIM(IF($C359="","Falta l'actuació. ","")&amp;IF($D359="","Falta l'objectiu. ","")&amp;IF($J359="","Falta el tipus de despesa. ","")&amp;IF(AND($J359&lt;&gt;"",$J359&lt;&gt;"Mitjans propis",$J359&lt;&gt;"Altres",$M359=""),"Falta l'import. ","")&amp;IF(AND($J359="Contracte menor a càrrec del RAE",$K359=""),"Falta la partida RAE. ","")&amp;IF(AND($B359&lt;&gt;"",COUNTIF($B$6:$B$705,$B359)&gt;1),"Codi RAE repetit. ","")&amp;IF(AND($B359&lt;&gt;"",$J359&lt;&gt;"",$J359&lt;&gt;"Contracte menor a càrrec del RAE"),"Té codi RAE però no és de tipus RAE. ","")&amp;IF($N359="","Falta l'indicador del Pla. ","")&amp;IF($R359="","Falta el gestor. ","")&amp;IF($S359="","Falta indicar si és recurrent. ",""))))</f>
        <v/>
      </c>
    </row>
    <row r="360">
      <c r="A360" s="10">
        <f>IF($D360="","","27_"&amp;IFERROR(INDEX(Objectius!$E$2:$E$183,MATCH($D360,Objectius!$A$2:$A$183,0)),"??")&amp;"_"&amp;TEXT(COUNTIF($I$6:$I360,$I360),"00"))</f>
        <v/>
      </c>
      <c r="B360" s="11" t="n"/>
      <c r="C360" s="11" t="n"/>
      <c r="D360" s="11" t="n"/>
      <c r="E360" s="10">
        <f>IF($D360="","",IFERROR(INDEX(Objectius!$C$2:$C$183,MATCH($D360,Objectius!$A$2:$A$183,0)),"Objectiu no trobat al Pla"))</f>
        <v/>
      </c>
      <c r="F360" s="11" t="n"/>
      <c r="G360" s="11" t="n"/>
      <c r="H360" s="11" t="n"/>
      <c r="I360" s="10">
        <f>IF($D360="","",IFERROR(INDEX(Objectius!$D$2:$D$183,MATCH($D360,Objectius!$A$2:$A$183,0)),""))</f>
        <v/>
      </c>
      <c r="J360" s="11" t="n"/>
      <c r="K360" s="11" t="n"/>
      <c r="L360" s="11" t="n"/>
      <c r="M360" s="12" t="n"/>
      <c r="N360" s="11" t="n"/>
      <c r="O360" s="10">
        <f>IF($N360="","",IFERROR(INDEX('PLA ESTRATÈGIC'!$G$4:$G$452,MATCH($N360,'PLA ESTRATÈGIC'!$Q$4:$Q$452,0)),""))</f>
        <v/>
      </c>
      <c r="P360" s="10">
        <f>IF($N360="","",IFERROR(INDEX('PLA ESTRATÈGIC'!$H$4:$H$452,MATCH($N360,'PLA ESTRATÈGIC'!$Q$4:$Q$452,0)),""))</f>
        <v/>
      </c>
      <c r="Q360" s="13" t="n"/>
      <c r="R360" s="11" t="n"/>
      <c r="S360" s="11" t="n"/>
      <c r="T360" s="11" t="n"/>
      <c r="U360" s="11" t="n"/>
      <c r="V360" s="10">
        <f>IF(COUNTA($C360,$D360,$J360,$M360)=0,"",IF(TRIM(IF($C360="","Falta l'actuació. ","")&amp;IF($D360="","Falta l'objectiu. ","")&amp;IF($J360="","Falta el tipus de despesa. ","")&amp;IF(AND($J360&lt;&gt;"",$J360&lt;&gt;"Mitjans propis",$J360&lt;&gt;"Altres",$M360=""),"Falta l'import. ","")&amp;IF(AND($J360="Contracte menor a càrrec del RAE",$K360=""),"Falta la partida RAE. ","")&amp;IF(AND($B360&lt;&gt;"",COUNTIF($B$6:$B$705,$B360)&gt;1),"Codi RAE repetit. ","")&amp;IF(AND($B360&lt;&gt;"",$J360&lt;&gt;"",$J360&lt;&gt;"Contracte menor a càrrec del RAE"),"Té codi RAE però no és de tipus RAE. ","")&amp;IF($N360="","Falta l'indicador del Pla. ","")&amp;IF($R360="","Falta el gestor. ","")&amp;IF($S360="","Falta indicar si és recurrent. ",""))="","✔",TRIM(IF($C360="","Falta l'actuació. ","")&amp;IF($D360="","Falta l'objectiu. ","")&amp;IF($J360="","Falta el tipus de despesa. ","")&amp;IF(AND($J360&lt;&gt;"",$J360&lt;&gt;"Mitjans propis",$J360&lt;&gt;"Altres",$M360=""),"Falta l'import. ","")&amp;IF(AND($J360="Contracte menor a càrrec del RAE",$K360=""),"Falta la partida RAE. ","")&amp;IF(AND($B360&lt;&gt;"",COUNTIF($B$6:$B$705,$B360)&gt;1),"Codi RAE repetit. ","")&amp;IF(AND($B360&lt;&gt;"",$J360&lt;&gt;"",$J360&lt;&gt;"Contracte menor a càrrec del RAE"),"Té codi RAE però no és de tipus RAE. ","")&amp;IF($N360="","Falta l'indicador del Pla. ","")&amp;IF($R360="","Falta el gestor. ","")&amp;IF($S360="","Falta indicar si és recurrent. ",""))))</f>
        <v/>
      </c>
    </row>
    <row r="361">
      <c r="A361" s="10">
        <f>IF($D361="","","27_"&amp;IFERROR(INDEX(Objectius!$E$2:$E$183,MATCH($D361,Objectius!$A$2:$A$183,0)),"??")&amp;"_"&amp;TEXT(COUNTIF($I$6:$I361,$I361),"00"))</f>
        <v/>
      </c>
      <c r="B361" s="11" t="n"/>
      <c r="C361" s="11" t="n"/>
      <c r="D361" s="11" t="n"/>
      <c r="E361" s="10">
        <f>IF($D361="","",IFERROR(INDEX(Objectius!$C$2:$C$183,MATCH($D361,Objectius!$A$2:$A$183,0)),"Objectiu no trobat al Pla"))</f>
        <v/>
      </c>
      <c r="F361" s="11" t="n"/>
      <c r="G361" s="11" t="n"/>
      <c r="H361" s="11" t="n"/>
      <c r="I361" s="10">
        <f>IF($D361="","",IFERROR(INDEX(Objectius!$D$2:$D$183,MATCH($D361,Objectius!$A$2:$A$183,0)),""))</f>
        <v/>
      </c>
      <c r="J361" s="11" t="n"/>
      <c r="K361" s="11" t="n"/>
      <c r="L361" s="11" t="n"/>
      <c r="M361" s="12" t="n"/>
      <c r="N361" s="11" t="n"/>
      <c r="O361" s="10">
        <f>IF($N361="","",IFERROR(INDEX('PLA ESTRATÈGIC'!$G$4:$G$452,MATCH($N361,'PLA ESTRATÈGIC'!$Q$4:$Q$452,0)),""))</f>
        <v/>
      </c>
      <c r="P361" s="10">
        <f>IF($N361="","",IFERROR(INDEX('PLA ESTRATÈGIC'!$H$4:$H$452,MATCH($N361,'PLA ESTRATÈGIC'!$Q$4:$Q$452,0)),""))</f>
        <v/>
      </c>
      <c r="Q361" s="13" t="n"/>
      <c r="R361" s="11" t="n"/>
      <c r="S361" s="11" t="n"/>
      <c r="T361" s="11" t="n"/>
      <c r="U361" s="11" t="n"/>
      <c r="V361" s="10">
        <f>IF(COUNTA($C361,$D361,$J361,$M361)=0,"",IF(TRIM(IF($C361="","Falta l'actuació. ","")&amp;IF($D361="","Falta l'objectiu. ","")&amp;IF($J361="","Falta el tipus de despesa. ","")&amp;IF(AND($J361&lt;&gt;"",$J361&lt;&gt;"Mitjans propis",$J361&lt;&gt;"Altres",$M361=""),"Falta l'import. ","")&amp;IF(AND($J361="Contracte menor a càrrec del RAE",$K361=""),"Falta la partida RAE. ","")&amp;IF(AND($B361&lt;&gt;"",COUNTIF($B$6:$B$705,$B361)&gt;1),"Codi RAE repetit. ","")&amp;IF(AND($B361&lt;&gt;"",$J361&lt;&gt;"",$J361&lt;&gt;"Contracte menor a càrrec del RAE"),"Té codi RAE però no és de tipus RAE. ","")&amp;IF($N361="","Falta l'indicador del Pla. ","")&amp;IF($R361="","Falta el gestor. ","")&amp;IF($S361="","Falta indicar si és recurrent. ",""))="","✔",TRIM(IF($C361="","Falta l'actuació. ","")&amp;IF($D361="","Falta l'objectiu. ","")&amp;IF($J361="","Falta el tipus de despesa. ","")&amp;IF(AND($J361&lt;&gt;"",$J361&lt;&gt;"Mitjans propis",$J361&lt;&gt;"Altres",$M361=""),"Falta l'import. ","")&amp;IF(AND($J361="Contracte menor a càrrec del RAE",$K361=""),"Falta la partida RAE. ","")&amp;IF(AND($B361&lt;&gt;"",COUNTIF($B$6:$B$705,$B361)&gt;1),"Codi RAE repetit. ","")&amp;IF(AND($B361&lt;&gt;"",$J361&lt;&gt;"",$J361&lt;&gt;"Contracte menor a càrrec del RAE"),"Té codi RAE però no és de tipus RAE. ","")&amp;IF($N361="","Falta l'indicador del Pla. ","")&amp;IF($R361="","Falta el gestor. ","")&amp;IF($S361="","Falta indicar si és recurrent. ",""))))</f>
        <v/>
      </c>
    </row>
    <row r="362">
      <c r="A362" s="10">
        <f>IF($D362="","","27_"&amp;IFERROR(INDEX(Objectius!$E$2:$E$183,MATCH($D362,Objectius!$A$2:$A$183,0)),"??")&amp;"_"&amp;TEXT(COUNTIF($I$6:$I362,$I362),"00"))</f>
        <v/>
      </c>
      <c r="B362" s="11" t="n"/>
      <c r="C362" s="11" t="n"/>
      <c r="D362" s="11" t="n"/>
      <c r="E362" s="10">
        <f>IF($D362="","",IFERROR(INDEX(Objectius!$C$2:$C$183,MATCH($D362,Objectius!$A$2:$A$183,0)),"Objectiu no trobat al Pla"))</f>
        <v/>
      </c>
      <c r="F362" s="11" t="n"/>
      <c r="G362" s="11" t="n"/>
      <c r="H362" s="11" t="n"/>
      <c r="I362" s="10">
        <f>IF($D362="","",IFERROR(INDEX(Objectius!$D$2:$D$183,MATCH($D362,Objectius!$A$2:$A$183,0)),""))</f>
        <v/>
      </c>
      <c r="J362" s="11" t="n"/>
      <c r="K362" s="11" t="n"/>
      <c r="L362" s="11" t="n"/>
      <c r="M362" s="12" t="n"/>
      <c r="N362" s="11" t="n"/>
      <c r="O362" s="10">
        <f>IF($N362="","",IFERROR(INDEX('PLA ESTRATÈGIC'!$G$4:$G$452,MATCH($N362,'PLA ESTRATÈGIC'!$Q$4:$Q$452,0)),""))</f>
        <v/>
      </c>
      <c r="P362" s="10">
        <f>IF($N362="","",IFERROR(INDEX('PLA ESTRATÈGIC'!$H$4:$H$452,MATCH($N362,'PLA ESTRATÈGIC'!$Q$4:$Q$452,0)),""))</f>
        <v/>
      </c>
      <c r="Q362" s="13" t="n"/>
      <c r="R362" s="11" t="n"/>
      <c r="S362" s="11" t="n"/>
      <c r="T362" s="11" t="n"/>
      <c r="U362" s="11" t="n"/>
      <c r="V362" s="10">
        <f>IF(COUNTA($C362,$D362,$J362,$M362)=0,"",IF(TRIM(IF($C362="","Falta l'actuació. ","")&amp;IF($D362="","Falta l'objectiu. ","")&amp;IF($J362="","Falta el tipus de despesa. ","")&amp;IF(AND($J362&lt;&gt;"",$J362&lt;&gt;"Mitjans propis",$J362&lt;&gt;"Altres",$M362=""),"Falta l'import. ","")&amp;IF(AND($J362="Contracte menor a càrrec del RAE",$K362=""),"Falta la partida RAE. ","")&amp;IF(AND($B362&lt;&gt;"",COUNTIF($B$6:$B$705,$B362)&gt;1),"Codi RAE repetit. ","")&amp;IF(AND($B362&lt;&gt;"",$J362&lt;&gt;"",$J362&lt;&gt;"Contracte menor a càrrec del RAE"),"Té codi RAE però no és de tipus RAE. ","")&amp;IF($N362="","Falta l'indicador del Pla. ","")&amp;IF($R362="","Falta el gestor. ","")&amp;IF($S362="","Falta indicar si és recurrent. ",""))="","✔",TRIM(IF($C362="","Falta l'actuació. ","")&amp;IF($D362="","Falta l'objectiu. ","")&amp;IF($J362="","Falta el tipus de despesa. ","")&amp;IF(AND($J362&lt;&gt;"",$J362&lt;&gt;"Mitjans propis",$J362&lt;&gt;"Altres",$M362=""),"Falta l'import. ","")&amp;IF(AND($J362="Contracte menor a càrrec del RAE",$K362=""),"Falta la partida RAE. ","")&amp;IF(AND($B362&lt;&gt;"",COUNTIF($B$6:$B$705,$B362)&gt;1),"Codi RAE repetit. ","")&amp;IF(AND($B362&lt;&gt;"",$J362&lt;&gt;"",$J362&lt;&gt;"Contracte menor a càrrec del RAE"),"Té codi RAE però no és de tipus RAE. ","")&amp;IF($N362="","Falta l'indicador del Pla. ","")&amp;IF($R362="","Falta el gestor. ","")&amp;IF($S362="","Falta indicar si és recurrent. ",""))))</f>
        <v/>
      </c>
    </row>
    <row r="363">
      <c r="A363" s="10">
        <f>IF($D363="","","27_"&amp;IFERROR(INDEX(Objectius!$E$2:$E$183,MATCH($D363,Objectius!$A$2:$A$183,0)),"??")&amp;"_"&amp;TEXT(COUNTIF($I$6:$I363,$I363),"00"))</f>
        <v/>
      </c>
      <c r="B363" s="11" t="n"/>
      <c r="C363" s="11" t="n"/>
      <c r="D363" s="11" t="n"/>
      <c r="E363" s="10">
        <f>IF($D363="","",IFERROR(INDEX(Objectius!$C$2:$C$183,MATCH($D363,Objectius!$A$2:$A$183,0)),"Objectiu no trobat al Pla"))</f>
        <v/>
      </c>
      <c r="F363" s="11" t="n"/>
      <c r="G363" s="11" t="n"/>
      <c r="H363" s="11" t="n"/>
      <c r="I363" s="10">
        <f>IF($D363="","",IFERROR(INDEX(Objectius!$D$2:$D$183,MATCH($D363,Objectius!$A$2:$A$183,0)),""))</f>
        <v/>
      </c>
      <c r="J363" s="11" t="n"/>
      <c r="K363" s="11" t="n"/>
      <c r="L363" s="11" t="n"/>
      <c r="M363" s="12" t="n"/>
      <c r="N363" s="11" t="n"/>
      <c r="O363" s="10">
        <f>IF($N363="","",IFERROR(INDEX('PLA ESTRATÈGIC'!$G$4:$G$452,MATCH($N363,'PLA ESTRATÈGIC'!$Q$4:$Q$452,0)),""))</f>
        <v/>
      </c>
      <c r="P363" s="10">
        <f>IF($N363="","",IFERROR(INDEX('PLA ESTRATÈGIC'!$H$4:$H$452,MATCH($N363,'PLA ESTRATÈGIC'!$Q$4:$Q$452,0)),""))</f>
        <v/>
      </c>
      <c r="Q363" s="13" t="n"/>
      <c r="R363" s="11" t="n"/>
      <c r="S363" s="11" t="n"/>
      <c r="T363" s="11" t="n"/>
      <c r="U363" s="11" t="n"/>
      <c r="V363" s="10">
        <f>IF(COUNTA($C363,$D363,$J363,$M363)=0,"",IF(TRIM(IF($C363="","Falta l'actuació. ","")&amp;IF($D363="","Falta l'objectiu. ","")&amp;IF($J363="","Falta el tipus de despesa. ","")&amp;IF(AND($J363&lt;&gt;"",$J363&lt;&gt;"Mitjans propis",$J363&lt;&gt;"Altres",$M363=""),"Falta l'import. ","")&amp;IF(AND($J363="Contracte menor a càrrec del RAE",$K363=""),"Falta la partida RAE. ","")&amp;IF(AND($B363&lt;&gt;"",COUNTIF($B$6:$B$705,$B363)&gt;1),"Codi RAE repetit. ","")&amp;IF(AND($B363&lt;&gt;"",$J363&lt;&gt;"",$J363&lt;&gt;"Contracte menor a càrrec del RAE"),"Té codi RAE però no és de tipus RAE. ","")&amp;IF($N363="","Falta l'indicador del Pla. ","")&amp;IF($R363="","Falta el gestor. ","")&amp;IF($S363="","Falta indicar si és recurrent. ",""))="","✔",TRIM(IF($C363="","Falta l'actuació. ","")&amp;IF($D363="","Falta l'objectiu. ","")&amp;IF($J363="","Falta el tipus de despesa. ","")&amp;IF(AND($J363&lt;&gt;"",$J363&lt;&gt;"Mitjans propis",$J363&lt;&gt;"Altres",$M363=""),"Falta l'import. ","")&amp;IF(AND($J363="Contracte menor a càrrec del RAE",$K363=""),"Falta la partida RAE. ","")&amp;IF(AND($B363&lt;&gt;"",COUNTIF($B$6:$B$705,$B363)&gt;1),"Codi RAE repetit. ","")&amp;IF(AND($B363&lt;&gt;"",$J363&lt;&gt;"",$J363&lt;&gt;"Contracte menor a càrrec del RAE"),"Té codi RAE però no és de tipus RAE. ","")&amp;IF($N363="","Falta l'indicador del Pla. ","")&amp;IF($R363="","Falta el gestor. ","")&amp;IF($S363="","Falta indicar si és recurrent. ",""))))</f>
        <v/>
      </c>
    </row>
    <row r="364">
      <c r="A364" s="10">
        <f>IF($D364="","","27_"&amp;IFERROR(INDEX(Objectius!$E$2:$E$183,MATCH($D364,Objectius!$A$2:$A$183,0)),"??")&amp;"_"&amp;TEXT(COUNTIF($I$6:$I364,$I364),"00"))</f>
        <v/>
      </c>
      <c r="B364" s="11" t="n"/>
      <c r="C364" s="11" t="n"/>
      <c r="D364" s="11" t="n"/>
      <c r="E364" s="10">
        <f>IF($D364="","",IFERROR(INDEX(Objectius!$C$2:$C$183,MATCH($D364,Objectius!$A$2:$A$183,0)),"Objectiu no trobat al Pla"))</f>
        <v/>
      </c>
      <c r="F364" s="11" t="n"/>
      <c r="G364" s="11" t="n"/>
      <c r="H364" s="11" t="n"/>
      <c r="I364" s="10">
        <f>IF($D364="","",IFERROR(INDEX(Objectius!$D$2:$D$183,MATCH($D364,Objectius!$A$2:$A$183,0)),""))</f>
        <v/>
      </c>
      <c r="J364" s="11" t="n"/>
      <c r="K364" s="11" t="n"/>
      <c r="L364" s="11" t="n"/>
      <c r="M364" s="12" t="n"/>
      <c r="N364" s="11" t="n"/>
      <c r="O364" s="10">
        <f>IF($N364="","",IFERROR(INDEX('PLA ESTRATÈGIC'!$G$4:$G$452,MATCH($N364,'PLA ESTRATÈGIC'!$Q$4:$Q$452,0)),""))</f>
        <v/>
      </c>
      <c r="P364" s="10">
        <f>IF($N364="","",IFERROR(INDEX('PLA ESTRATÈGIC'!$H$4:$H$452,MATCH($N364,'PLA ESTRATÈGIC'!$Q$4:$Q$452,0)),""))</f>
        <v/>
      </c>
      <c r="Q364" s="13" t="n"/>
      <c r="R364" s="11" t="n"/>
      <c r="S364" s="11" t="n"/>
      <c r="T364" s="11" t="n"/>
      <c r="U364" s="11" t="n"/>
      <c r="V364" s="10">
        <f>IF(COUNTA($C364,$D364,$J364,$M364)=0,"",IF(TRIM(IF($C364="","Falta l'actuació. ","")&amp;IF($D364="","Falta l'objectiu. ","")&amp;IF($J364="","Falta el tipus de despesa. ","")&amp;IF(AND($J364&lt;&gt;"",$J364&lt;&gt;"Mitjans propis",$J364&lt;&gt;"Altres",$M364=""),"Falta l'import. ","")&amp;IF(AND($J364="Contracte menor a càrrec del RAE",$K364=""),"Falta la partida RAE. ","")&amp;IF(AND($B364&lt;&gt;"",COUNTIF($B$6:$B$705,$B364)&gt;1),"Codi RAE repetit. ","")&amp;IF(AND($B364&lt;&gt;"",$J364&lt;&gt;"",$J364&lt;&gt;"Contracte menor a càrrec del RAE"),"Té codi RAE però no és de tipus RAE. ","")&amp;IF($N364="","Falta l'indicador del Pla. ","")&amp;IF($R364="","Falta el gestor. ","")&amp;IF($S364="","Falta indicar si és recurrent. ",""))="","✔",TRIM(IF($C364="","Falta l'actuació. ","")&amp;IF($D364="","Falta l'objectiu. ","")&amp;IF($J364="","Falta el tipus de despesa. ","")&amp;IF(AND($J364&lt;&gt;"",$J364&lt;&gt;"Mitjans propis",$J364&lt;&gt;"Altres",$M364=""),"Falta l'import. ","")&amp;IF(AND($J364="Contracte menor a càrrec del RAE",$K364=""),"Falta la partida RAE. ","")&amp;IF(AND($B364&lt;&gt;"",COUNTIF($B$6:$B$705,$B364)&gt;1),"Codi RAE repetit. ","")&amp;IF(AND($B364&lt;&gt;"",$J364&lt;&gt;"",$J364&lt;&gt;"Contracte menor a càrrec del RAE"),"Té codi RAE però no és de tipus RAE. ","")&amp;IF($N364="","Falta l'indicador del Pla. ","")&amp;IF($R364="","Falta el gestor. ","")&amp;IF($S364="","Falta indicar si és recurrent. ",""))))</f>
        <v/>
      </c>
    </row>
    <row r="365">
      <c r="A365" s="10">
        <f>IF($D365="","","27_"&amp;IFERROR(INDEX(Objectius!$E$2:$E$183,MATCH($D365,Objectius!$A$2:$A$183,0)),"??")&amp;"_"&amp;TEXT(COUNTIF($I$6:$I365,$I365),"00"))</f>
        <v/>
      </c>
      <c r="B365" s="11" t="n"/>
      <c r="C365" s="11" t="n"/>
      <c r="D365" s="11" t="n"/>
      <c r="E365" s="10">
        <f>IF($D365="","",IFERROR(INDEX(Objectius!$C$2:$C$183,MATCH($D365,Objectius!$A$2:$A$183,0)),"Objectiu no trobat al Pla"))</f>
        <v/>
      </c>
      <c r="F365" s="11" t="n"/>
      <c r="G365" s="11" t="n"/>
      <c r="H365" s="11" t="n"/>
      <c r="I365" s="10">
        <f>IF($D365="","",IFERROR(INDEX(Objectius!$D$2:$D$183,MATCH($D365,Objectius!$A$2:$A$183,0)),""))</f>
        <v/>
      </c>
      <c r="J365" s="11" t="n"/>
      <c r="K365" s="11" t="n"/>
      <c r="L365" s="11" t="n"/>
      <c r="M365" s="12" t="n"/>
      <c r="N365" s="11" t="n"/>
      <c r="O365" s="10">
        <f>IF($N365="","",IFERROR(INDEX('PLA ESTRATÈGIC'!$G$4:$G$452,MATCH($N365,'PLA ESTRATÈGIC'!$Q$4:$Q$452,0)),""))</f>
        <v/>
      </c>
      <c r="P365" s="10">
        <f>IF($N365="","",IFERROR(INDEX('PLA ESTRATÈGIC'!$H$4:$H$452,MATCH($N365,'PLA ESTRATÈGIC'!$Q$4:$Q$452,0)),""))</f>
        <v/>
      </c>
      <c r="Q365" s="13" t="n"/>
      <c r="R365" s="11" t="n"/>
      <c r="S365" s="11" t="n"/>
      <c r="T365" s="11" t="n"/>
      <c r="U365" s="11" t="n"/>
      <c r="V365" s="10">
        <f>IF(COUNTA($C365,$D365,$J365,$M365)=0,"",IF(TRIM(IF($C365="","Falta l'actuació. ","")&amp;IF($D365="","Falta l'objectiu. ","")&amp;IF($J365="","Falta el tipus de despesa. ","")&amp;IF(AND($J365&lt;&gt;"",$J365&lt;&gt;"Mitjans propis",$J365&lt;&gt;"Altres",$M365=""),"Falta l'import. ","")&amp;IF(AND($J365="Contracte menor a càrrec del RAE",$K365=""),"Falta la partida RAE. ","")&amp;IF(AND($B365&lt;&gt;"",COUNTIF($B$6:$B$705,$B365)&gt;1),"Codi RAE repetit. ","")&amp;IF(AND($B365&lt;&gt;"",$J365&lt;&gt;"",$J365&lt;&gt;"Contracte menor a càrrec del RAE"),"Té codi RAE però no és de tipus RAE. ","")&amp;IF($N365="","Falta l'indicador del Pla. ","")&amp;IF($R365="","Falta el gestor. ","")&amp;IF($S365="","Falta indicar si és recurrent. ",""))="","✔",TRIM(IF($C365="","Falta l'actuació. ","")&amp;IF($D365="","Falta l'objectiu. ","")&amp;IF($J365="","Falta el tipus de despesa. ","")&amp;IF(AND($J365&lt;&gt;"",$J365&lt;&gt;"Mitjans propis",$J365&lt;&gt;"Altres",$M365=""),"Falta l'import. ","")&amp;IF(AND($J365="Contracte menor a càrrec del RAE",$K365=""),"Falta la partida RAE. ","")&amp;IF(AND($B365&lt;&gt;"",COUNTIF($B$6:$B$705,$B365)&gt;1),"Codi RAE repetit. ","")&amp;IF(AND($B365&lt;&gt;"",$J365&lt;&gt;"",$J365&lt;&gt;"Contracte menor a càrrec del RAE"),"Té codi RAE però no és de tipus RAE. ","")&amp;IF($N365="","Falta l'indicador del Pla. ","")&amp;IF($R365="","Falta el gestor. ","")&amp;IF($S365="","Falta indicar si és recurrent. ",""))))</f>
        <v/>
      </c>
    </row>
    <row r="366">
      <c r="A366" s="10">
        <f>IF($D366="","","27_"&amp;IFERROR(INDEX(Objectius!$E$2:$E$183,MATCH($D366,Objectius!$A$2:$A$183,0)),"??")&amp;"_"&amp;TEXT(COUNTIF($I$6:$I366,$I366),"00"))</f>
        <v/>
      </c>
      <c r="B366" s="11" t="n"/>
      <c r="C366" s="11" t="n"/>
      <c r="D366" s="11" t="n"/>
      <c r="E366" s="10">
        <f>IF($D366="","",IFERROR(INDEX(Objectius!$C$2:$C$183,MATCH($D366,Objectius!$A$2:$A$183,0)),"Objectiu no trobat al Pla"))</f>
        <v/>
      </c>
      <c r="F366" s="11" t="n"/>
      <c r="G366" s="11" t="n"/>
      <c r="H366" s="11" t="n"/>
      <c r="I366" s="10">
        <f>IF($D366="","",IFERROR(INDEX(Objectius!$D$2:$D$183,MATCH($D366,Objectius!$A$2:$A$183,0)),""))</f>
        <v/>
      </c>
      <c r="J366" s="11" t="n"/>
      <c r="K366" s="11" t="n"/>
      <c r="L366" s="11" t="n"/>
      <c r="M366" s="12" t="n"/>
      <c r="N366" s="11" t="n"/>
      <c r="O366" s="10">
        <f>IF($N366="","",IFERROR(INDEX('PLA ESTRATÈGIC'!$G$4:$G$452,MATCH($N366,'PLA ESTRATÈGIC'!$Q$4:$Q$452,0)),""))</f>
        <v/>
      </c>
      <c r="P366" s="10">
        <f>IF($N366="","",IFERROR(INDEX('PLA ESTRATÈGIC'!$H$4:$H$452,MATCH($N366,'PLA ESTRATÈGIC'!$Q$4:$Q$452,0)),""))</f>
        <v/>
      </c>
      <c r="Q366" s="13" t="n"/>
      <c r="R366" s="11" t="n"/>
      <c r="S366" s="11" t="n"/>
      <c r="T366" s="11" t="n"/>
      <c r="U366" s="11" t="n"/>
      <c r="V366" s="10">
        <f>IF(COUNTA($C366,$D366,$J366,$M366)=0,"",IF(TRIM(IF($C366="","Falta l'actuació. ","")&amp;IF($D366="","Falta l'objectiu. ","")&amp;IF($J366="","Falta el tipus de despesa. ","")&amp;IF(AND($J366&lt;&gt;"",$J366&lt;&gt;"Mitjans propis",$J366&lt;&gt;"Altres",$M366=""),"Falta l'import. ","")&amp;IF(AND($J366="Contracte menor a càrrec del RAE",$K366=""),"Falta la partida RAE. ","")&amp;IF(AND($B366&lt;&gt;"",COUNTIF($B$6:$B$705,$B366)&gt;1),"Codi RAE repetit. ","")&amp;IF(AND($B366&lt;&gt;"",$J366&lt;&gt;"",$J366&lt;&gt;"Contracte menor a càrrec del RAE"),"Té codi RAE però no és de tipus RAE. ","")&amp;IF($N366="","Falta l'indicador del Pla. ","")&amp;IF($R366="","Falta el gestor. ","")&amp;IF($S366="","Falta indicar si és recurrent. ",""))="","✔",TRIM(IF($C366="","Falta l'actuació. ","")&amp;IF($D366="","Falta l'objectiu. ","")&amp;IF($J366="","Falta el tipus de despesa. ","")&amp;IF(AND($J366&lt;&gt;"",$J366&lt;&gt;"Mitjans propis",$J366&lt;&gt;"Altres",$M366=""),"Falta l'import. ","")&amp;IF(AND($J366="Contracte menor a càrrec del RAE",$K366=""),"Falta la partida RAE. ","")&amp;IF(AND($B366&lt;&gt;"",COUNTIF($B$6:$B$705,$B366)&gt;1),"Codi RAE repetit. ","")&amp;IF(AND($B366&lt;&gt;"",$J366&lt;&gt;"",$J366&lt;&gt;"Contracte menor a càrrec del RAE"),"Té codi RAE però no és de tipus RAE. ","")&amp;IF($N366="","Falta l'indicador del Pla. ","")&amp;IF($R366="","Falta el gestor. ","")&amp;IF($S366="","Falta indicar si és recurrent. ",""))))</f>
        <v/>
      </c>
    </row>
    <row r="367">
      <c r="A367" s="10">
        <f>IF($D367="","","27_"&amp;IFERROR(INDEX(Objectius!$E$2:$E$183,MATCH($D367,Objectius!$A$2:$A$183,0)),"??")&amp;"_"&amp;TEXT(COUNTIF($I$6:$I367,$I367),"00"))</f>
        <v/>
      </c>
      <c r="B367" s="11" t="n"/>
      <c r="C367" s="11" t="n"/>
      <c r="D367" s="11" t="n"/>
      <c r="E367" s="10">
        <f>IF($D367="","",IFERROR(INDEX(Objectius!$C$2:$C$183,MATCH($D367,Objectius!$A$2:$A$183,0)),"Objectiu no trobat al Pla"))</f>
        <v/>
      </c>
      <c r="F367" s="11" t="n"/>
      <c r="G367" s="11" t="n"/>
      <c r="H367" s="11" t="n"/>
      <c r="I367" s="10">
        <f>IF($D367="","",IFERROR(INDEX(Objectius!$D$2:$D$183,MATCH($D367,Objectius!$A$2:$A$183,0)),""))</f>
        <v/>
      </c>
      <c r="J367" s="11" t="n"/>
      <c r="K367" s="11" t="n"/>
      <c r="L367" s="11" t="n"/>
      <c r="M367" s="12" t="n"/>
      <c r="N367" s="11" t="n"/>
      <c r="O367" s="10">
        <f>IF($N367="","",IFERROR(INDEX('PLA ESTRATÈGIC'!$G$4:$G$452,MATCH($N367,'PLA ESTRATÈGIC'!$Q$4:$Q$452,0)),""))</f>
        <v/>
      </c>
      <c r="P367" s="10">
        <f>IF($N367="","",IFERROR(INDEX('PLA ESTRATÈGIC'!$H$4:$H$452,MATCH($N367,'PLA ESTRATÈGIC'!$Q$4:$Q$452,0)),""))</f>
        <v/>
      </c>
      <c r="Q367" s="13" t="n"/>
      <c r="R367" s="11" t="n"/>
      <c r="S367" s="11" t="n"/>
      <c r="T367" s="11" t="n"/>
      <c r="U367" s="11" t="n"/>
      <c r="V367" s="10">
        <f>IF(COUNTA($C367,$D367,$J367,$M367)=0,"",IF(TRIM(IF($C367="","Falta l'actuació. ","")&amp;IF($D367="","Falta l'objectiu. ","")&amp;IF($J367="","Falta el tipus de despesa. ","")&amp;IF(AND($J367&lt;&gt;"",$J367&lt;&gt;"Mitjans propis",$J367&lt;&gt;"Altres",$M367=""),"Falta l'import. ","")&amp;IF(AND($J367="Contracte menor a càrrec del RAE",$K367=""),"Falta la partida RAE. ","")&amp;IF(AND($B367&lt;&gt;"",COUNTIF($B$6:$B$705,$B367)&gt;1),"Codi RAE repetit. ","")&amp;IF(AND($B367&lt;&gt;"",$J367&lt;&gt;"",$J367&lt;&gt;"Contracte menor a càrrec del RAE"),"Té codi RAE però no és de tipus RAE. ","")&amp;IF($N367="","Falta l'indicador del Pla. ","")&amp;IF($R367="","Falta el gestor. ","")&amp;IF($S367="","Falta indicar si és recurrent. ",""))="","✔",TRIM(IF($C367="","Falta l'actuació. ","")&amp;IF($D367="","Falta l'objectiu. ","")&amp;IF($J367="","Falta el tipus de despesa. ","")&amp;IF(AND($J367&lt;&gt;"",$J367&lt;&gt;"Mitjans propis",$J367&lt;&gt;"Altres",$M367=""),"Falta l'import. ","")&amp;IF(AND($J367="Contracte menor a càrrec del RAE",$K367=""),"Falta la partida RAE. ","")&amp;IF(AND($B367&lt;&gt;"",COUNTIF($B$6:$B$705,$B367)&gt;1),"Codi RAE repetit. ","")&amp;IF(AND($B367&lt;&gt;"",$J367&lt;&gt;"",$J367&lt;&gt;"Contracte menor a càrrec del RAE"),"Té codi RAE però no és de tipus RAE. ","")&amp;IF($N367="","Falta l'indicador del Pla. ","")&amp;IF($R367="","Falta el gestor. ","")&amp;IF($S367="","Falta indicar si és recurrent. ",""))))</f>
        <v/>
      </c>
    </row>
    <row r="368">
      <c r="A368" s="10">
        <f>IF($D368="","","27_"&amp;IFERROR(INDEX(Objectius!$E$2:$E$183,MATCH($D368,Objectius!$A$2:$A$183,0)),"??")&amp;"_"&amp;TEXT(COUNTIF($I$6:$I368,$I368),"00"))</f>
        <v/>
      </c>
      <c r="B368" s="11" t="n"/>
      <c r="C368" s="11" t="n"/>
      <c r="D368" s="11" t="n"/>
      <c r="E368" s="10">
        <f>IF($D368="","",IFERROR(INDEX(Objectius!$C$2:$C$183,MATCH($D368,Objectius!$A$2:$A$183,0)),"Objectiu no trobat al Pla"))</f>
        <v/>
      </c>
      <c r="F368" s="11" t="n"/>
      <c r="G368" s="11" t="n"/>
      <c r="H368" s="11" t="n"/>
      <c r="I368" s="10">
        <f>IF($D368="","",IFERROR(INDEX(Objectius!$D$2:$D$183,MATCH($D368,Objectius!$A$2:$A$183,0)),""))</f>
        <v/>
      </c>
      <c r="J368" s="11" t="n"/>
      <c r="K368" s="11" t="n"/>
      <c r="L368" s="11" t="n"/>
      <c r="M368" s="12" t="n"/>
      <c r="N368" s="11" t="n"/>
      <c r="O368" s="10">
        <f>IF($N368="","",IFERROR(INDEX('PLA ESTRATÈGIC'!$G$4:$G$452,MATCH($N368,'PLA ESTRATÈGIC'!$Q$4:$Q$452,0)),""))</f>
        <v/>
      </c>
      <c r="P368" s="10">
        <f>IF($N368="","",IFERROR(INDEX('PLA ESTRATÈGIC'!$H$4:$H$452,MATCH($N368,'PLA ESTRATÈGIC'!$Q$4:$Q$452,0)),""))</f>
        <v/>
      </c>
      <c r="Q368" s="13" t="n"/>
      <c r="R368" s="11" t="n"/>
      <c r="S368" s="11" t="n"/>
      <c r="T368" s="11" t="n"/>
      <c r="U368" s="11" t="n"/>
      <c r="V368" s="10">
        <f>IF(COUNTA($C368,$D368,$J368,$M368)=0,"",IF(TRIM(IF($C368="","Falta l'actuació. ","")&amp;IF($D368="","Falta l'objectiu. ","")&amp;IF($J368="","Falta el tipus de despesa. ","")&amp;IF(AND($J368&lt;&gt;"",$J368&lt;&gt;"Mitjans propis",$J368&lt;&gt;"Altres",$M368=""),"Falta l'import. ","")&amp;IF(AND($J368="Contracte menor a càrrec del RAE",$K368=""),"Falta la partida RAE. ","")&amp;IF(AND($B368&lt;&gt;"",COUNTIF($B$6:$B$705,$B368)&gt;1),"Codi RAE repetit. ","")&amp;IF(AND($B368&lt;&gt;"",$J368&lt;&gt;"",$J368&lt;&gt;"Contracte menor a càrrec del RAE"),"Té codi RAE però no és de tipus RAE. ","")&amp;IF($N368="","Falta l'indicador del Pla. ","")&amp;IF($R368="","Falta el gestor. ","")&amp;IF($S368="","Falta indicar si és recurrent. ",""))="","✔",TRIM(IF($C368="","Falta l'actuació. ","")&amp;IF($D368="","Falta l'objectiu. ","")&amp;IF($J368="","Falta el tipus de despesa. ","")&amp;IF(AND($J368&lt;&gt;"",$J368&lt;&gt;"Mitjans propis",$J368&lt;&gt;"Altres",$M368=""),"Falta l'import. ","")&amp;IF(AND($J368="Contracte menor a càrrec del RAE",$K368=""),"Falta la partida RAE. ","")&amp;IF(AND($B368&lt;&gt;"",COUNTIF($B$6:$B$705,$B368)&gt;1),"Codi RAE repetit. ","")&amp;IF(AND($B368&lt;&gt;"",$J368&lt;&gt;"",$J368&lt;&gt;"Contracte menor a càrrec del RAE"),"Té codi RAE però no és de tipus RAE. ","")&amp;IF($N368="","Falta l'indicador del Pla. ","")&amp;IF($R368="","Falta el gestor. ","")&amp;IF($S368="","Falta indicar si és recurrent. ",""))))</f>
        <v/>
      </c>
    </row>
    <row r="369">
      <c r="A369" s="10">
        <f>IF($D369="","","27_"&amp;IFERROR(INDEX(Objectius!$E$2:$E$183,MATCH($D369,Objectius!$A$2:$A$183,0)),"??")&amp;"_"&amp;TEXT(COUNTIF($I$6:$I369,$I369),"00"))</f>
        <v/>
      </c>
      <c r="B369" s="11" t="n"/>
      <c r="C369" s="11" t="n"/>
      <c r="D369" s="11" t="n"/>
      <c r="E369" s="10">
        <f>IF($D369="","",IFERROR(INDEX(Objectius!$C$2:$C$183,MATCH($D369,Objectius!$A$2:$A$183,0)),"Objectiu no trobat al Pla"))</f>
        <v/>
      </c>
      <c r="F369" s="11" t="n"/>
      <c r="G369" s="11" t="n"/>
      <c r="H369" s="11" t="n"/>
      <c r="I369" s="10">
        <f>IF($D369="","",IFERROR(INDEX(Objectius!$D$2:$D$183,MATCH($D369,Objectius!$A$2:$A$183,0)),""))</f>
        <v/>
      </c>
      <c r="J369" s="11" t="n"/>
      <c r="K369" s="11" t="n"/>
      <c r="L369" s="11" t="n"/>
      <c r="M369" s="12" t="n"/>
      <c r="N369" s="11" t="n"/>
      <c r="O369" s="10">
        <f>IF($N369="","",IFERROR(INDEX('PLA ESTRATÈGIC'!$G$4:$G$452,MATCH($N369,'PLA ESTRATÈGIC'!$Q$4:$Q$452,0)),""))</f>
        <v/>
      </c>
      <c r="P369" s="10">
        <f>IF($N369="","",IFERROR(INDEX('PLA ESTRATÈGIC'!$H$4:$H$452,MATCH($N369,'PLA ESTRATÈGIC'!$Q$4:$Q$452,0)),""))</f>
        <v/>
      </c>
      <c r="Q369" s="13" t="n"/>
      <c r="R369" s="11" t="n"/>
      <c r="S369" s="11" t="n"/>
      <c r="T369" s="11" t="n"/>
      <c r="U369" s="11" t="n"/>
      <c r="V369" s="10">
        <f>IF(COUNTA($C369,$D369,$J369,$M369)=0,"",IF(TRIM(IF($C369="","Falta l'actuació. ","")&amp;IF($D369="","Falta l'objectiu. ","")&amp;IF($J369="","Falta el tipus de despesa. ","")&amp;IF(AND($J369&lt;&gt;"",$J369&lt;&gt;"Mitjans propis",$J369&lt;&gt;"Altres",$M369=""),"Falta l'import. ","")&amp;IF(AND($J369="Contracte menor a càrrec del RAE",$K369=""),"Falta la partida RAE. ","")&amp;IF(AND($B369&lt;&gt;"",COUNTIF($B$6:$B$705,$B369)&gt;1),"Codi RAE repetit. ","")&amp;IF(AND($B369&lt;&gt;"",$J369&lt;&gt;"",$J369&lt;&gt;"Contracte menor a càrrec del RAE"),"Té codi RAE però no és de tipus RAE. ","")&amp;IF($N369="","Falta l'indicador del Pla. ","")&amp;IF($R369="","Falta el gestor. ","")&amp;IF($S369="","Falta indicar si és recurrent. ",""))="","✔",TRIM(IF($C369="","Falta l'actuació. ","")&amp;IF($D369="","Falta l'objectiu. ","")&amp;IF($J369="","Falta el tipus de despesa. ","")&amp;IF(AND($J369&lt;&gt;"",$J369&lt;&gt;"Mitjans propis",$J369&lt;&gt;"Altres",$M369=""),"Falta l'import. ","")&amp;IF(AND($J369="Contracte menor a càrrec del RAE",$K369=""),"Falta la partida RAE. ","")&amp;IF(AND($B369&lt;&gt;"",COUNTIF($B$6:$B$705,$B369)&gt;1),"Codi RAE repetit. ","")&amp;IF(AND($B369&lt;&gt;"",$J369&lt;&gt;"",$J369&lt;&gt;"Contracte menor a càrrec del RAE"),"Té codi RAE però no és de tipus RAE. ","")&amp;IF($N369="","Falta l'indicador del Pla. ","")&amp;IF($R369="","Falta el gestor. ","")&amp;IF($S369="","Falta indicar si és recurrent. ",""))))</f>
        <v/>
      </c>
    </row>
    <row r="370">
      <c r="A370" s="10">
        <f>IF($D370="","","27_"&amp;IFERROR(INDEX(Objectius!$E$2:$E$183,MATCH($D370,Objectius!$A$2:$A$183,0)),"??")&amp;"_"&amp;TEXT(COUNTIF($I$6:$I370,$I370),"00"))</f>
        <v/>
      </c>
      <c r="B370" s="11" t="n"/>
      <c r="C370" s="11" t="n"/>
      <c r="D370" s="11" t="n"/>
      <c r="E370" s="10">
        <f>IF($D370="","",IFERROR(INDEX(Objectius!$C$2:$C$183,MATCH($D370,Objectius!$A$2:$A$183,0)),"Objectiu no trobat al Pla"))</f>
        <v/>
      </c>
      <c r="F370" s="11" t="n"/>
      <c r="G370" s="11" t="n"/>
      <c r="H370" s="11" t="n"/>
      <c r="I370" s="10">
        <f>IF($D370="","",IFERROR(INDEX(Objectius!$D$2:$D$183,MATCH($D370,Objectius!$A$2:$A$183,0)),""))</f>
        <v/>
      </c>
      <c r="J370" s="11" t="n"/>
      <c r="K370" s="11" t="n"/>
      <c r="L370" s="11" t="n"/>
      <c r="M370" s="12" t="n"/>
      <c r="N370" s="11" t="n"/>
      <c r="O370" s="10">
        <f>IF($N370="","",IFERROR(INDEX('PLA ESTRATÈGIC'!$G$4:$G$452,MATCH($N370,'PLA ESTRATÈGIC'!$Q$4:$Q$452,0)),""))</f>
        <v/>
      </c>
      <c r="P370" s="10">
        <f>IF($N370="","",IFERROR(INDEX('PLA ESTRATÈGIC'!$H$4:$H$452,MATCH($N370,'PLA ESTRATÈGIC'!$Q$4:$Q$452,0)),""))</f>
        <v/>
      </c>
      <c r="Q370" s="13" t="n"/>
      <c r="R370" s="11" t="n"/>
      <c r="S370" s="11" t="n"/>
      <c r="T370" s="11" t="n"/>
      <c r="U370" s="11" t="n"/>
      <c r="V370" s="10">
        <f>IF(COUNTA($C370,$D370,$J370,$M370)=0,"",IF(TRIM(IF($C370="","Falta l'actuació. ","")&amp;IF($D370="","Falta l'objectiu. ","")&amp;IF($J370="","Falta el tipus de despesa. ","")&amp;IF(AND($J370&lt;&gt;"",$J370&lt;&gt;"Mitjans propis",$J370&lt;&gt;"Altres",$M370=""),"Falta l'import. ","")&amp;IF(AND($J370="Contracte menor a càrrec del RAE",$K370=""),"Falta la partida RAE. ","")&amp;IF(AND($B370&lt;&gt;"",COUNTIF($B$6:$B$705,$B370)&gt;1),"Codi RAE repetit. ","")&amp;IF(AND($B370&lt;&gt;"",$J370&lt;&gt;"",$J370&lt;&gt;"Contracte menor a càrrec del RAE"),"Té codi RAE però no és de tipus RAE. ","")&amp;IF($N370="","Falta l'indicador del Pla. ","")&amp;IF($R370="","Falta el gestor. ","")&amp;IF($S370="","Falta indicar si és recurrent. ",""))="","✔",TRIM(IF($C370="","Falta l'actuació. ","")&amp;IF($D370="","Falta l'objectiu. ","")&amp;IF($J370="","Falta el tipus de despesa. ","")&amp;IF(AND($J370&lt;&gt;"",$J370&lt;&gt;"Mitjans propis",$J370&lt;&gt;"Altres",$M370=""),"Falta l'import. ","")&amp;IF(AND($J370="Contracte menor a càrrec del RAE",$K370=""),"Falta la partida RAE. ","")&amp;IF(AND($B370&lt;&gt;"",COUNTIF($B$6:$B$705,$B370)&gt;1),"Codi RAE repetit. ","")&amp;IF(AND($B370&lt;&gt;"",$J370&lt;&gt;"",$J370&lt;&gt;"Contracte menor a càrrec del RAE"),"Té codi RAE però no és de tipus RAE. ","")&amp;IF($N370="","Falta l'indicador del Pla. ","")&amp;IF($R370="","Falta el gestor. ","")&amp;IF($S370="","Falta indicar si és recurrent. ",""))))</f>
        <v/>
      </c>
    </row>
    <row r="371">
      <c r="A371" s="10">
        <f>IF($D371="","","27_"&amp;IFERROR(INDEX(Objectius!$E$2:$E$183,MATCH($D371,Objectius!$A$2:$A$183,0)),"??")&amp;"_"&amp;TEXT(COUNTIF($I$6:$I371,$I371),"00"))</f>
        <v/>
      </c>
      <c r="B371" s="11" t="n"/>
      <c r="C371" s="11" t="n"/>
      <c r="D371" s="11" t="n"/>
      <c r="E371" s="10">
        <f>IF($D371="","",IFERROR(INDEX(Objectius!$C$2:$C$183,MATCH($D371,Objectius!$A$2:$A$183,0)),"Objectiu no trobat al Pla"))</f>
        <v/>
      </c>
      <c r="F371" s="11" t="n"/>
      <c r="G371" s="11" t="n"/>
      <c r="H371" s="11" t="n"/>
      <c r="I371" s="10">
        <f>IF($D371="","",IFERROR(INDEX(Objectius!$D$2:$D$183,MATCH($D371,Objectius!$A$2:$A$183,0)),""))</f>
        <v/>
      </c>
      <c r="J371" s="11" t="n"/>
      <c r="K371" s="11" t="n"/>
      <c r="L371" s="11" t="n"/>
      <c r="M371" s="12" t="n"/>
      <c r="N371" s="11" t="n"/>
      <c r="O371" s="10">
        <f>IF($N371="","",IFERROR(INDEX('PLA ESTRATÈGIC'!$G$4:$G$452,MATCH($N371,'PLA ESTRATÈGIC'!$Q$4:$Q$452,0)),""))</f>
        <v/>
      </c>
      <c r="P371" s="10">
        <f>IF($N371="","",IFERROR(INDEX('PLA ESTRATÈGIC'!$H$4:$H$452,MATCH($N371,'PLA ESTRATÈGIC'!$Q$4:$Q$452,0)),""))</f>
        <v/>
      </c>
      <c r="Q371" s="13" t="n"/>
      <c r="R371" s="11" t="n"/>
      <c r="S371" s="11" t="n"/>
      <c r="T371" s="11" t="n"/>
      <c r="U371" s="11" t="n"/>
      <c r="V371" s="10">
        <f>IF(COUNTA($C371,$D371,$J371,$M371)=0,"",IF(TRIM(IF($C371="","Falta l'actuació. ","")&amp;IF($D371="","Falta l'objectiu. ","")&amp;IF($J371="","Falta el tipus de despesa. ","")&amp;IF(AND($J371&lt;&gt;"",$J371&lt;&gt;"Mitjans propis",$J371&lt;&gt;"Altres",$M371=""),"Falta l'import. ","")&amp;IF(AND($J371="Contracte menor a càrrec del RAE",$K371=""),"Falta la partida RAE. ","")&amp;IF(AND($B371&lt;&gt;"",COUNTIF($B$6:$B$705,$B371)&gt;1),"Codi RAE repetit. ","")&amp;IF(AND($B371&lt;&gt;"",$J371&lt;&gt;"",$J371&lt;&gt;"Contracte menor a càrrec del RAE"),"Té codi RAE però no és de tipus RAE. ","")&amp;IF($N371="","Falta l'indicador del Pla. ","")&amp;IF($R371="","Falta el gestor. ","")&amp;IF($S371="","Falta indicar si és recurrent. ",""))="","✔",TRIM(IF($C371="","Falta l'actuació. ","")&amp;IF($D371="","Falta l'objectiu. ","")&amp;IF($J371="","Falta el tipus de despesa. ","")&amp;IF(AND($J371&lt;&gt;"",$J371&lt;&gt;"Mitjans propis",$J371&lt;&gt;"Altres",$M371=""),"Falta l'import. ","")&amp;IF(AND($J371="Contracte menor a càrrec del RAE",$K371=""),"Falta la partida RAE. ","")&amp;IF(AND($B371&lt;&gt;"",COUNTIF($B$6:$B$705,$B371)&gt;1),"Codi RAE repetit. ","")&amp;IF(AND($B371&lt;&gt;"",$J371&lt;&gt;"",$J371&lt;&gt;"Contracte menor a càrrec del RAE"),"Té codi RAE però no és de tipus RAE. ","")&amp;IF($N371="","Falta l'indicador del Pla. ","")&amp;IF($R371="","Falta el gestor. ","")&amp;IF($S371="","Falta indicar si és recurrent. ",""))))</f>
        <v/>
      </c>
    </row>
    <row r="372">
      <c r="A372" s="10">
        <f>IF($D372="","","27_"&amp;IFERROR(INDEX(Objectius!$E$2:$E$183,MATCH($D372,Objectius!$A$2:$A$183,0)),"??")&amp;"_"&amp;TEXT(COUNTIF($I$6:$I372,$I372),"00"))</f>
        <v/>
      </c>
      <c r="B372" s="11" t="n"/>
      <c r="C372" s="11" t="n"/>
      <c r="D372" s="11" t="n"/>
      <c r="E372" s="10">
        <f>IF($D372="","",IFERROR(INDEX(Objectius!$C$2:$C$183,MATCH($D372,Objectius!$A$2:$A$183,0)),"Objectiu no trobat al Pla"))</f>
        <v/>
      </c>
      <c r="F372" s="11" t="n"/>
      <c r="G372" s="11" t="n"/>
      <c r="H372" s="11" t="n"/>
      <c r="I372" s="10">
        <f>IF($D372="","",IFERROR(INDEX(Objectius!$D$2:$D$183,MATCH($D372,Objectius!$A$2:$A$183,0)),""))</f>
        <v/>
      </c>
      <c r="J372" s="11" t="n"/>
      <c r="K372" s="11" t="n"/>
      <c r="L372" s="11" t="n"/>
      <c r="M372" s="12" t="n"/>
      <c r="N372" s="11" t="n"/>
      <c r="O372" s="10">
        <f>IF($N372="","",IFERROR(INDEX('PLA ESTRATÈGIC'!$G$4:$G$452,MATCH($N372,'PLA ESTRATÈGIC'!$Q$4:$Q$452,0)),""))</f>
        <v/>
      </c>
      <c r="P372" s="10">
        <f>IF($N372="","",IFERROR(INDEX('PLA ESTRATÈGIC'!$H$4:$H$452,MATCH($N372,'PLA ESTRATÈGIC'!$Q$4:$Q$452,0)),""))</f>
        <v/>
      </c>
      <c r="Q372" s="13" t="n"/>
      <c r="R372" s="11" t="n"/>
      <c r="S372" s="11" t="n"/>
      <c r="T372" s="11" t="n"/>
      <c r="U372" s="11" t="n"/>
      <c r="V372" s="10">
        <f>IF(COUNTA($C372,$D372,$J372,$M372)=0,"",IF(TRIM(IF($C372="","Falta l'actuació. ","")&amp;IF($D372="","Falta l'objectiu. ","")&amp;IF($J372="","Falta el tipus de despesa. ","")&amp;IF(AND($J372&lt;&gt;"",$J372&lt;&gt;"Mitjans propis",$J372&lt;&gt;"Altres",$M372=""),"Falta l'import. ","")&amp;IF(AND($J372="Contracte menor a càrrec del RAE",$K372=""),"Falta la partida RAE. ","")&amp;IF(AND($B372&lt;&gt;"",COUNTIF($B$6:$B$705,$B372)&gt;1),"Codi RAE repetit. ","")&amp;IF(AND($B372&lt;&gt;"",$J372&lt;&gt;"",$J372&lt;&gt;"Contracte menor a càrrec del RAE"),"Té codi RAE però no és de tipus RAE. ","")&amp;IF($N372="","Falta l'indicador del Pla. ","")&amp;IF($R372="","Falta el gestor. ","")&amp;IF($S372="","Falta indicar si és recurrent. ",""))="","✔",TRIM(IF($C372="","Falta l'actuació. ","")&amp;IF($D372="","Falta l'objectiu. ","")&amp;IF($J372="","Falta el tipus de despesa. ","")&amp;IF(AND($J372&lt;&gt;"",$J372&lt;&gt;"Mitjans propis",$J372&lt;&gt;"Altres",$M372=""),"Falta l'import. ","")&amp;IF(AND($J372="Contracte menor a càrrec del RAE",$K372=""),"Falta la partida RAE. ","")&amp;IF(AND($B372&lt;&gt;"",COUNTIF($B$6:$B$705,$B372)&gt;1),"Codi RAE repetit. ","")&amp;IF(AND($B372&lt;&gt;"",$J372&lt;&gt;"",$J372&lt;&gt;"Contracte menor a càrrec del RAE"),"Té codi RAE però no és de tipus RAE. ","")&amp;IF($N372="","Falta l'indicador del Pla. ","")&amp;IF($R372="","Falta el gestor. ","")&amp;IF($S372="","Falta indicar si és recurrent. ",""))))</f>
        <v/>
      </c>
    </row>
    <row r="373">
      <c r="A373" s="10">
        <f>IF($D373="","","27_"&amp;IFERROR(INDEX(Objectius!$E$2:$E$183,MATCH($D373,Objectius!$A$2:$A$183,0)),"??")&amp;"_"&amp;TEXT(COUNTIF($I$6:$I373,$I373),"00"))</f>
        <v/>
      </c>
      <c r="B373" s="11" t="n"/>
      <c r="C373" s="11" t="n"/>
      <c r="D373" s="11" t="n"/>
      <c r="E373" s="10">
        <f>IF($D373="","",IFERROR(INDEX(Objectius!$C$2:$C$183,MATCH($D373,Objectius!$A$2:$A$183,0)),"Objectiu no trobat al Pla"))</f>
        <v/>
      </c>
      <c r="F373" s="11" t="n"/>
      <c r="G373" s="11" t="n"/>
      <c r="H373" s="11" t="n"/>
      <c r="I373" s="10">
        <f>IF($D373="","",IFERROR(INDEX(Objectius!$D$2:$D$183,MATCH($D373,Objectius!$A$2:$A$183,0)),""))</f>
        <v/>
      </c>
      <c r="J373" s="11" t="n"/>
      <c r="K373" s="11" t="n"/>
      <c r="L373" s="11" t="n"/>
      <c r="M373" s="12" t="n"/>
      <c r="N373" s="11" t="n"/>
      <c r="O373" s="10">
        <f>IF($N373="","",IFERROR(INDEX('PLA ESTRATÈGIC'!$G$4:$G$452,MATCH($N373,'PLA ESTRATÈGIC'!$Q$4:$Q$452,0)),""))</f>
        <v/>
      </c>
      <c r="P373" s="10">
        <f>IF($N373="","",IFERROR(INDEX('PLA ESTRATÈGIC'!$H$4:$H$452,MATCH($N373,'PLA ESTRATÈGIC'!$Q$4:$Q$452,0)),""))</f>
        <v/>
      </c>
      <c r="Q373" s="13" t="n"/>
      <c r="R373" s="11" t="n"/>
      <c r="S373" s="11" t="n"/>
      <c r="T373" s="11" t="n"/>
      <c r="U373" s="11" t="n"/>
      <c r="V373" s="10">
        <f>IF(COUNTA($C373,$D373,$J373,$M373)=0,"",IF(TRIM(IF($C373="","Falta l'actuació. ","")&amp;IF($D373="","Falta l'objectiu. ","")&amp;IF($J373="","Falta el tipus de despesa. ","")&amp;IF(AND($J373&lt;&gt;"",$J373&lt;&gt;"Mitjans propis",$J373&lt;&gt;"Altres",$M373=""),"Falta l'import. ","")&amp;IF(AND($J373="Contracte menor a càrrec del RAE",$K373=""),"Falta la partida RAE. ","")&amp;IF(AND($B373&lt;&gt;"",COUNTIF($B$6:$B$705,$B373)&gt;1),"Codi RAE repetit. ","")&amp;IF(AND($B373&lt;&gt;"",$J373&lt;&gt;"",$J373&lt;&gt;"Contracte menor a càrrec del RAE"),"Té codi RAE però no és de tipus RAE. ","")&amp;IF($N373="","Falta l'indicador del Pla. ","")&amp;IF($R373="","Falta el gestor. ","")&amp;IF($S373="","Falta indicar si és recurrent. ",""))="","✔",TRIM(IF($C373="","Falta l'actuació. ","")&amp;IF($D373="","Falta l'objectiu. ","")&amp;IF($J373="","Falta el tipus de despesa. ","")&amp;IF(AND($J373&lt;&gt;"",$J373&lt;&gt;"Mitjans propis",$J373&lt;&gt;"Altres",$M373=""),"Falta l'import. ","")&amp;IF(AND($J373="Contracte menor a càrrec del RAE",$K373=""),"Falta la partida RAE. ","")&amp;IF(AND($B373&lt;&gt;"",COUNTIF($B$6:$B$705,$B373)&gt;1),"Codi RAE repetit. ","")&amp;IF(AND($B373&lt;&gt;"",$J373&lt;&gt;"",$J373&lt;&gt;"Contracte menor a càrrec del RAE"),"Té codi RAE però no és de tipus RAE. ","")&amp;IF($N373="","Falta l'indicador del Pla. ","")&amp;IF($R373="","Falta el gestor. ","")&amp;IF($S373="","Falta indicar si és recurrent. ",""))))</f>
        <v/>
      </c>
    </row>
    <row r="374">
      <c r="A374" s="10">
        <f>IF($D374="","","27_"&amp;IFERROR(INDEX(Objectius!$E$2:$E$183,MATCH($D374,Objectius!$A$2:$A$183,0)),"??")&amp;"_"&amp;TEXT(COUNTIF($I$6:$I374,$I374),"00"))</f>
        <v/>
      </c>
      <c r="B374" s="11" t="n"/>
      <c r="C374" s="11" t="n"/>
      <c r="D374" s="11" t="n"/>
      <c r="E374" s="10">
        <f>IF($D374="","",IFERROR(INDEX(Objectius!$C$2:$C$183,MATCH($D374,Objectius!$A$2:$A$183,0)),"Objectiu no trobat al Pla"))</f>
        <v/>
      </c>
      <c r="F374" s="11" t="n"/>
      <c r="G374" s="11" t="n"/>
      <c r="H374" s="11" t="n"/>
      <c r="I374" s="10">
        <f>IF($D374="","",IFERROR(INDEX(Objectius!$D$2:$D$183,MATCH($D374,Objectius!$A$2:$A$183,0)),""))</f>
        <v/>
      </c>
      <c r="J374" s="11" t="n"/>
      <c r="K374" s="11" t="n"/>
      <c r="L374" s="11" t="n"/>
      <c r="M374" s="12" t="n"/>
      <c r="N374" s="11" t="n"/>
      <c r="O374" s="10">
        <f>IF($N374="","",IFERROR(INDEX('PLA ESTRATÈGIC'!$G$4:$G$452,MATCH($N374,'PLA ESTRATÈGIC'!$Q$4:$Q$452,0)),""))</f>
        <v/>
      </c>
      <c r="P374" s="10">
        <f>IF($N374="","",IFERROR(INDEX('PLA ESTRATÈGIC'!$H$4:$H$452,MATCH($N374,'PLA ESTRATÈGIC'!$Q$4:$Q$452,0)),""))</f>
        <v/>
      </c>
      <c r="Q374" s="13" t="n"/>
      <c r="R374" s="11" t="n"/>
      <c r="S374" s="11" t="n"/>
      <c r="T374" s="11" t="n"/>
      <c r="U374" s="11" t="n"/>
      <c r="V374" s="10">
        <f>IF(COUNTA($C374,$D374,$J374,$M374)=0,"",IF(TRIM(IF($C374="","Falta l'actuació. ","")&amp;IF($D374="","Falta l'objectiu. ","")&amp;IF($J374="","Falta el tipus de despesa. ","")&amp;IF(AND($J374&lt;&gt;"",$J374&lt;&gt;"Mitjans propis",$J374&lt;&gt;"Altres",$M374=""),"Falta l'import. ","")&amp;IF(AND($J374="Contracte menor a càrrec del RAE",$K374=""),"Falta la partida RAE. ","")&amp;IF(AND($B374&lt;&gt;"",COUNTIF($B$6:$B$705,$B374)&gt;1),"Codi RAE repetit. ","")&amp;IF(AND($B374&lt;&gt;"",$J374&lt;&gt;"",$J374&lt;&gt;"Contracte menor a càrrec del RAE"),"Té codi RAE però no és de tipus RAE. ","")&amp;IF($N374="","Falta l'indicador del Pla. ","")&amp;IF($R374="","Falta el gestor. ","")&amp;IF($S374="","Falta indicar si és recurrent. ",""))="","✔",TRIM(IF($C374="","Falta l'actuació. ","")&amp;IF($D374="","Falta l'objectiu. ","")&amp;IF($J374="","Falta el tipus de despesa. ","")&amp;IF(AND($J374&lt;&gt;"",$J374&lt;&gt;"Mitjans propis",$J374&lt;&gt;"Altres",$M374=""),"Falta l'import. ","")&amp;IF(AND($J374="Contracte menor a càrrec del RAE",$K374=""),"Falta la partida RAE. ","")&amp;IF(AND($B374&lt;&gt;"",COUNTIF($B$6:$B$705,$B374)&gt;1),"Codi RAE repetit. ","")&amp;IF(AND($B374&lt;&gt;"",$J374&lt;&gt;"",$J374&lt;&gt;"Contracte menor a càrrec del RAE"),"Té codi RAE però no és de tipus RAE. ","")&amp;IF($N374="","Falta l'indicador del Pla. ","")&amp;IF($R374="","Falta el gestor. ","")&amp;IF($S374="","Falta indicar si és recurrent. ",""))))</f>
        <v/>
      </c>
    </row>
    <row r="375">
      <c r="A375" s="10">
        <f>IF($D375="","","27_"&amp;IFERROR(INDEX(Objectius!$E$2:$E$183,MATCH($D375,Objectius!$A$2:$A$183,0)),"??")&amp;"_"&amp;TEXT(COUNTIF($I$6:$I375,$I375),"00"))</f>
        <v/>
      </c>
      <c r="B375" s="11" t="n"/>
      <c r="C375" s="11" t="n"/>
      <c r="D375" s="11" t="n"/>
      <c r="E375" s="10">
        <f>IF($D375="","",IFERROR(INDEX(Objectius!$C$2:$C$183,MATCH($D375,Objectius!$A$2:$A$183,0)),"Objectiu no trobat al Pla"))</f>
        <v/>
      </c>
      <c r="F375" s="11" t="n"/>
      <c r="G375" s="11" t="n"/>
      <c r="H375" s="11" t="n"/>
      <c r="I375" s="10">
        <f>IF($D375="","",IFERROR(INDEX(Objectius!$D$2:$D$183,MATCH($D375,Objectius!$A$2:$A$183,0)),""))</f>
        <v/>
      </c>
      <c r="J375" s="11" t="n"/>
      <c r="K375" s="11" t="n"/>
      <c r="L375" s="11" t="n"/>
      <c r="M375" s="12" t="n"/>
      <c r="N375" s="11" t="n"/>
      <c r="O375" s="10">
        <f>IF($N375="","",IFERROR(INDEX('PLA ESTRATÈGIC'!$G$4:$G$452,MATCH($N375,'PLA ESTRATÈGIC'!$Q$4:$Q$452,0)),""))</f>
        <v/>
      </c>
      <c r="P375" s="10">
        <f>IF($N375="","",IFERROR(INDEX('PLA ESTRATÈGIC'!$H$4:$H$452,MATCH($N375,'PLA ESTRATÈGIC'!$Q$4:$Q$452,0)),""))</f>
        <v/>
      </c>
      <c r="Q375" s="13" t="n"/>
      <c r="R375" s="11" t="n"/>
      <c r="S375" s="11" t="n"/>
      <c r="T375" s="11" t="n"/>
      <c r="U375" s="11" t="n"/>
      <c r="V375" s="10">
        <f>IF(COUNTA($C375,$D375,$J375,$M375)=0,"",IF(TRIM(IF($C375="","Falta l'actuació. ","")&amp;IF($D375="","Falta l'objectiu. ","")&amp;IF($J375="","Falta el tipus de despesa. ","")&amp;IF(AND($J375&lt;&gt;"",$J375&lt;&gt;"Mitjans propis",$J375&lt;&gt;"Altres",$M375=""),"Falta l'import. ","")&amp;IF(AND($J375="Contracte menor a càrrec del RAE",$K375=""),"Falta la partida RAE. ","")&amp;IF(AND($B375&lt;&gt;"",COUNTIF($B$6:$B$705,$B375)&gt;1),"Codi RAE repetit. ","")&amp;IF(AND($B375&lt;&gt;"",$J375&lt;&gt;"",$J375&lt;&gt;"Contracte menor a càrrec del RAE"),"Té codi RAE però no és de tipus RAE. ","")&amp;IF($N375="","Falta l'indicador del Pla. ","")&amp;IF($R375="","Falta el gestor. ","")&amp;IF($S375="","Falta indicar si és recurrent. ",""))="","✔",TRIM(IF($C375="","Falta l'actuació. ","")&amp;IF($D375="","Falta l'objectiu. ","")&amp;IF($J375="","Falta el tipus de despesa. ","")&amp;IF(AND($J375&lt;&gt;"",$J375&lt;&gt;"Mitjans propis",$J375&lt;&gt;"Altres",$M375=""),"Falta l'import. ","")&amp;IF(AND($J375="Contracte menor a càrrec del RAE",$K375=""),"Falta la partida RAE. ","")&amp;IF(AND($B375&lt;&gt;"",COUNTIF($B$6:$B$705,$B375)&gt;1),"Codi RAE repetit. ","")&amp;IF(AND($B375&lt;&gt;"",$J375&lt;&gt;"",$J375&lt;&gt;"Contracte menor a càrrec del RAE"),"Té codi RAE però no és de tipus RAE. ","")&amp;IF($N375="","Falta l'indicador del Pla. ","")&amp;IF($R375="","Falta el gestor. ","")&amp;IF($S375="","Falta indicar si és recurrent. ",""))))</f>
        <v/>
      </c>
    </row>
    <row r="376">
      <c r="A376" s="10">
        <f>IF($D376="","","27_"&amp;IFERROR(INDEX(Objectius!$E$2:$E$183,MATCH($D376,Objectius!$A$2:$A$183,0)),"??")&amp;"_"&amp;TEXT(COUNTIF($I$6:$I376,$I376),"00"))</f>
        <v/>
      </c>
      <c r="B376" s="11" t="n"/>
      <c r="C376" s="11" t="n"/>
      <c r="D376" s="11" t="n"/>
      <c r="E376" s="10">
        <f>IF($D376="","",IFERROR(INDEX(Objectius!$C$2:$C$183,MATCH($D376,Objectius!$A$2:$A$183,0)),"Objectiu no trobat al Pla"))</f>
        <v/>
      </c>
      <c r="F376" s="11" t="n"/>
      <c r="G376" s="11" t="n"/>
      <c r="H376" s="11" t="n"/>
      <c r="I376" s="10">
        <f>IF($D376="","",IFERROR(INDEX(Objectius!$D$2:$D$183,MATCH($D376,Objectius!$A$2:$A$183,0)),""))</f>
        <v/>
      </c>
      <c r="J376" s="11" t="n"/>
      <c r="K376" s="11" t="n"/>
      <c r="L376" s="11" t="n"/>
      <c r="M376" s="12" t="n"/>
      <c r="N376" s="11" t="n"/>
      <c r="O376" s="10">
        <f>IF($N376="","",IFERROR(INDEX('PLA ESTRATÈGIC'!$G$4:$G$452,MATCH($N376,'PLA ESTRATÈGIC'!$Q$4:$Q$452,0)),""))</f>
        <v/>
      </c>
      <c r="P376" s="10">
        <f>IF($N376="","",IFERROR(INDEX('PLA ESTRATÈGIC'!$H$4:$H$452,MATCH($N376,'PLA ESTRATÈGIC'!$Q$4:$Q$452,0)),""))</f>
        <v/>
      </c>
      <c r="Q376" s="13" t="n"/>
      <c r="R376" s="11" t="n"/>
      <c r="S376" s="11" t="n"/>
      <c r="T376" s="11" t="n"/>
      <c r="U376" s="11" t="n"/>
      <c r="V376" s="10">
        <f>IF(COUNTA($C376,$D376,$J376,$M376)=0,"",IF(TRIM(IF($C376="","Falta l'actuació. ","")&amp;IF($D376="","Falta l'objectiu. ","")&amp;IF($J376="","Falta el tipus de despesa. ","")&amp;IF(AND($J376&lt;&gt;"",$J376&lt;&gt;"Mitjans propis",$J376&lt;&gt;"Altres",$M376=""),"Falta l'import. ","")&amp;IF(AND($J376="Contracte menor a càrrec del RAE",$K376=""),"Falta la partida RAE. ","")&amp;IF(AND($B376&lt;&gt;"",COUNTIF($B$6:$B$705,$B376)&gt;1),"Codi RAE repetit. ","")&amp;IF(AND($B376&lt;&gt;"",$J376&lt;&gt;"",$J376&lt;&gt;"Contracte menor a càrrec del RAE"),"Té codi RAE però no és de tipus RAE. ","")&amp;IF($N376="","Falta l'indicador del Pla. ","")&amp;IF($R376="","Falta el gestor. ","")&amp;IF($S376="","Falta indicar si és recurrent. ",""))="","✔",TRIM(IF($C376="","Falta l'actuació. ","")&amp;IF($D376="","Falta l'objectiu. ","")&amp;IF($J376="","Falta el tipus de despesa. ","")&amp;IF(AND($J376&lt;&gt;"",$J376&lt;&gt;"Mitjans propis",$J376&lt;&gt;"Altres",$M376=""),"Falta l'import. ","")&amp;IF(AND($J376="Contracte menor a càrrec del RAE",$K376=""),"Falta la partida RAE. ","")&amp;IF(AND($B376&lt;&gt;"",COUNTIF($B$6:$B$705,$B376)&gt;1),"Codi RAE repetit. ","")&amp;IF(AND($B376&lt;&gt;"",$J376&lt;&gt;"",$J376&lt;&gt;"Contracte menor a càrrec del RAE"),"Té codi RAE però no és de tipus RAE. ","")&amp;IF($N376="","Falta l'indicador del Pla. ","")&amp;IF($R376="","Falta el gestor. ","")&amp;IF($S376="","Falta indicar si és recurrent. ",""))))</f>
        <v/>
      </c>
    </row>
    <row r="377">
      <c r="A377" s="10">
        <f>IF($D377="","","27_"&amp;IFERROR(INDEX(Objectius!$E$2:$E$183,MATCH($D377,Objectius!$A$2:$A$183,0)),"??")&amp;"_"&amp;TEXT(COUNTIF($I$6:$I377,$I377),"00"))</f>
        <v/>
      </c>
      <c r="B377" s="11" t="n"/>
      <c r="C377" s="11" t="n"/>
      <c r="D377" s="11" t="n"/>
      <c r="E377" s="10">
        <f>IF($D377="","",IFERROR(INDEX(Objectius!$C$2:$C$183,MATCH($D377,Objectius!$A$2:$A$183,0)),"Objectiu no trobat al Pla"))</f>
        <v/>
      </c>
      <c r="F377" s="11" t="n"/>
      <c r="G377" s="11" t="n"/>
      <c r="H377" s="11" t="n"/>
      <c r="I377" s="10">
        <f>IF($D377="","",IFERROR(INDEX(Objectius!$D$2:$D$183,MATCH($D377,Objectius!$A$2:$A$183,0)),""))</f>
        <v/>
      </c>
      <c r="J377" s="11" t="n"/>
      <c r="K377" s="11" t="n"/>
      <c r="L377" s="11" t="n"/>
      <c r="M377" s="12" t="n"/>
      <c r="N377" s="11" t="n"/>
      <c r="O377" s="10">
        <f>IF($N377="","",IFERROR(INDEX('PLA ESTRATÈGIC'!$G$4:$G$452,MATCH($N377,'PLA ESTRATÈGIC'!$Q$4:$Q$452,0)),""))</f>
        <v/>
      </c>
      <c r="P377" s="10">
        <f>IF($N377="","",IFERROR(INDEX('PLA ESTRATÈGIC'!$H$4:$H$452,MATCH($N377,'PLA ESTRATÈGIC'!$Q$4:$Q$452,0)),""))</f>
        <v/>
      </c>
      <c r="Q377" s="13" t="n"/>
      <c r="R377" s="11" t="n"/>
      <c r="S377" s="11" t="n"/>
      <c r="T377" s="11" t="n"/>
      <c r="U377" s="11" t="n"/>
      <c r="V377" s="10">
        <f>IF(COUNTA($C377,$D377,$J377,$M377)=0,"",IF(TRIM(IF($C377="","Falta l'actuació. ","")&amp;IF($D377="","Falta l'objectiu. ","")&amp;IF($J377="","Falta el tipus de despesa. ","")&amp;IF(AND($J377&lt;&gt;"",$J377&lt;&gt;"Mitjans propis",$J377&lt;&gt;"Altres",$M377=""),"Falta l'import. ","")&amp;IF(AND($J377="Contracte menor a càrrec del RAE",$K377=""),"Falta la partida RAE. ","")&amp;IF(AND($B377&lt;&gt;"",COUNTIF($B$6:$B$705,$B377)&gt;1),"Codi RAE repetit. ","")&amp;IF(AND($B377&lt;&gt;"",$J377&lt;&gt;"",$J377&lt;&gt;"Contracte menor a càrrec del RAE"),"Té codi RAE però no és de tipus RAE. ","")&amp;IF($N377="","Falta l'indicador del Pla. ","")&amp;IF($R377="","Falta el gestor. ","")&amp;IF($S377="","Falta indicar si és recurrent. ",""))="","✔",TRIM(IF($C377="","Falta l'actuació. ","")&amp;IF($D377="","Falta l'objectiu. ","")&amp;IF($J377="","Falta el tipus de despesa. ","")&amp;IF(AND($J377&lt;&gt;"",$J377&lt;&gt;"Mitjans propis",$J377&lt;&gt;"Altres",$M377=""),"Falta l'import. ","")&amp;IF(AND($J377="Contracte menor a càrrec del RAE",$K377=""),"Falta la partida RAE. ","")&amp;IF(AND($B377&lt;&gt;"",COUNTIF($B$6:$B$705,$B377)&gt;1),"Codi RAE repetit. ","")&amp;IF(AND($B377&lt;&gt;"",$J377&lt;&gt;"",$J377&lt;&gt;"Contracte menor a càrrec del RAE"),"Té codi RAE però no és de tipus RAE. ","")&amp;IF($N377="","Falta l'indicador del Pla. ","")&amp;IF($R377="","Falta el gestor. ","")&amp;IF($S377="","Falta indicar si és recurrent. ",""))))</f>
        <v/>
      </c>
    </row>
    <row r="378">
      <c r="A378" s="10">
        <f>IF($D378="","","27_"&amp;IFERROR(INDEX(Objectius!$E$2:$E$183,MATCH($D378,Objectius!$A$2:$A$183,0)),"??")&amp;"_"&amp;TEXT(COUNTIF($I$6:$I378,$I378),"00"))</f>
        <v/>
      </c>
      <c r="B378" s="11" t="n"/>
      <c r="C378" s="11" t="n"/>
      <c r="D378" s="11" t="n"/>
      <c r="E378" s="10">
        <f>IF($D378="","",IFERROR(INDEX(Objectius!$C$2:$C$183,MATCH($D378,Objectius!$A$2:$A$183,0)),"Objectiu no trobat al Pla"))</f>
        <v/>
      </c>
      <c r="F378" s="11" t="n"/>
      <c r="G378" s="11" t="n"/>
      <c r="H378" s="11" t="n"/>
      <c r="I378" s="10">
        <f>IF($D378="","",IFERROR(INDEX(Objectius!$D$2:$D$183,MATCH($D378,Objectius!$A$2:$A$183,0)),""))</f>
        <v/>
      </c>
      <c r="J378" s="11" t="n"/>
      <c r="K378" s="11" t="n"/>
      <c r="L378" s="11" t="n"/>
      <c r="M378" s="12" t="n"/>
      <c r="N378" s="11" t="n"/>
      <c r="O378" s="10">
        <f>IF($N378="","",IFERROR(INDEX('PLA ESTRATÈGIC'!$G$4:$G$452,MATCH($N378,'PLA ESTRATÈGIC'!$Q$4:$Q$452,0)),""))</f>
        <v/>
      </c>
      <c r="P378" s="10">
        <f>IF($N378="","",IFERROR(INDEX('PLA ESTRATÈGIC'!$H$4:$H$452,MATCH($N378,'PLA ESTRATÈGIC'!$Q$4:$Q$452,0)),""))</f>
        <v/>
      </c>
      <c r="Q378" s="13" t="n"/>
      <c r="R378" s="11" t="n"/>
      <c r="S378" s="11" t="n"/>
      <c r="T378" s="11" t="n"/>
      <c r="U378" s="11" t="n"/>
      <c r="V378" s="10">
        <f>IF(COUNTA($C378,$D378,$J378,$M378)=0,"",IF(TRIM(IF($C378="","Falta l'actuació. ","")&amp;IF($D378="","Falta l'objectiu. ","")&amp;IF($J378="","Falta el tipus de despesa. ","")&amp;IF(AND($J378&lt;&gt;"",$J378&lt;&gt;"Mitjans propis",$J378&lt;&gt;"Altres",$M378=""),"Falta l'import. ","")&amp;IF(AND($J378="Contracte menor a càrrec del RAE",$K378=""),"Falta la partida RAE. ","")&amp;IF(AND($B378&lt;&gt;"",COUNTIF($B$6:$B$705,$B378)&gt;1),"Codi RAE repetit. ","")&amp;IF(AND($B378&lt;&gt;"",$J378&lt;&gt;"",$J378&lt;&gt;"Contracte menor a càrrec del RAE"),"Té codi RAE però no és de tipus RAE. ","")&amp;IF($N378="","Falta l'indicador del Pla. ","")&amp;IF($R378="","Falta el gestor. ","")&amp;IF($S378="","Falta indicar si és recurrent. ",""))="","✔",TRIM(IF($C378="","Falta l'actuació. ","")&amp;IF($D378="","Falta l'objectiu. ","")&amp;IF($J378="","Falta el tipus de despesa. ","")&amp;IF(AND($J378&lt;&gt;"",$J378&lt;&gt;"Mitjans propis",$J378&lt;&gt;"Altres",$M378=""),"Falta l'import. ","")&amp;IF(AND($J378="Contracte menor a càrrec del RAE",$K378=""),"Falta la partida RAE. ","")&amp;IF(AND($B378&lt;&gt;"",COUNTIF($B$6:$B$705,$B378)&gt;1),"Codi RAE repetit. ","")&amp;IF(AND($B378&lt;&gt;"",$J378&lt;&gt;"",$J378&lt;&gt;"Contracte menor a càrrec del RAE"),"Té codi RAE però no és de tipus RAE. ","")&amp;IF($N378="","Falta l'indicador del Pla. ","")&amp;IF($R378="","Falta el gestor. ","")&amp;IF($S378="","Falta indicar si és recurrent. ",""))))</f>
        <v/>
      </c>
    </row>
    <row r="379">
      <c r="A379" s="10">
        <f>IF($D379="","","27_"&amp;IFERROR(INDEX(Objectius!$E$2:$E$183,MATCH($D379,Objectius!$A$2:$A$183,0)),"??")&amp;"_"&amp;TEXT(COUNTIF($I$6:$I379,$I379),"00"))</f>
        <v/>
      </c>
      <c r="B379" s="11" t="n"/>
      <c r="C379" s="11" t="n"/>
      <c r="D379" s="11" t="n"/>
      <c r="E379" s="10">
        <f>IF($D379="","",IFERROR(INDEX(Objectius!$C$2:$C$183,MATCH($D379,Objectius!$A$2:$A$183,0)),"Objectiu no trobat al Pla"))</f>
        <v/>
      </c>
      <c r="F379" s="11" t="n"/>
      <c r="G379" s="11" t="n"/>
      <c r="H379" s="11" t="n"/>
      <c r="I379" s="10">
        <f>IF($D379="","",IFERROR(INDEX(Objectius!$D$2:$D$183,MATCH($D379,Objectius!$A$2:$A$183,0)),""))</f>
        <v/>
      </c>
      <c r="J379" s="11" t="n"/>
      <c r="K379" s="11" t="n"/>
      <c r="L379" s="11" t="n"/>
      <c r="M379" s="12" t="n"/>
      <c r="N379" s="11" t="n"/>
      <c r="O379" s="10">
        <f>IF($N379="","",IFERROR(INDEX('PLA ESTRATÈGIC'!$G$4:$G$452,MATCH($N379,'PLA ESTRATÈGIC'!$Q$4:$Q$452,0)),""))</f>
        <v/>
      </c>
      <c r="P379" s="10">
        <f>IF($N379="","",IFERROR(INDEX('PLA ESTRATÈGIC'!$H$4:$H$452,MATCH($N379,'PLA ESTRATÈGIC'!$Q$4:$Q$452,0)),""))</f>
        <v/>
      </c>
      <c r="Q379" s="13" t="n"/>
      <c r="R379" s="11" t="n"/>
      <c r="S379" s="11" t="n"/>
      <c r="T379" s="11" t="n"/>
      <c r="U379" s="11" t="n"/>
      <c r="V379" s="10">
        <f>IF(COUNTA($C379,$D379,$J379,$M379)=0,"",IF(TRIM(IF($C379="","Falta l'actuació. ","")&amp;IF($D379="","Falta l'objectiu. ","")&amp;IF($J379="","Falta el tipus de despesa. ","")&amp;IF(AND($J379&lt;&gt;"",$J379&lt;&gt;"Mitjans propis",$J379&lt;&gt;"Altres",$M379=""),"Falta l'import. ","")&amp;IF(AND($J379="Contracte menor a càrrec del RAE",$K379=""),"Falta la partida RAE. ","")&amp;IF(AND($B379&lt;&gt;"",COUNTIF($B$6:$B$705,$B379)&gt;1),"Codi RAE repetit. ","")&amp;IF(AND($B379&lt;&gt;"",$J379&lt;&gt;"",$J379&lt;&gt;"Contracte menor a càrrec del RAE"),"Té codi RAE però no és de tipus RAE. ","")&amp;IF($N379="","Falta l'indicador del Pla. ","")&amp;IF($R379="","Falta el gestor. ","")&amp;IF($S379="","Falta indicar si és recurrent. ",""))="","✔",TRIM(IF($C379="","Falta l'actuació. ","")&amp;IF($D379="","Falta l'objectiu. ","")&amp;IF($J379="","Falta el tipus de despesa. ","")&amp;IF(AND($J379&lt;&gt;"",$J379&lt;&gt;"Mitjans propis",$J379&lt;&gt;"Altres",$M379=""),"Falta l'import. ","")&amp;IF(AND($J379="Contracte menor a càrrec del RAE",$K379=""),"Falta la partida RAE. ","")&amp;IF(AND($B379&lt;&gt;"",COUNTIF($B$6:$B$705,$B379)&gt;1),"Codi RAE repetit. ","")&amp;IF(AND($B379&lt;&gt;"",$J379&lt;&gt;"",$J379&lt;&gt;"Contracte menor a càrrec del RAE"),"Té codi RAE però no és de tipus RAE. ","")&amp;IF($N379="","Falta l'indicador del Pla. ","")&amp;IF($R379="","Falta el gestor. ","")&amp;IF($S379="","Falta indicar si és recurrent. ",""))))</f>
        <v/>
      </c>
    </row>
    <row r="380">
      <c r="A380" s="10">
        <f>IF($D380="","","27_"&amp;IFERROR(INDEX(Objectius!$E$2:$E$183,MATCH($D380,Objectius!$A$2:$A$183,0)),"??")&amp;"_"&amp;TEXT(COUNTIF($I$6:$I380,$I380),"00"))</f>
        <v/>
      </c>
      <c r="B380" s="11" t="n"/>
      <c r="C380" s="11" t="n"/>
      <c r="D380" s="11" t="n"/>
      <c r="E380" s="10">
        <f>IF($D380="","",IFERROR(INDEX(Objectius!$C$2:$C$183,MATCH($D380,Objectius!$A$2:$A$183,0)),"Objectiu no trobat al Pla"))</f>
        <v/>
      </c>
      <c r="F380" s="11" t="n"/>
      <c r="G380" s="11" t="n"/>
      <c r="H380" s="11" t="n"/>
      <c r="I380" s="10">
        <f>IF($D380="","",IFERROR(INDEX(Objectius!$D$2:$D$183,MATCH($D380,Objectius!$A$2:$A$183,0)),""))</f>
        <v/>
      </c>
      <c r="J380" s="11" t="n"/>
      <c r="K380" s="11" t="n"/>
      <c r="L380" s="11" t="n"/>
      <c r="M380" s="12" t="n"/>
      <c r="N380" s="11" t="n"/>
      <c r="O380" s="10">
        <f>IF($N380="","",IFERROR(INDEX('PLA ESTRATÈGIC'!$G$4:$G$452,MATCH($N380,'PLA ESTRATÈGIC'!$Q$4:$Q$452,0)),""))</f>
        <v/>
      </c>
      <c r="P380" s="10">
        <f>IF($N380="","",IFERROR(INDEX('PLA ESTRATÈGIC'!$H$4:$H$452,MATCH($N380,'PLA ESTRATÈGIC'!$Q$4:$Q$452,0)),""))</f>
        <v/>
      </c>
      <c r="Q380" s="13" t="n"/>
      <c r="R380" s="11" t="n"/>
      <c r="S380" s="11" t="n"/>
      <c r="T380" s="11" t="n"/>
      <c r="U380" s="11" t="n"/>
      <c r="V380" s="10">
        <f>IF(COUNTA($C380,$D380,$J380,$M380)=0,"",IF(TRIM(IF($C380="","Falta l'actuació. ","")&amp;IF($D380="","Falta l'objectiu. ","")&amp;IF($J380="","Falta el tipus de despesa. ","")&amp;IF(AND($J380&lt;&gt;"",$J380&lt;&gt;"Mitjans propis",$J380&lt;&gt;"Altres",$M380=""),"Falta l'import. ","")&amp;IF(AND($J380="Contracte menor a càrrec del RAE",$K380=""),"Falta la partida RAE. ","")&amp;IF(AND($B380&lt;&gt;"",COUNTIF($B$6:$B$705,$B380)&gt;1),"Codi RAE repetit. ","")&amp;IF(AND($B380&lt;&gt;"",$J380&lt;&gt;"",$J380&lt;&gt;"Contracte menor a càrrec del RAE"),"Té codi RAE però no és de tipus RAE. ","")&amp;IF($N380="","Falta l'indicador del Pla. ","")&amp;IF($R380="","Falta el gestor. ","")&amp;IF($S380="","Falta indicar si és recurrent. ",""))="","✔",TRIM(IF($C380="","Falta l'actuació. ","")&amp;IF($D380="","Falta l'objectiu. ","")&amp;IF($J380="","Falta el tipus de despesa. ","")&amp;IF(AND($J380&lt;&gt;"",$J380&lt;&gt;"Mitjans propis",$J380&lt;&gt;"Altres",$M380=""),"Falta l'import. ","")&amp;IF(AND($J380="Contracte menor a càrrec del RAE",$K380=""),"Falta la partida RAE. ","")&amp;IF(AND($B380&lt;&gt;"",COUNTIF($B$6:$B$705,$B380)&gt;1),"Codi RAE repetit. ","")&amp;IF(AND($B380&lt;&gt;"",$J380&lt;&gt;"",$J380&lt;&gt;"Contracte menor a càrrec del RAE"),"Té codi RAE però no és de tipus RAE. ","")&amp;IF($N380="","Falta l'indicador del Pla. ","")&amp;IF($R380="","Falta el gestor. ","")&amp;IF($S380="","Falta indicar si és recurrent. ",""))))</f>
        <v/>
      </c>
    </row>
    <row r="381">
      <c r="A381" s="10">
        <f>IF($D381="","","27_"&amp;IFERROR(INDEX(Objectius!$E$2:$E$183,MATCH($D381,Objectius!$A$2:$A$183,0)),"??")&amp;"_"&amp;TEXT(COUNTIF($I$6:$I381,$I381),"00"))</f>
        <v/>
      </c>
      <c r="B381" s="11" t="n"/>
      <c r="C381" s="11" t="n"/>
      <c r="D381" s="11" t="n"/>
      <c r="E381" s="10">
        <f>IF($D381="","",IFERROR(INDEX(Objectius!$C$2:$C$183,MATCH($D381,Objectius!$A$2:$A$183,0)),"Objectiu no trobat al Pla"))</f>
        <v/>
      </c>
      <c r="F381" s="11" t="n"/>
      <c r="G381" s="11" t="n"/>
      <c r="H381" s="11" t="n"/>
      <c r="I381" s="10">
        <f>IF($D381="","",IFERROR(INDEX(Objectius!$D$2:$D$183,MATCH($D381,Objectius!$A$2:$A$183,0)),""))</f>
        <v/>
      </c>
      <c r="J381" s="11" t="n"/>
      <c r="K381" s="11" t="n"/>
      <c r="L381" s="11" t="n"/>
      <c r="M381" s="12" t="n"/>
      <c r="N381" s="11" t="n"/>
      <c r="O381" s="10">
        <f>IF($N381="","",IFERROR(INDEX('PLA ESTRATÈGIC'!$G$4:$G$452,MATCH($N381,'PLA ESTRATÈGIC'!$Q$4:$Q$452,0)),""))</f>
        <v/>
      </c>
      <c r="P381" s="10">
        <f>IF($N381="","",IFERROR(INDEX('PLA ESTRATÈGIC'!$H$4:$H$452,MATCH($N381,'PLA ESTRATÈGIC'!$Q$4:$Q$452,0)),""))</f>
        <v/>
      </c>
      <c r="Q381" s="13" t="n"/>
      <c r="R381" s="11" t="n"/>
      <c r="S381" s="11" t="n"/>
      <c r="T381" s="11" t="n"/>
      <c r="U381" s="11" t="n"/>
      <c r="V381" s="10">
        <f>IF(COUNTA($C381,$D381,$J381,$M381)=0,"",IF(TRIM(IF($C381="","Falta l'actuació. ","")&amp;IF($D381="","Falta l'objectiu. ","")&amp;IF($J381="","Falta el tipus de despesa. ","")&amp;IF(AND($J381&lt;&gt;"",$J381&lt;&gt;"Mitjans propis",$J381&lt;&gt;"Altres",$M381=""),"Falta l'import. ","")&amp;IF(AND($J381="Contracte menor a càrrec del RAE",$K381=""),"Falta la partida RAE. ","")&amp;IF(AND($B381&lt;&gt;"",COUNTIF($B$6:$B$705,$B381)&gt;1),"Codi RAE repetit. ","")&amp;IF(AND($B381&lt;&gt;"",$J381&lt;&gt;"",$J381&lt;&gt;"Contracte menor a càrrec del RAE"),"Té codi RAE però no és de tipus RAE. ","")&amp;IF($N381="","Falta l'indicador del Pla. ","")&amp;IF($R381="","Falta el gestor. ","")&amp;IF($S381="","Falta indicar si és recurrent. ",""))="","✔",TRIM(IF($C381="","Falta l'actuació. ","")&amp;IF($D381="","Falta l'objectiu. ","")&amp;IF($J381="","Falta el tipus de despesa. ","")&amp;IF(AND($J381&lt;&gt;"",$J381&lt;&gt;"Mitjans propis",$J381&lt;&gt;"Altres",$M381=""),"Falta l'import. ","")&amp;IF(AND($J381="Contracte menor a càrrec del RAE",$K381=""),"Falta la partida RAE. ","")&amp;IF(AND($B381&lt;&gt;"",COUNTIF($B$6:$B$705,$B381)&gt;1),"Codi RAE repetit. ","")&amp;IF(AND($B381&lt;&gt;"",$J381&lt;&gt;"",$J381&lt;&gt;"Contracte menor a càrrec del RAE"),"Té codi RAE però no és de tipus RAE. ","")&amp;IF($N381="","Falta l'indicador del Pla. ","")&amp;IF($R381="","Falta el gestor. ","")&amp;IF($S381="","Falta indicar si és recurrent. ",""))))</f>
        <v/>
      </c>
    </row>
    <row r="382">
      <c r="A382" s="10">
        <f>IF($D382="","","27_"&amp;IFERROR(INDEX(Objectius!$E$2:$E$183,MATCH($D382,Objectius!$A$2:$A$183,0)),"??")&amp;"_"&amp;TEXT(COUNTIF($I$6:$I382,$I382),"00"))</f>
        <v/>
      </c>
      <c r="B382" s="11" t="n"/>
      <c r="C382" s="11" t="n"/>
      <c r="D382" s="11" t="n"/>
      <c r="E382" s="10">
        <f>IF($D382="","",IFERROR(INDEX(Objectius!$C$2:$C$183,MATCH($D382,Objectius!$A$2:$A$183,0)),"Objectiu no trobat al Pla"))</f>
        <v/>
      </c>
      <c r="F382" s="11" t="n"/>
      <c r="G382" s="11" t="n"/>
      <c r="H382" s="11" t="n"/>
      <c r="I382" s="10">
        <f>IF($D382="","",IFERROR(INDEX(Objectius!$D$2:$D$183,MATCH($D382,Objectius!$A$2:$A$183,0)),""))</f>
        <v/>
      </c>
      <c r="J382" s="11" t="n"/>
      <c r="K382" s="11" t="n"/>
      <c r="L382" s="11" t="n"/>
      <c r="M382" s="12" t="n"/>
      <c r="N382" s="11" t="n"/>
      <c r="O382" s="10">
        <f>IF($N382="","",IFERROR(INDEX('PLA ESTRATÈGIC'!$G$4:$G$452,MATCH($N382,'PLA ESTRATÈGIC'!$Q$4:$Q$452,0)),""))</f>
        <v/>
      </c>
      <c r="P382" s="10">
        <f>IF($N382="","",IFERROR(INDEX('PLA ESTRATÈGIC'!$H$4:$H$452,MATCH($N382,'PLA ESTRATÈGIC'!$Q$4:$Q$452,0)),""))</f>
        <v/>
      </c>
      <c r="Q382" s="13" t="n"/>
      <c r="R382" s="11" t="n"/>
      <c r="S382" s="11" t="n"/>
      <c r="T382" s="11" t="n"/>
      <c r="U382" s="11" t="n"/>
      <c r="V382" s="10">
        <f>IF(COUNTA($C382,$D382,$J382,$M382)=0,"",IF(TRIM(IF($C382="","Falta l'actuació. ","")&amp;IF($D382="","Falta l'objectiu. ","")&amp;IF($J382="","Falta el tipus de despesa. ","")&amp;IF(AND($J382&lt;&gt;"",$J382&lt;&gt;"Mitjans propis",$J382&lt;&gt;"Altres",$M382=""),"Falta l'import. ","")&amp;IF(AND($J382="Contracte menor a càrrec del RAE",$K382=""),"Falta la partida RAE. ","")&amp;IF(AND($B382&lt;&gt;"",COUNTIF($B$6:$B$705,$B382)&gt;1),"Codi RAE repetit. ","")&amp;IF(AND($B382&lt;&gt;"",$J382&lt;&gt;"",$J382&lt;&gt;"Contracte menor a càrrec del RAE"),"Té codi RAE però no és de tipus RAE. ","")&amp;IF($N382="","Falta l'indicador del Pla. ","")&amp;IF($R382="","Falta el gestor. ","")&amp;IF($S382="","Falta indicar si és recurrent. ",""))="","✔",TRIM(IF($C382="","Falta l'actuació. ","")&amp;IF($D382="","Falta l'objectiu. ","")&amp;IF($J382="","Falta el tipus de despesa. ","")&amp;IF(AND($J382&lt;&gt;"",$J382&lt;&gt;"Mitjans propis",$J382&lt;&gt;"Altres",$M382=""),"Falta l'import. ","")&amp;IF(AND($J382="Contracte menor a càrrec del RAE",$K382=""),"Falta la partida RAE. ","")&amp;IF(AND($B382&lt;&gt;"",COUNTIF($B$6:$B$705,$B382)&gt;1),"Codi RAE repetit. ","")&amp;IF(AND($B382&lt;&gt;"",$J382&lt;&gt;"",$J382&lt;&gt;"Contracte menor a càrrec del RAE"),"Té codi RAE però no és de tipus RAE. ","")&amp;IF($N382="","Falta l'indicador del Pla. ","")&amp;IF($R382="","Falta el gestor. ","")&amp;IF($S382="","Falta indicar si és recurrent. ",""))))</f>
        <v/>
      </c>
    </row>
    <row r="383">
      <c r="A383" s="10">
        <f>IF($D383="","","27_"&amp;IFERROR(INDEX(Objectius!$E$2:$E$183,MATCH($D383,Objectius!$A$2:$A$183,0)),"??")&amp;"_"&amp;TEXT(COUNTIF($I$6:$I383,$I383),"00"))</f>
        <v/>
      </c>
      <c r="B383" s="11" t="n"/>
      <c r="C383" s="11" t="n"/>
      <c r="D383" s="11" t="n"/>
      <c r="E383" s="10">
        <f>IF($D383="","",IFERROR(INDEX(Objectius!$C$2:$C$183,MATCH($D383,Objectius!$A$2:$A$183,0)),"Objectiu no trobat al Pla"))</f>
        <v/>
      </c>
      <c r="F383" s="11" t="n"/>
      <c r="G383" s="11" t="n"/>
      <c r="H383" s="11" t="n"/>
      <c r="I383" s="10">
        <f>IF($D383="","",IFERROR(INDEX(Objectius!$D$2:$D$183,MATCH($D383,Objectius!$A$2:$A$183,0)),""))</f>
        <v/>
      </c>
      <c r="J383" s="11" t="n"/>
      <c r="K383" s="11" t="n"/>
      <c r="L383" s="11" t="n"/>
      <c r="M383" s="12" t="n"/>
      <c r="N383" s="11" t="n"/>
      <c r="O383" s="10">
        <f>IF($N383="","",IFERROR(INDEX('PLA ESTRATÈGIC'!$G$4:$G$452,MATCH($N383,'PLA ESTRATÈGIC'!$Q$4:$Q$452,0)),""))</f>
        <v/>
      </c>
      <c r="P383" s="10">
        <f>IF($N383="","",IFERROR(INDEX('PLA ESTRATÈGIC'!$H$4:$H$452,MATCH($N383,'PLA ESTRATÈGIC'!$Q$4:$Q$452,0)),""))</f>
        <v/>
      </c>
      <c r="Q383" s="13" t="n"/>
      <c r="R383" s="11" t="n"/>
      <c r="S383" s="11" t="n"/>
      <c r="T383" s="11" t="n"/>
      <c r="U383" s="11" t="n"/>
      <c r="V383" s="10">
        <f>IF(COUNTA($C383,$D383,$J383,$M383)=0,"",IF(TRIM(IF($C383="","Falta l'actuació. ","")&amp;IF($D383="","Falta l'objectiu. ","")&amp;IF($J383="","Falta el tipus de despesa. ","")&amp;IF(AND($J383&lt;&gt;"",$J383&lt;&gt;"Mitjans propis",$J383&lt;&gt;"Altres",$M383=""),"Falta l'import. ","")&amp;IF(AND($J383="Contracte menor a càrrec del RAE",$K383=""),"Falta la partida RAE. ","")&amp;IF(AND($B383&lt;&gt;"",COUNTIF($B$6:$B$705,$B383)&gt;1),"Codi RAE repetit. ","")&amp;IF(AND($B383&lt;&gt;"",$J383&lt;&gt;"",$J383&lt;&gt;"Contracte menor a càrrec del RAE"),"Té codi RAE però no és de tipus RAE. ","")&amp;IF($N383="","Falta l'indicador del Pla. ","")&amp;IF($R383="","Falta el gestor. ","")&amp;IF($S383="","Falta indicar si és recurrent. ",""))="","✔",TRIM(IF($C383="","Falta l'actuació. ","")&amp;IF($D383="","Falta l'objectiu. ","")&amp;IF($J383="","Falta el tipus de despesa. ","")&amp;IF(AND($J383&lt;&gt;"",$J383&lt;&gt;"Mitjans propis",$J383&lt;&gt;"Altres",$M383=""),"Falta l'import. ","")&amp;IF(AND($J383="Contracte menor a càrrec del RAE",$K383=""),"Falta la partida RAE. ","")&amp;IF(AND($B383&lt;&gt;"",COUNTIF($B$6:$B$705,$B383)&gt;1),"Codi RAE repetit. ","")&amp;IF(AND($B383&lt;&gt;"",$J383&lt;&gt;"",$J383&lt;&gt;"Contracte menor a càrrec del RAE"),"Té codi RAE però no és de tipus RAE. ","")&amp;IF($N383="","Falta l'indicador del Pla. ","")&amp;IF($R383="","Falta el gestor. ","")&amp;IF($S383="","Falta indicar si és recurrent. ",""))))</f>
        <v/>
      </c>
    </row>
    <row r="384">
      <c r="A384" s="10">
        <f>IF($D384="","","27_"&amp;IFERROR(INDEX(Objectius!$E$2:$E$183,MATCH($D384,Objectius!$A$2:$A$183,0)),"??")&amp;"_"&amp;TEXT(COUNTIF($I$6:$I384,$I384),"00"))</f>
        <v/>
      </c>
      <c r="B384" s="11" t="n"/>
      <c r="C384" s="11" t="n"/>
      <c r="D384" s="11" t="n"/>
      <c r="E384" s="10">
        <f>IF($D384="","",IFERROR(INDEX(Objectius!$C$2:$C$183,MATCH($D384,Objectius!$A$2:$A$183,0)),"Objectiu no trobat al Pla"))</f>
        <v/>
      </c>
      <c r="F384" s="11" t="n"/>
      <c r="G384" s="11" t="n"/>
      <c r="H384" s="11" t="n"/>
      <c r="I384" s="10">
        <f>IF($D384="","",IFERROR(INDEX(Objectius!$D$2:$D$183,MATCH($D384,Objectius!$A$2:$A$183,0)),""))</f>
        <v/>
      </c>
      <c r="J384" s="11" t="n"/>
      <c r="K384" s="11" t="n"/>
      <c r="L384" s="11" t="n"/>
      <c r="M384" s="12" t="n"/>
      <c r="N384" s="11" t="n"/>
      <c r="O384" s="10">
        <f>IF($N384="","",IFERROR(INDEX('PLA ESTRATÈGIC'!$G$4:$G$452,MATCH($N384,'PLA ESTRATÈGIC'!$Q$4:$Q$452,0)),""))</f>
        <v/>
      </c>
      <c r="P384" s="10">
        <f>IF($N384="","",IFERROR(INDEX('PLA ESTRATÈGIC'!$H$4:$H$452,MATCH($N384,'PLA ESTRATÈGIC'!$Q$4:$Q$452,0)),""))</f>
        <v/>
      </c>
      <c r="Q384" s="13" t="n"/>
      <c r="R384" s="11" t="n"/>
      <c r="S384" s="11" t="n"/>
      <c r="T384" s="11" t="n"/>
      <c r="U384" s="11" t="n"/>
      <c r="V384" s="10">
        <f>IF(COUNTA($C384,$D384,$J384,$M384)=0,"",IF(TRIM(IF($C384="","Falta l'actuació. ","")&amp;IF($D384="","Falta l'objectiu. ","")&amp;IF($J384="","Falta el tipus de despesa. ","")&amp;IF(AND($J384&lt;&gt;"",$J384&lt;&gt;"Mitjans propis",$J384&lt;&gt;"Altres",$M384=""),"Falta l'import. ","")&amp;IF(AND($J384="Contracte menor a càrrec del RAE",$K384=""),"Falta la partida RAE. ","")&amp;IF(AND($B384&lt;&gt;"",COUNTIF($B$6:$B$705,$B384)&gt;1),"Codi RAE repetit. ","")&amp;IF(AND($B384&lt;&gt;"",$J384&lt;&gt;"",$J384&lt;&gt;"Contracte menor a càrrec del RAE"),"Té codi RAE però no és de tipus RAE. ","")&amp;IF($N384="","Falta l'indicador del Pla. ","")&amp;IF($R384="","Falta el gestor. ","")&amp;IF($S384="","Falta indicar si és recurrent. ",""))="","✔",TRIM(IF($C384="","Falta l'actuació. ","")&amp;IF($D384="","Falta l'objectiu. ","")&amp;IF($J384="","Falta el tipus de despesa. ","")&amp;IF(AND($J384&lt;&gt;"",$J384&lt;&gt;"Mitjans propis",$J384&lt;&gt;"Altres",$M384=""),"Falta l'import. ","")&amp;IF(AND($J384="Contracte menor a càrrec del RAE",$K384=""),"Falta la partida RAE. ","")&amp;IF(AND($B384&lt;&gt;"",COUNTIF($B$6:$B$705,$B384)&gt;1),"Codi RAE repetit. ","")&amp;IF(AND($B384&lt;&gt;"",$J384&lt;&gt;"",$J384&lt;&gt;"Contracte menor a càrrec del RAE"),"Té codi RAE però no és de tipus RAE. ","")&amp;IF($N384="","Falta l'indicador del Pla. ","")&amp;IF($R384="","Falta el gestor. ","")&amp;IF($S384="","Falta indicar si és recurrent. ",""))))</f>
        <v/>
      </c>
    </row>
    <row r="385">
      <c r="A385" s="10">
        <f>IF($D385="","","27_"&amp;IFERROR(INDEX(Objectius!$E$2:$E$183,MATCH($D385,Objectius!$A$2:$A$183,0)),"??")&amp;"_"&amp;TEXT(COUNTIF($I$6:$I385,$I385),"00"))</f>
        <v/>
      </c>
      <c r="B385" s="11" t="n"/>
      <c r="C385" s="11" t="n"/>
      <c r="D385" s="11" t="n"/>
      <c r="E385" s="10">
        <f>IF($D385="","",IFERROR(INDEX(Objectius!$C$2:$C$183,MATCH($D385,Objectius!$A$2:$A$183,0)),"Objectiu no trobat al Pla"))</f>
        <v/>
      </c>
      <c r="F385" s="11" t="n"/>
      <c r="G385" s="11" t="n"/>
      <c r="H385" s="11" t="n"/>
      <c r="I385" s="10">
        <f>IF($D385="","",IFERROR(INDEX(Objectius!$D$2:$D$183,MATCH($D385,Objectius!$A$2:$A$183,0)),""))</f>
        <v/>
      </c>
      <c r="J385" s="11" t="n"/>
      <c r="K385" s="11" t="n"/>
      <c r="L385" s="11" t="n"/>
      <c r="M385" s="12" t="n"/>
      <c r="N385" s="11" t="n"/>
      <c r="O385" s="10">
        <f>IF($N385="","",IFERROR(INDEX('PLA ESTRATÈGIC'!$G$4:$G$452,MATCH($N385,'PLA ESTRATÈGIC'!$Q$4:$Q$452,0)),""))</f>
        <v/>
      </c>
      <c r="P385" s="10">
        <f>IF($N385="","",IFERROR(INDEX('PLA ESTRATÈGIC'!$H$4:$H$452,MATCH($N385,'PLA ESTRATÈGIC'!$Q$4:$Q$452,0)),""))</f>
        <v/>
      </c>
      <c r="Q385" s="13" t="n"/>
      <c r="R385" s="11" t="n"/>
      <c r="S385" s="11" t="n"/>
      <c r="T385" s="11" t="n"/>
      <c r="U385" s="11" t="n"/>
      <c r="V385" s="10">
        <f>IF(COUNTA($C385,$D385,$J385,$M385)=0,"",IF(TRIM(IF($C385="","Falta l'actuació. ","")&amp;IF($D385="","Falta l'objectiu. ","")&amp;IF($J385="","Falta el tipus de despesa. ","")&amp;IF(AND($J385&lt;&gt;"",$J385&lt;&gt;"Mitjans propis",$J385&lt;&gt;"Altres",$M385=""),"Falta l'import. ","")&amp;IF(AND($J385="Contracte menor a càrrec del RAE",$K385=""),"Falta la partida RAE. ","")&amp;IF(AND($B385&lt;&gt;"",COUNTIF($B$6:$B$705,$B385)&gt;1),"Codi RAE repetit. ","")&amp;IF(AND($B385&lt;&gt;"",$J385&lt;&gt;"",$J385&lt;&gt;"Contracte menor a càrrec del RAE"),"Té codi RAE però no és de tipus RAE. ","")&amp;IF($N385="","Falta l'indicador del Pla. ","")&amp;IF($R385="","Falta el gestor. ","")&amp;IF($S385="","Falta indicar si és recurrent. ",""))="","✔",TRIM(IF($C385="","Falta l'actuació. ","")&amp;IF($D385="","Falta l'objectiu. ","")&amp;IF($J385="","Falta el tipus de despesa. ","")&amp;IF(AND($J385&lt;&gt;"",$J385&lt;&gt;"Mitjans propis",$J385&lt;&gt;"Altres",$M385=""),"Falta l'import. ","")&amp;IF(AND($J385="Contracte menor a càrrec del RAE",$K385=""),"Falta la partida RAE. ","")&amp;IF(AND($B385&lt;&gt;"",COUNTIF($B$6:$B$705,$B385)&gt;1),"Codi RAE repetit. ","")&amp;IF(AND($B385&lt;&gt;"",$J385&lt;&gt;"",$J385&lt;&gt;"Contracte menor a càrrec del RAE"),"Té codi RAE però no és de tipus RAE. ","")&amp;IF($N385="","Falta l'indicador del Pla. ","")&amp;IF($R385="","Falta el gestor. ","")&amp;IF($S385="","Falta indicar si és recurrent. ",""))))</f>
        <v/>
      </c>
    </row>
    <row r="386">
      <c r="A386" s="10">
        <f>IF($D386="","","27_"&amp;IFERROR(INDEX(Objectius!$E$2:$E$183,MATCH($D386,Objectius!$A$2:$A$183,0)),"??")&amp;"_"&amp;TEXT(COUNTIF($I$6:$I386,$I386),"00"))</f>
        <v/>
      </c>
      <c r="B386" s="11" t="n"/>
      <c r="C386" s="11" t="n"/>
      <c r="D386" s="11" t="n"/>
      <c r="E386" s="10">
        <f>IF($D386="","",IFERROR(INDEX(Objectius!$C$2:$C$183,MATCH($D386,Objectius!$A$2:$A$183,0)),"Objectiu no trobat al Pla"))</f>
        <v/>
      </c>
      <c r="F386" s="11" t="n"/>
      <c r="G386" s="11" t="n"/>
      <c r="H386" s="11" t="n"/>
      <c r="I386" s="10">
        <f>IF($D386="","",IFERROR(INDEX(Objectius!$D$2:$D$183,MATCH($D386,Objectius!$A$2:$A$183,0)),""))</f>
        <v/>
      </c>
      <c r="J386" s="11" t="n"/>
      <c r="K386" s="11" t="n"/>
      <c r="L386" s="11" t="n"/>
      <c r="M386" s="12" t="n"/>
      <c r="N386" s="11" t="n"/>
      <c r="O386" s="10">
        <f>IF($N386="","",IFERROR(INDEX('PLA ESTRATÈGIC'!$G$4:$G$452,MATCH($N386,'PLA ESTRATÈGIC'!$Q$4:$Q$452,0)),""))</f>
        <v/>
      </c>
      <c r="P386" s="10">
        <f>IF($N386="","",IFERROR(INDEX('PLA ESTRATÈGIC'!$H$4:$H$452,MATCH($N386,'PLA ESTRATÈGIC'!$Q$4:$Q$452,0)),""))</f>
        <v/>
      </c>
      <c r="Q386" s="13" t="n"/>
      <c r="R386" s="11" t="n"/>
      <c r="S386" s="11" t="n"/>
      <c r="T386" s="11" t="n"/>
      <c r="U386" s="11" t="n"/>
      <c r="V386" s="10">
        <f>IF(COUNTA($C386,$D386,$J386,$M386)=0,"",IF(TRIM(IF($C386="","Falta l'actuació. ","")&amp;IF($D386="","Falta l'objectiu. ","")&amp;IF($J386="","Falta el tipus de despesa. ","")&amp;IF(AND($J386&lt;&gt;"",$J386&lt;&gt;"Mitjans propis",$J386&lt;&gt;"Altres",$M386=""),"Falta l'import. ","")&amp;IF(AND($J386="Contracte menor a càrrec del RAE",$K386=""),"Falta la partida RAE. ","")&amp;IF(AND($B386&lt;&gt;"",COUNTIF($B$6:$B$705,$B386)&gt;1),"Codi RAE repetit. ","")&amp;IF(AND($B386&lt;&gt;"",$J386&lt;&gt;"",$J386&lt;&gt;"Contracte menor a càrrec del RAE"),"Té codi RAE però no és de tipus RAE. ","")&amp;IF($N386="","Falta l'indicador del Pla. ","")&amp;IF($R386="","Falta el gestor. ","")&amp;IF($S386="","Falta indicar si és recurrent. ",""))="","✔",TRIM(IF($C386="","Falta l'actuació. ","")&amp;IF($D386="","Falta l'objectiu. ","")&amp;IF($J386="","Falta el tipus de despesa. ","")&amp;IF(AND($J386&lt;&gt;"",$J386&lt;&gt;"Mitjans propis",$J386&lt;&gt;"Altres",$M386=""),"Falta l'import. ","")&amp;IF(AND($J386="Contracte menor a càrrec del RAE",$K386=""),"Falta la partida RAE. ","")&amp;IF(AND($B386&lt;&gt;"",COUNTIF($B$6:$B$705,$B386)&gt;1),"Codi RAE repetit. ","")&amp;IF(AND($B386&lt;&gt;"",$J386&lt;&gt;"",$J386&lt;&gt;"Contracte menor a càrrec del RAE"),"Té codi RAE però no és de tipus RAE. ","")&amp;IF($N386="","Falta l'indicador del Pla. ","")&amp;IF($R386="","Falta el gestor. ","")&amp;IF($S386="","Falta indicar si és recurrent. ",""))))</f>
        <v/>
      </c>
    </row>
    <row r="387">
      <c r="A387" s="10">
        <f>IF($D387="","","27_"&amp;IFERROR(INDEX(Objectius!$E$2:$E$183,MATCH($D387,Objectius!$A$2:$A$183,0)),"??")&amp;"_"&amp;TEXT(COUNTIF($I$6:$I387,$I387),"00"))</f>
        <v/>
      </c>
      <c r="B387" s="11" t="n"/>
      <c r="C387" s="11" t="n"/>
      <c r="D387" s="11" t="n"/>
      <c r="E387" s="10">
        <f>IF($D387="","",IFERROR(INDEX(Objectius!$C$2:$C$183,MATCH($D387,Objectius!$A$2:$A$183,0)),"Objectiu no trobat al Pla"))</f>
        <v/>
      </c>
      <c r="F387" s="11" t="n"/>
      <c r="G387" s="11" t="n"/>
      <c r="H387" s="11" t="n"/>
      <c r="I387" s="10">
        <f>IF($D387="","",IFERROR(INDEX(Objectius!$D$2:$D$183,MATCH($D387,Objectius!$A$2:$A$183,0)),""))</f>
        <v/>
      </c>
      <c r="J387" s="11" t="n"/>
      <c r="K387" s="11" t="n"/>
      <c r="L387" s="11" t="n"/>
      <c r="M387" s="12" t="n"/>
      <c r="N387" s="11" t="n"/>
      <c r="O387" s="10">
        <f>IF($N387="","",IFERROR(INDEX('PLA ESTRATÈGIC'!$G$4:$G$452,MATCH($N387,'PLA ESTRATÈGIC'!$Q$4:$Q$452,0)),""))</f>
        <v/>
      </c>
      <c r="P387" s="10">
        <f>IF($N387="","",IFERROR(INDEX('PLA ESTRATÈGIC'!$H$4:$H$452,MATCH($N387,'PLA ESTRATÈGIC'!$Q$4:$Q$452,0)),""))</f>
        <v/>
      </c>
      <c r="Q387" s="13" t="n"/>
      <c r="R387" s="11" t="n"/>
      <c r="S387" s="11" t="n"/>
      <c r="T387" s="11" t="n"/>
      <c r="U387" s="11" t="n"/>
      <c r="V387" s="10">
        <f>IF(COUNTA($C387,$D387,$J387,$M387)=0,"",IF(TRIM(IF($C387="","Falta l'actuació. ","")&amp;IF($D387="","Falta l'objectiu. ","")&amp;IF($J387="","Falta el tipus de despesa. ","")&amp;IF(AND($J387&lt;&gt;"",$J387&lt;&gt;"Mitjans propis",$J387&lt;&gt;"Altres",$M387=""),"Falta l'import. ","")&amp;IF(AND($J387="Contracte menor a càrrec del RAE",$K387=""),"Falta la partida RAE. ","")&amp;IF(AND($B387&lt;&gt;"",COUNTIF($B$6:$B$705,$B387)&gt;1),"Codi RAE repetit. ","")&amp;IF(AND($B387&lt;&gt;"",$J387&lt;&gt;"",$J387&lt;&gt;"Contracte menor a càrrec del RAE"),"Té codi RAE però no és de tipus RAE. ","")&amp;IF($N387="","Falta l'indicador del Pla. ","")&amp;IF($R387="","Falta el gestor. ","")&amp;IF($S387="","Falta indicar si és recurrent. ",""))="","✔",TRIM(IF($C387="","Falta l'actuació. ","")&amp;IF($D387="","Falta l'objectiu. ","")&amp;IF($J387="","Falta el tipus de despesa. ","")&amp;IF(AND($J387&lt;&gt;"",$J387&lt;&gt;"Mitjans propis",$J387&lt;&gt;"Altres",$M387=""),"Falta l'import. ","")&amp;IF(AND($J387="Contracte menor a càrrec del RAE",$K387=""),"Falta la partida RAE. ","")&amp;IF(AND($B387&lt;&gt;"",COUNTIF($B$6:$B$705,$B387)&gt;1),"Codi RAE repetit. ","")&amp;IF(AND($B387&lt;&gt;"",$J387&lt;&gt;"",$J387&lt;&gt;"Contracte menor a càrrec del RAE"),"Té codi RAE però no és de tipus RAE. ","")&amp;IF($N387="","Falta l'indicador del Pla. ","")&amp;IF($R387="","Falta el gestor. ","")&amp;IF($S387="","Falta indicar si és recurrent. ",""))))</f>
        <v/>
      </c>
    </row>
    <row r="388">
      <c r="A388" s="10">
        <f>IF($D388="","","27_"&amp;IFERROR(INDEX(Objectius!$E$2:$E$183,MATCH($D388,Objectius!$A$2:$A$183,0)),"??")&amp;"_"&amp;TEXT(COUNTIF($I$6:$I388,$I388),"00"))</f>
        <v/>
      </c>
      <c r="B388" s="11" t="n"/>
      <c r="C388" s="11" t="n"/>
      <c r="D388" s="11" t="n"/>
      <c r="E388" s="10">
        <f>IF($D388="","",IFERROR(INDEX(Objectius!$C$2:$C$183,MATCH($D388,Objectius!$A$2:$A$183,0)),"Objectiu no trobat al Pla"))</f>
        <v/>
      </c>
      <c r="F388" s="11" t="n"/>
      <c r="G388" s="11" t="n"/>
      <c r="H388" s="11" t="n"/>
      <c r="I388" s="10">
        <f>IF($D388="","",IFERROR(INDEX(Objectius!$D$2:$D$183,MATCH($D388,Objectius!$A$2:$A$183,0)),""))</f>
        <v/>
      </c>
      <c r="J388" s="11" t="n"/>
      <c r="K388" s="11" t="n"/>
      <c r="L388" s="11" t="n"/>
      <c r="M388" s="12" t="n"/>
      <c r="N388" s="11" t="n"/>
      <c r="O388" s="10">
        <f>IF($N388="","",IFERROR(INDEX('PLA ESTRATÈGIC'!$G$4:$G$452,MATCH($N388,'PLA ESTRATÈGIC'!$Q$4:$Q$452,0)),""))</f>
        <v/>
      </c>
      <c r="P388" s="10">
        <f>IF($N388="","",IFERROR(INDEX('PLA ESTRATÈGIC'!$H$4:$H$452,MATCH($N388,'PLA ESTRATÈGIC'!$Q$4:$Q$452,0)),""))</f>
        <v/>
      </c>
      <c r="Q388" s="13" t="n"/>
      <c r="R388" s="11" t="n"/>
      <c r="S388" s="11" t="n"/>
      <c r="T388" s="11" t="n"/>
      <c r="U388" s="11" t="n"/>
      <c r="V388" s="10">
        <f>IF(COUNTA($C388,$D388,$J388,$M388)=0,"",IF(TRIM(IF($C388="","Falta l'actuació. ","")&amp;IF($D388="","Falta l'objectiu. ","")&amp;IF($J388="","Falta el tipus de despesa. ","")&amp;IF(AND($J388&lt;&gt;"",$J388&lt;&gt;"Mitjans propis",$J388&lt;&gt;"Altres",$M388=""),"Falta l'import. ","")&amp;IF(AND($J388="Contracte menor a càrrec del RAE",$K388=""),"Falta la partida RAE. ","")&amp;IF(AND($B388&lt;&gt;"",COUNTIF($B$6:$B$705,$B388)&gt;1),"Codi RAE repetit. ","")&amp;IF(AND($B388&lt;&gt;"",$J388&lt;&gt;"",$J388&lt;&gt;"Contracte menor a càrrec del RAE"),"Té codi RAE però no és de tipus RAE. ","")&amp;IF($N388="","Falta l'indicador del Pla. ","")&amp;IF($R388="","Falta el gestor. ","")&amp;IF($S388="","Falta indicar si és recurrent. ",""))="","✔",TRIM(IF($C388="","Falta l'actuació. ","")&amp;IF($D388="","Falta l'objectiu. ","")&amp;IF($J388="","Falta el tipus de despesa. ","")&amp;IF(AND($J388&lt;&gt;"",$J388&lt;&gt;"Mitjans propis",$J388&lt;&gt;"Altres",$M388=""),"Falta l'import. ","")&amp;IF(AND($J388="Contracte menor a càrrec del RAE",$K388=""),"Falta la partida RAE. ","")&amp;IF(AND($B388&lt;&gt;"",COUNTIF($B$6:$B$705,$B388)&gt;1),"Codi RAE repetit. ","")&amp;IF(AND($B388&lt;&gt;"",$J388&lt;&gt;"",$J388&lt;&gt;"Contracte menor a càrrec del RAE"),"Té codi RAE però no és de tipus RAE. ","")&amp;IF($N388="","Falta l'indicador del Pla. ","")&amp;IF($R388="","Falta el gestor. ","")&amp;IF($S388="","Falta indicar si és recurrent. ",""))))</f>
        <v/>
      </c>
    </row>
    <row r="389">
      <c r="A389" s="10">
        <f>IF($D389="","","27_"&amp;IFERROR(INDEX(Objectius!$E$2:$E$183,MATCH($D389,Objectius!$A$2:$A$183,0)),"??")&amp;"_"&amp;TEXT(COUNTIF($I$6:$I389,$I389),"00"))</f>
        <v/>
      </c>
      <c r="B389" s="11" t="n"/>
      <c r="C389" s="11" t="n"/>
      <c r="D389" s="11" t="n"/>
      <c r="E389" s="10">
        <f>IF($D389="","",IFERROR(INDEX(Objectius!$C$2:$C$183,MATCH($D389,Objectius!$A$2:$A$183,0)),"Objectiu no trobat al Pla"))</f>
        <v/>
      </c>
      <c r="F389" s="11" t="n"/>
      <c r="G389" s="11" t="n"/>
      <c r="H389" s="11" t="n"/>
      <c r="I389" s="10">
        <f>IF($D389="","",IFERROR(INDEX(Objectius!$D$2:$D$183,MATCH($D389,Objectius!$A$2:$A$183,0)),""))</f>
        <v/>
      </c>
      <c r="J389" s="11" t="n"/>
      <c r="K389" s="11" t="n"/>
      <c r="L389" s="11" t="n"/>
      <c r="M389" s="12" t="n"/>
      <c r="N389" s="11" t="n"/>
      <c r="O389" s="10">
        <f>IF($N389="","",IFERROR(INDEX('PLA ESTRATÈGIC'!$G$4:$G$452,MATCH($N389,'PLA ESTRATÈGIC'!$Q$4:$Q$452,0)),""))</f>
        <v/>
      </c>
      <c r="P389" s="10">
        <f>IF($N389="","",IFERROR(INDEX('PLA ESTRATÈGIC'!$H$4:$H$452,MATCH($N389,'PLA ESTRATÈGIC'!$Q$4:$Q$452,0)),""))</f>
        <v/>
      </c>
      <c r="Q389" s="13" t="n"/>
      <c r="R389" s="11" t="n"/>
      <c r="S389" s="11" t="n"/>
      <c r="T389" s="11" t="n"/>
      <c r="U389" s="11" t="n"/>
      <c r="V389" s="10">
        <f>IF(COUNTA($C389,$D389,$J389,$M389)=0,"",IF(TRIM(IF($C389="","Falta l'actuació. ","")&amp;IF($D389="","Falta l'objectiu. ","")&amp;IF($J389="","Falta el tipus de despesa. ","")&amp;IF(AND($J389&lt;&gt;"",$J389&lt;&gt;"Mitjans propis",$J389&lt;&gt;"Altres",$M389=""),"Falta l'import. ","")&amp;IF(AND($J389="Contracte menor a càrrec del RAE",$K389=""),"Falta la partida RAE. ","")&amp;IF(AND($B389&lt;&gt;"",COUNTIF($B$6:$B$705,$B389)&gt;1),"Codi RAE repetit. ","")&amp;IF(AND($B389&lt;&gt;"",$J389&lt;&gt;"",$J389&lt;&gt;"Contracte menor a càrrec del RAE"),"Té codi RAE però no és de tipus RAE. ","")&amp;IF($N389="","Falta l'indicador del Pla. ","")&amp;IF($R389="","Falta el gestor. ","")&amp;IF($S389="","Falta indicar si és recurrent. ",""))="","✔",TRIM(IF($C389="","Falta l'actuació. ","")&amp;IF($D389="","Falta l'objectiu. ","")&amp;IF($J389="","Falta el tipus de despesa. ","")&amp;IF(AND($J389&lt;&gt;"",$J389&lt;&gt;"Mitjans propis",$J389&lt;&gt;"Altres",$M389=""),"Falta l'import. ","")&amp;IF(AND($J389="Contracte menor a càrrec del RAE",$K389=""),"Falta la partida RAE. ","")&amp;IF(AND($B389&lt;&gt;"",COUNTIF($B$6:$B$705,$B389)&gt;1),"Codi RAE repetit. ","")&amp;IF(AND($B389&lt;&gt;"",$J389&lt;&gt;"",$J389&lt;&gt;"Contracte menor a càrrec del RAE"),"Té codi RAE però no és de tipus RAE. ","")&amp;IF($N389="","Falta l'indicador del Pla. ","")&amp;IF($R389="","Falta el gestor. ","")&amp;IF($S389="","Falta indicar si és recurrent. ",""))))</f>
        <v/>
      </c>
    </row>
    <row r="390">
      <c r="A390" s="10">
        <f>IF($D390="","","27_"&amp;IFERROR(INDEX(Objectius!$E$2:$E$183,MATCH($D390,Objectius!$A$2:$A$183,0)),"??")&amp;"_"&amp;TEXT(COUNTIF($I$6:$I390,$I390),"00"))</f>
        <v/>
      </c>
      <c r="B390" s="11" t="n"/>
      <c r="C390" s="11" t="n"/>
      <c r="D390" s="11" t="n"/>
      <c r="E390" s="10">
        <f>IF($D390="","",IFERROR(INDEX(Objectius!$C$2:$C$183,MATCH($D390,Objectius!$A$2:$A$183,0)),"Objectiu no trobat al Pla"))</f>
        <v/>
      </c>
      <c r="F390" s="11" t="n"/>
      <c r="G390" s="11" t="n"/>
      <c r="H390" s="11" t="n"/>
      <c r="I390" s="10">
        <f>IF($D390="","",IFERROR(INDEX(Objectius!$D$2:$D$183,MATCH($D390,Objectius!$A$2:$A$183,0)),""))</f>
        <v/>
      </c>
      <c r="J390" s="11" t="n"/>
      <c r="K390" s="11" t="n"/>
      <c r="L390" s="11" t="n"/>
      <c r="M390" s="12" t="n"/>
      <c r="N390" s="11" t="n"/>
      <c r="O390" s="10">
        <f>IF($N390="","",IFERROR(INDEX('PLA ESTRATÈGIC'!$G$4:$G$452,MATCH($N390,'PLA ESTRATÈGIC'!$Q$4:$Q$452,0)),""))</f>
        <v/>
      </c>
      <c r="P390" s="10">
        <f>IF($N390="","",IFERROR(INDEX('PLA ESTRATÈGIC'!$H$4:$H$452,MATCH($N390,'PLA ESTRATÈGIC'!$Q$4:$Q$452,0)),""))</f>
        <v/>
      </c>
      <c r="Q390" s="13" t="n"/>
      <c r="R390" s="11" t="n"/>
      <c r="S390" s="11" t="n"/>
      <c r="T390" s="11" t="n"/>
      <c r="U390" s="11" t="n"/>
      <c r="V390" s="10">
        <f>IF(COUNTA($C390,$D390,$J390,$M390)=0,"",IF(TRIM(IF($C390="","Falta l'actuació. ","")&amp;IF($D390="","Falta l'objectiu. ","")&amp;IF($J390="","Falta el tipus de despesa. ","")&amp;IF(AND($J390&lt;&gt;"",$J390&lt;&gt;"Mitjans propis",$J390&lt;&gt;"Altres",$M390=""),"Falta l'import. ","")&amp;IF(AND($J390="Contracte menor a càrrec del RAE",$K390=""),"Falta la partida RAE. ","")&amp;IF(AND($B390&lt;&gt;"",COUNTIF($B$6:$B$705,$B390)&gt;1),"Codi RAE repetit. ","")&amp;IF(AND($B390&lt;&gt;"",$J390&lt;&gt;"",$J390&lt;&gt;"Contracte menor a càrrec del RAE"),"Té codi RAE però no és de tipus RAE. ","")&amp;IF($N390="","Falta l'indicador del Pla. ","")&amp;IF($R390="","Falta el gestor. ","")&amp;IF($S390="","Falta indicar si és recurrent. ",""))="","✔",TRIM(IF($C390="","Falta l'actuació. ","")&amp;IF($D390="","Falta l'objectiu. ","")&amp;IF($J390="","Falta el tipus de despesa. ","")&amp;IF(AND($J390&lt;&gt;"",$J390&lt;&gt;"Mitjans propis",$J390&lt;&gt;"Altres",$M390=""),"Falta l'import. ","")&amp;IF(AND($J390="Contracte menor a càrrec del RAE",$K390=""),"Falta la partida RAE. ","")&amp;IF(AND($B390&lt;&gt;"",COUNTIF($B$6:$B$705,$B390)&gt;1),"Codi RAE repetit. ","")&amp;IF(AND($B390&lt;&gt;"",$J390&lt;&gt;"",$J390&lt;&gt;"Contracte menor a càrrec del RAE"),"Té codi RAE però no és de tipus RAE. ","")&amp;IF($N390="","Falta l'indicador del Pla. ","")&amp;IF($R390="","Falta el gestor. ","")&amp;IF($S390="","Falta indicar si és recurrent. ",""))))</f>
        <v/>
      </c>
    </row>
    <row r="391">
      <c r="A391" s="10">
        <f>IF($D391="","","27_"&amp;IFERROR(INDEX(Objectius!$E$2:$E$183,MATCH($D391,Objectius!$A$2:$A$183,0)),"??")&amp;"_"&amp;TEXT(COUNTIF($I$6:$I391,$I391),"00"))</f>
        <v/>
      </c>
      <c r="B391" s="11" t="n"/>
      <c r="C391" s="11" t="n"/>
      <c r="D391" s="11" t="n"/>
      <c r="E391" s="10">
        <f>IF($D391="","",IFERROR(INDEX(Objectius!$C$2:$C$183,MATCH($D391,Objectius!$A$2:$A$183,0)),"Objectiu no trobat al Pla"))</f>
        <v/>
      </c>
      <c r="F391" s="11" t="n"/>
      <c r="G391" s="11" t="n"/>
      <c r="H391" s="11" t="n"/>
      <c r="I391" s="10">
        <f>IF($D391="","",IFERROR(INDEX(Objectius!$D$2:$D$183,MATCH($D391,Objectius!$A$2:$A$183,0)),""))</f>
        <v/>
      </c>
      <c r="J391" s="11" t="n"/>
      <c r="K391" s="11" t="n"/>
      <c r="L391" s="11" t="n"/>
      <c r="M391" s="12" t="n"/>
      <c r="N391" s="11" t="n"/>
      <c r="O391" s="10">
        <f>IF($N391="","",IFERROR(INDEX('PLA ESTRATÈGIC'!$G$4:$G$452,MATCH($N391,'PLA ESTRATÈGIC'!$Q$4:$Q$452,0)),""))</f>
        <v/>
      </c>
      <c r="P391" s="10">
        <f>IF($N391="","",IFERROR(INDEX('PLA ESTRATÈGIC'!$H$4:$H$452,MATCH($N391,'PLA ESTRATÈGIC'!$Q$4:$Q$452,0)),""))</f>
        <v/>
      </c>
      <c r="Q391" s="13" t="n"/>
      <c r="R391" s="11" t="n"/>
      <c r="S391" s="11" t="n"/>
      <c r="T391" s="11" t="n"/>
      <c r="U391" s="11" t="n"/>
      <c r="V391" s="10">
        <f>IF(COUNTA($C391,$D391,$J391,$M391)=0,"",IF(TRIM(IF($C391="","Falta l'actuació. ","")&amp;IF($D391="","Falta l'objectiu. ","")&amp;IF($J391="","Falta el tipus de despesa. ","")&amp;IF(AND($J391&lt;&gt;"",$J391&lt;&gt;"Mitjans propis",$J391&lt;&gt;"Altres",$M391=""),"Falta l'import. ","")&amp;IF(AND($J391="Contracte menor a càrrec del RAE",$K391=""),"Falta la partida RAE. ","")&amp;IF(AND($B391&lt;&gt;"",COUNTIF($B$6:$B$705,$B391)&gt;1),"Codi RAE repetit. ","")&amp;IF(AND($B391&lt;&gt;"",$J391&lt;&gt;"",$J391&lt;&gt;"Contracte menor a càrrec del RAE"),"Té codi RAE però no és de tipus RAE. ","")&amp;IF($N391="","Falta l'indicador del Pla. ","")&amp;IF($R391="","Falta el gestor. ","")&amp;IF($S391="","Falta indicar si és recurrent. ",""))="","✔",TRIM(IF($C391="","Falta l'actuació. ","")&amp;IF($D391="","Falta l'objectiu. ","")&amp;IF($J391="","Falta el tipus de despesa. ","")&amp;IF(AND($J391&lt;&gt;"",$J391&lt;&gt;"Mitjans propis",$J391&lt;&gt;"Altres",$M391=""),"Falta l'import. ","")&amp;IF(AND($J391="Contracte menor a càrrec del RAE",$K391=""),"Falta la partida RAE. ","")&amp;IF(AND($B391&lt;&gt;"",COUNTIF($B$6:$B$705,$B391)&gt;1),"Codi RAE repetit. ","")&amp;IF(AND($B391&lt;&gt;"",$J391&lt;&gt;"",$J391&lt;&gt;"Contracte menor a càrrec del RAE"),"Té codi RAE però no és de tipus RAE. ","")&amp;IF($N391="","Falta l'indicador del Pla. ","")&amp;IF($R391="","Falta el gestor. ","")&amp;IF($S391="","Falta indicar si és recurrent. ",""))))</f>
        <v/>
      </c>
    </row>
    <row r="392">
      <c r="A392" s="10">
        <f>IF($D392="","","27_"&amp;IFERROR(INDEX(Objectius!$E$2:$E$183,MATCH($D392,Objectius!$A$2:$A$183,0)),"??")&amp;"_"&amp;TEXT(COUNTIF($I$6:$I392,$I392),"00"))</f>
        <v/>
      </c>
      <c r="B392" s="11" t="n"/>
      <c r="C392" s="11" t="n"/>
      <c r="D392" s="11" t="n"/>
      <c r="E392" s="10">
        <f>IF($D392="","",IFERROR(INDEX(Objectius!$C$2:$C$183,MATCH($D392,Objectius!$A$2:$A$183,0)),"Objectiu no trobat al Pla"))</f>
        <v/>
      </c>
      <c r="F392" s="11" t="n"/>
      <c r="G392" s="11" t="n"/>
      <c r="H392" s="11" t="n"/>
      <c r="I392" s="10">
        <f>IF($D392="","",IFERROR(INDEX(Objectius!$D$2:$D$183,MATCH($D392,Objectius!$A$2:$A$183,0)),""))</f>
        <v/>
      </c>
      <c r="J392" s="11" t="n"/>
      <c r="K392" s="11" t="n"/>
      <c r="L392" s="11" t="n"/>
      <c r="M392" s="12" t="n"/>
      <c r="N392" s="11" t="n"/>
      <c r="O392" s="10">
        <f>IF($N392="","",IFERROR(INDEX('PLA ESTRATÈGIC'!$G$4:$G$452,MATCH($N392,'PLA ESTRATÈGIC'!$Q$4:$Q$452,0)),""))</f>
        <v/>
      </c>
      <c r="P392" s="10">
        <f>IF($N392="","",IFERROR(INDEX('PLA ESTRATÈGIC'!$H$4:$H$452,MATCH($N392,'PLA ESTRATÈGIC'!$Q$4:$Q$452,0)),""))</f>
        <v/>
      </c>
      <c r="Q392" s="13" t="n"/>
      <c r="R392" s="11" t="n"/>
      <c r="S392" s="11" t="n"/>
      <c r="T392" s="11" t="n"/>
      <c r="U392" s="11" t="n"/>
      <c r="V392" s="10">
        <f>IF(COUNTA($C392,$D392,$J392,$M392)=0,"",IF(TRIM(IF($C392="","Falta l'actuació. ","")&amp;IF($D392="","Falta l'objectiu. ","")&amp;IF($J392="","Falta el tipus de despesa. ","")&amp;IF(AND($J392&lt;&gt;"",$J392&lt;&gt;"Mitjans propis",$J392&lt;&gt;"Altres",$M392=""),"Falta l'import. ","")&amp;IF(AND($J392="Contracte menor a càrrec del RAE",$K392=""),"Falta la partida RAE. ","")&amp;IF(AND($B392&lt;&gt;"",COUNTIF($B$6:$B$705,$B392)&gt;1),"Codi RAE repetit. ","")&amp;IF(AND($B392&lt;&gt;"",$J392&lt;&gt;"",$J392&lt;&gt;"Contracte menor a càrrec del RAE"),"Té codi RAE però no és de tipus RAE. ","")&amp;IF($N392="","Falta l'indicador del Pla. ","")&amp;IF($R392="","Falta el gestor. ","")&amp;IF($S392="","Falta indicar si és recurrent. ",""))="","✔",TRIM(IF($C392="","Falta l'actuació. ","")&amp;IF($D392="","Falta l'objectiu. ","")&amp;IF($J392="","Falta el tipus de despesa. ","")&amp;IF(AND($J392&lt;&gt;"",$J392&lt;&gt;"Mitjans propis",$J392&lt;&gt;"Altres",$M392=""),"Falta l'import. ","")&amp;IF(AND($J392="Contracte menor a càrrec del RAE",$K392=""),"Falta la partida RAE. ","")&amp;IF(AND($B392&lt;&gt;"",COUNTIF($B$6:$B$705,$B392)&gt;1),"Codi RAE repetit. ","")&amp;IF(AND($B392&lt;&gt;"",$J392&lt;&gt;"",$J392&lt;&gt;"Contracte menor a càrrec del RAE"),"Té codi RAE però no és de tipus RAE. ","")&amp;IF($N392="","Falta l'indicador del Pla. ","")&amp;IF($R392="","Falta el gestor. ","")&amp;IF($S392="","Falta indicar si és recurrent. ",""))))</f>
        <v/>
      </c>
    </row>
    <row r="393">
      <c r="A393" s="10">
        <f>IF($D393="","","27_"&amp;IFERROR(INDEX(Objectius!$E$2:$E$183,MATCH($D393,Objectius!$A$2:$A$183,0)),"??")&amp;"_"&amp;TEXT(COUNTIF($I$6:$I393,$I393),"00"))</f>
        <v/>
      </c>
      <c r="B393" s="11" t="n"/>
      <c r="C393" s="11" t="n"/>
      <c r="D393" s="11" t="n"/>
      <c r="E393" s="10">
        <f>IF($D393="","",IFERROR(INDEX(Objectius!$C$2:$C$183,MATCH($D393,Objectius!$A$2:$A$183,0)),"Objectiu no trobat al Pla"))</f>
        <v/>
      </c>
      <c r="F393" s="11" t="n"/>
      <c r="G393" s="11" t="n"/>
      <c r="H393" s="11" t="n"/>
      <c r="I393" s="10">
        <f>IF($D393="","",IFERROR(INDEX(Objectius!$D$2:$D$183,MATCH($D393,Objectius!$A$2:$A$183,0)),""))</f>
        <v/>
      </c>
      <c r="J393" s="11" t="n"/>
      <c r="K393" s="11" t="n"/>
      <c r="L393" s="11" t="n"/>
      <c r="M393" s="12" t="n"/>
      <c r="N393" s="11" t="n"/>
      <c r="O393" s="10">
        <f>IF($N393="","",IFERROR(INDEX('PLA ESTRATÈGIC'!$G$4:$G$452,MATCH($N393,'PLA ESTRATÈGIC'!$Q$4:$Q$452,0)),""))</f>
        <v/>
      </c>
      <c r="P393" s="10">
        <f>IF($N393="","",IFERROR(INDEX('PLA ESTRATÈGIC'!$H$4:$H$452,MATCH($N393,'PLA ESTRATÈGIC'!$Q$4:$Q$452,0)),""))</f>
        <v/>
      </c>
      <c r="Q393" s="13" t="n"/>
      <c r="R393" s="11" t="n"/>
      <c r="S393" s="11" t="n"/>
      <c r="T393" s="11" t="n"/>
      <c r="U393" s="11" t="n"/>
      <c r="V393" s="10">
        <f>IF(COUNTA($C393,$D393,$J393,$M393)=0,"",IF(TRIM(IF($C393="","Falta l'actuació. ","")&amp;IF($D393="","Falta l'objectiu. ","")&amp;IF($J393="","Falta el tipus de despesa. ","")&amp;IF(AND($J393&lt;&gt;"",$J393&lt;&gt;"Mitjans propis",$J393&lt;&gt;"Altres",$M393=""),"Falta l'import. ","")&amp;IF(AND($J393="Contracte menor a càrrec del RAE",$K393=""),"Falta la partida RAE. ","")&amp;IF(AND($B393&lt;&gt;"",COUNTIF($B$6:$B$705,$B393)&gt;1),"Codi RAE repetit. ","")&amp;IF(AND($B393&lt;&gt;"",$J393&lt;&gt;"",$J393&lt;&gt;"Contracte menor a càrrec del RAE"),"Té codi RAE però no és de tipus RAE. ","")&amp;IF($N393="","Falta l'indicador del Pla. ","")&amp;IF($R393="","Falta el gestor. ","")&amp;IF($S393="","Falta indicar si és recurrent. ",""))="","✔",TRIM(IF($C393="","Falta l'actuació. ","")&amp;IF($D393="","Falta l'objectiu. ","")&amp;IF($J393="","Falta el tipus de despesa. ","")&amp;IF(AND($J393&lt;&gt;"",$J393&lt;&gt;"Mitjans propis",$J393&lt;&gt;"Altres",$M393=""),"Falta l'import. ","")&amp;IF(AND($J393="Contracte menor a càrrec del RAE",$K393=""),"Falta la partida RAE. ","")&amp;IF(AND($B393&lt;&gt;"",COUNTIF($B$6:$B$705,$B393)&gt;1),"Codi RAE repetit. ","")&amp;IF(AND($B393&lt;&gt;"",$J393&lt;&gt;"",$J393&lt;&gt;"Contracte menor a càrrec del RAE"),"Té codi RAE però no és de tipus RAE. ","")&amp;IF($N393="","Falta l'indicador del Pla. ","")&amp;IF($R393="","Falta el gestor. ","")&amp;IF($S393="","Falta indicar si és recurrent. ",""))))</f>
        <v/>
      </c>
    </row>
    <row r="394">
      <c r="A394" s="10">
        <f>IF($D394="","","27_"&amp;IFERROR(INDEX(Objectius!$E$2:$E$183,MATCH($D394,Objectius!$A$2:$A$183,0)),"??")&amp;"_"&amp;TEXT(COUNTIF($I$6:$I394,$I394),"00"))</f>
        <v/>
      </c>
      <c r="B394" s="11" t="n"/>
      <c r="C394" s="11" t="n"/>
      <c r="D394" s="11" t="n"/>
      <c r="E394" s="10">
        <f>IF($D394="","",IFERROR(INDEX(Objectius!$C$2:$C$183,MATCH($D394,Objectius!$A$2:$A$183,0)),"Objectiu no trobat al Pla"))</f>
        <v/>
      </c>
      <c r="F394" s="11" t="n"/>
      <c r="G394" s="11" t="n"/>
      <c r="H394" s="11" t="n"/>
      <c r="I394" s="10">
        <f>IF($D394="","",IFERROR(INDEX(Objectius!$D$2:$D$183,MATCH($D394,Objectius!$A$2:$A$183,0)),""))</f>
        <v/>
      </c>
      <c r="J394" s="11" t="n"/>
      <c r="K394" s="11" t="n"/>
      <c r="L394" s="11" t="n"/>
      <c r="M394" s="12" t="n"/>
      <c r="N394" s="11" t="n"/>
      <c r="O394" s="10">
        <f>IF($N394="","",IFERROR(INDEX('PLA ESTRATÈGIC'!$G$4:$G$452,MATCH($N394,'PLA ESTRATÈGIC'!$Q$4:$Q$452,0)),""))</f>
        <v/>
      </c>
      <c r="P394" s="10">
        <f>IF($N394="","",IFERROR(INDEX('PLA ESTRATÈGIC'!$H$4:$H$452,MATCH($N394,'PLA ESTRATÈGIC'!$Q$4:$Q$452,0)),""))</f>
        <v/>
      </c>
      <c r="Q394" s="13" t="n"/>
      <c r="R394" s="11" t="n"/>
      <c r="S394" s="11" t="n"/>
      <c r="T394" s="11" t="n"/>
      <c r="U394" s="11" t="n"/>
      <c r="V394" s="10">
        <f>IF(COUNTA($C394,$D394,$J394,$M394)=0,"",IF(TRIM(IF($C394="","Falta l'actuació. ","")&amp;IF($D394="","Falta l'objectiu. ","")&amp;IF($J394="","Falta el tipus de despesa. ","")&amp;IF(AND($J394&lt;&gt;"",$J394&lt;&gt;"Mitjans propis",$J394&lt;&gt;"Altres",$M394=""),"Falta l'import. ","")&amp;IF(AND($J394="Contracte menor a càrrec del RAE",$K394=""),"Falta la partida RAE. ","")&amp;IF(AND($B394&lt;&gt;"",COUNTIF($B$6:$B$705,$B394)&gt;1),"Codi RAE repetit. ","")&amp;IF(AND($B394&lt;&gt;"",$J394&lt;&gt;"",$J394&lt;&gt;"Contracte menor a càrrec del RAE"),"Té codi RAE però no és de tipus RAE. ","")&amp;IF($N394="","Falta l'indicador del Pla. ","")&amp;IF($R394="","Falta el gestor. ","")&amp;IF($S394="","Falta indicar si és recurrent. ",""))="","✔",TRIM(IF($C394="","Falta l'actuació. ","")&amp;IF($D394="","Falta l'objectiu. ","")&amp;IF($J394="","Falta el tipus de despesa. ","")&amp;IF(AND($J394&lt;&gt;"",$J394&lt;&gt;"Mitjans propis",$J394&lt;&gt;"Altres",$M394=""),"Falta l'import. ","")&amp;IF(AND($J394="Contracte menor a càrrec del RAE",$K394=""),"Falta la partida RAE. ","")&amp;IF(AND($B394&lt;&gt;"",COUNTIF($B$6:$B$705,$B394)&gt;1),"Codi RAE repetit. ","")&amp;IF(AND($B394&lt;&gt;"",$J394&lt;&gt;"",$J394&lt;&gt;"Contracte menor a càrrec del RAE"),"Té codi RAE però no és de tipus RAE. ","")&amp;IF($N394="","Falta l'indicador del Pla. ","")&amp;IF($R394="","Falta el gestor. ","")&amp;IF($S394="","Falta indicar si és recurrent. ",""))))</f>
        <v/>
      </c>
    </row>
    <row r="395">
      <c r="A395" s="10">
        <f>IF($D395="","","27_"&amp;IFERROR(INDEX(Objectius!$E$2:$E$183,MATCH($D395,Objectius!$A$2:$A$183,0)),"??")&amp;"_"&amp;TEXT(COUNTIF($I$6:$I395,$I395),"00"))</f>
        <v/>
      </c>
      <c r="B395" s="11" t="n"/>
      <c r="C395" s="11" t="n"/>
      <c r="D395" s="11" t="n"/>
      <c r="E395" s="10">
        <f>IF($D395="","",IFERROR(INDEX(Objectius!$C$2:$C$183,MATCH($D395,Objectius!$A$2:$A$183,0)),"Objectiu no trobat al Pla"))</f>
        <v/>
      </c>
      <c r="F395" s="11" t="n"/>
      <c r="G395" s="11" t="n"/>
      <c r="H395" s="11" t="n"/>
      <c r="I395" s="10">
        <f>IF($D395="","",IFERROR(INDEX(Objectius!$D$2:$D$183,MATCH($D395,Objectius!$A$2:$A$183,0)),""))</f>
        <v/>
      </c>
      <c r="J395" s="11" t="n"/>
      <c r="K395" s="11" t="n"/>
      <c r="L395" s="11" t="n"/>
      <c r="M395" s="12" t="n"/>
      <c r="N395" s="11" t="n"/>
      <c r="O395" s="10">
        <f>IF($N395="","",IFERROR(INDEX('PLA ESTRATÈGIC'!$G$4:$G$452,MATCH($N395,'PLA ESTRATÈGIC'!$Q$4:$Q$452,0)),""))</f>
        <v/>
      </c>
      <c r="P395" s="10">
        <f>IF($N395="","",IFERROR(INDEX('PLA ESTRATÈGIC'!$H$4:$H$452,MATCH($N395,'PLA ESTRATÈGIC'!$Q$4:$Q$452,0)),""))</f>
        <v/>
      </c>
      <c r="Q395" s="13" t="n"/>
      <c r="R395" s="11" t="n"/>
      <c r="S395" s="11" t="n"/>
      <c r="T395" s="11" t="n"/>
      <c r="U395" s="11" t="n"/>
      <c r="V395" s="10">
        <f>IF(COUNTA($C395,$D395,$J395,$M395)=0,"",IF(TRIM(IF($C395="","Falta l'actuació. ","")&amp;IF($D395="","Falta l'objectiu. ","")&amp;IF($J395="","Falta el tipus de despesa. ","")&amp;IF(AND($J395&lt;&gt;"",$J395&lt;&gt;"Mitjans propis",$J395&lt;&gt;"Altres",$M395=""),"Falta l'import. ","")&amp;IF(AND($J395="Contracte menor a càrrec del RAE",$K395=""),"Falta la partida RAE. ","")&amp;IF(AND($B395&lt;&gt;"",COUNTIF($B$6:$B$705,$B395)&gt;1),"Codi RAE repetit. ","")&amp;IF(AND($B395&lt;&gt;"",$J395&lt;&gt;"",$J395&lt;&gt;"Contracte menor a càrrec del RAE"),"Té codi RAE però no és de tipus RAE. ","")&amp;IF($N395="","Falta l'indicador del Pla. ","")&amp;IF($R395="","Falta el gestor. ","")&amp;IF($S395="","Falta indicar si és recurrent. ",""))="","✔",TRIM(IF($C395="","Falta l'actuació. ","")&amp;IF($D395="","Falta l'objectiu. ","")&amp;IF($J395="","Falta el tipus de despesa. ","")&amp;IF(AND($J395&lt;&gt;"",$J395&lt;&gt;"Mitjans propis",$J395&lt;&gt;"Altres",$M395=""),"Falta l'import. ","")&amp;IF(AND($J395="Contracte menor a càrrec del RAE",$K395=""),"Falta la partida RAE. ","")&amp;IF(AND($B395&lt;&gt;"",COUNTIF($B$6:$B$705,$B395)&gt;1),"Codi RAE repetit. ","")&amp;IF(AND($B395&lt;&gt;"",$J395&lt;&gt;"",$J395&lt;&gt;"Contracte menor a càrrec del RAE"),"Té codi RAE però no és de tipus RAE. ","")&amp;IF($N395="","Falta l'indicador del Pla. ","")&amp;IF($R395="","Falta el gestor. ","")&amp;IF($S395="","Falta indicar si és recurrent. ",""))))</f>
        <v/>
      </c>
    </row>
    <row r="396">
      <c r="A396" s="10">
        <f>IF($D396="","","27_"&amp;IFERROR(INDEX(Objectius!$E$2:$E$183,MATCH($D396,Objectius!$A$2:$A$183,0)),"??")&amp;"_"&amp;TEXT(COUNTIF($I$6:$I396,$I396),"00"))</f>
        <v/>
      </c>
      <c r="B396" s="11" t="n"/>
      <c r="C396" s="11" t="n"/>
      <c r="D396" s="11" t="n"/>
      <c r="E396" s="10">
        <f>IF($D396="","",IFERROR(INDEX(Objectius!$C$2:$C$183,MATCH($D396,Objectius!$A$2:$A$183,0)),"Objectiu no trobat al Pla"))</f>
        <v/>
      </c>
      <c r="F396" s="11" t="n"/>
      <c r="G396" s="11" t="n"/>
      <c r="H396" s="11" t="n"/>
      <c r="I396" s="10">
        <f>IF($D396="","",IFERROR(INDEX(Objectius!$D$2:$D$183,MATCH($D396,Objectius!$A$2:$A$183,0)),""))</f>
        <v/>
      </c>
      <c r="J396" s="11" t="n"/>
      <c r="K396" s="11" t="n"/>
      <c r="L396" s="11" t="n"/>
      <c r="M396" s="12" t="n"/>
      <c r="N396" s="11" t="n"/>
      <c r="O396" s="10">
        <f>IF($N396="","",IFERROR(INDEX('PLA ESTRATÈGIC'!$G$4:$G$452,MATCH($N396,'PLA ESTRATÈGIC'!$Q$4:$Q$452,0)),""))</f>
        <v/>
      </c>
      <c r="P396" s="10">
        <f>IF($N396="","",IFERROR(INDEX('PLA ESTRATÈGIC'!$H$4:$H$452,MATCH($N396,'PLA ESTRATÈGIC'!$Q$4:$Q$452,0)),""))</f>
        <v/>
      </c>
      <c r="Q396" s="13" t="n"/>
      <c r="R396" s="11" t="n"/>
      <c r="S396" s="11" t="n"/>
      <c r="T396" s="11" t="n"/>
      <c r="U396" s="11" t="n"/>
      <c r="V396" s="10">
        <f>IF(COUNTA($C396,$D396,$J396,$M396)=0,"",IF(TRIM(IF($C396="","Falta l'actuació. ","")&amp;IF($D396="","Falta l'objectiu. ","")&amp;IF($J396="","Falta el tipus de despesa. ","")&amp;IF(AND($J396&lt;&gt;"",$J396&lt;&gt;"Mitjans propis",$J396&lt;&gt;"Altres",$M396=""),"Falta l'import. ","")&amp;IF(AND($J396="Contracte menor a càrrec del RAE",$K396=""),"Falta la partida RAE. ","")&amp;IF(AND($B396&lt;&gt;"",COUNTIF($B$6:$B$705,$B396)&gt;1),"Codi RAE repetit. ","")&amp;IF(AND($B396&lt;&gt;"",$J396&lt;&gt;"",$J396&lt;&gt;"Contracte menor a càrrec del RAE"),"Té codi RAE però no és de tipus RAE. ","")&amp;IF($N396="","Falta l'indicador del Pla. ","")&amp;IF($R396="","Falta el gestor. ","")&amp;IF($S396="","Falta indicar si és recurrent. ",""))="","✔",TRIM(IF($C396="","Falta l'actuació. ","")&amp;IF($D396="","Falta l'objectiu. ","")&amp;IF($J396="","Falta el tipus de despesa. ","")&amp;IF(AND($J396&lt;&gt;"",$J396&lt;&gt;"Mitjans propis",$J396&lt;&gt;"Altres",$M396=""),"Falta l'import. ","")&amp;IF(AND($J396="Contracte menor a càrrec del RAE",$K396=""),"Falta la partida RAE. ","")&amp;IF(AND($B396&lt;&gt;"",COUNTIF($B$6:$B$705,$B396)&gt;1),"Codi RAE repetit. ","")&amp;IF(AND($B396&lt;&gt;"",$J396&lt;&gt;"",$J396&lt;&gt;"Contracte menor a càrrec del RAE"),"Té codi RAE però no és de tipus RAE. ","")&amp;IF($N396="","Falta l'indicador del Pla. ","")&amp;IF($R396="","Falta el gestor. ","")&amp;IF($S396="","Falta indicar si és recurrent. ",""))))</f>
        <v/>
      </c>
    </row>
    <row r="397">
      <c r="A397" s="10">
        <f>IF($D397="","","27_"&amp;IFERROR(INDEX(Objectius!$E$2:$E$183,MATCH($D397,Objectius!$A$2:$A$183,0)),"??")&amp;"_"&amp;TEXT(COUNTIF($I$6:$I397,$I397),"00"))</f>
        <v/>
      </c>
      <c r="B397" s="11" t="n"/>
      <c r="C397" s="11" t="n"/>
      <c r="D397" s="11" t="n"/>
      <c r="E397" s="10">
        <f>IF($D397="","",IFERROR(INDEX(Objectius!$C$2:$C$183,MATCH($D397,Objectius!$A$2:$A$183,0)),"Objectiu no trobat al Pla"))</f>
        <v/>
      </c>
      <c r="F397" s="11" t="n"/>
      <c r="G397" s="11" t="n"/>
      <c r="H397" s="11" t="n"/>
      <c r="I397" s="10">
        <f>IF($D397="","",IFERROR(INDEX(Objectius!$D$2:$D$183,MATCH($D397,Objectius!$A$2:$A$183,0)),""))</f>
        <v/>
      </c>
      <c r="J397" s="11" t="n"/>
      <c r="K397" s="11" t="n"/>
      <c r="L397" s="11" t="n"/>
      <c r="M397" s="12" t="n"/>
      <c r="N397" s="11" t="n"/>
      <c r="O397" s="10">
        <f>IF($N397="","",IFERROR(INDEX('PLA ESTRATÈGIC'!$G$4:$G$452,MATCH($N397,'PLA ESTRATÈGIC'!$Q$4:$Q$452,0)),""))</f>
        <v/>
      </c>
      <c r="P397" s="10">
        <f>IF($N397="","",IFERROR(INDEX('PLA ESTRATÈGIC'!$H$4:$H$452,MATCH($N397,'PLA ESTRATÈGIC'!$Q$4:$Q$452,0)),""))</f>
        <v/>
      </c>
      <c r="Q397" s="13" t="n"/>
      <c r="R397" s="11" t="n"/>
      <c r="S397" s="11" t="n"/>
      <c r="T397" s="11" t="n"/>
      <c r="U397" s="11" t="n"/>
      <c r="V397" s="10">
        <f>IF(COUNTA($C397,$D397,$J397,$M397)=0,"",IF(TRIM(IF($C397="","Falta l'actuació. ","")&amp;IF($D397="","Falta l'objectiu. ","")&amp;IF($J397="","Falta el tipus de despesa. ","")&amp;IF(AND($J397&lt;&gt;"",$J397&lt;&gt;"Mitjans propis",$J397&lt;&gt;"Altres",$M397=""),"Falta l'import. ","")&amp;IF(AND($J397="Contracte menor a càrrec del RAE",$K397=""),"Falta la partida RAE. ","")&amp;IF(AND($B397&lt;&gt;"",COUNTIF($B$6:$B$705,$B397)&gt;1),"Codi RAE repetit. ","")&amp;IF(AND($B397&lt;&gt;"",$J397&lt;&gt;"",$J397&lt;&gt;"Contracte menor a càrrec del RAE"),"Té codi RAE però no és de tipus RAE. ","")&amp;IF($N397="","Falta l'indicador del Pla. ","")&amp;IF($R397="","Falta el gestor. ","")&amp;IF($S397="","Falta indicar si és recurrent. ",""))="","✔",TRIM(IF($C397="","Falta l'actuació. ","")&amp;IF($D397="","Falta l'objectiu. ","")&amp;IF($J397="","Falta el tipus de despesa. ","")&amp;IF(AND($J397&lt;&gt;"",$J397&lt;&gt;"Mitjans propis",$J397&lt;&gt;"Altres",$M397=""),"Falta l'import. ","")&amp;IF(AND($J397="Contracte menor a càrrec del RAE",$K397=""),"Falta la partida RAE. ","")&amp;IF(AND($B397&lt;&gt;"",COUNTIF($B$6:$B$705,$B397)&gt;1),"Codi RAE repetit. ","")&amp;IF(AND($B397&lt;&gt;"",$J397&lt;&gt;"",$J397&lt;&gt;"Contracte menor a càrrec del RAE"),"Té codi RAE però no és de tipus RAE. ","")&amp;IF($N397="","Falta l'indicador del Pla. ","")&amp;IF($R397="","Falta el gestor. ","")&amp;IF($S397="","Falta indicar si és recurrent. ",""))))</f>
        <v/>
      </c>
    </row>
    <row r="398">
      <c r="A398" s="10">
        <f>IF($D398="","","27_"&amp;IFERROR(INDEX(Objectius!$E$2:$E$183,MATCH($D398,Objectius!$A$2:$A$183,0)),"??")&amp;"_"&amp;TEXT(COUNTIF($I$6:$I398,$I398),"00"))</f>
        <v/>
      </c>
      <c r="B398" s="11" t="n"/>
      <c r="C398" s="11" t="n"/>
      <c r="D398" s="11" t="n"/>
      <c r="E398" s="10">
        <f>IF($D398="","",IFERROR(INDEX(Objectius!$C$2:$C$183,MATCH($D398,Objectius!$A$2:$A$183,0)),"Objectiu no trobat al Pla"))</f>
        <v/>
      </c>
      <c r="F398" s="11" t="n"/>
      <c r="G398" s="11" t="n"/>
      <c r="H398" s="11" t="n"/>
      <c r="I398" s="10">
        <f>IF($D398="","",IFERROR(INDEX(Objectius!$D$2:$D$183,MATCH($D398,Objectius!$A$2:$A$183,0)),""))</f>
        <v/>
      </c>
      <c r="J398" s="11" t="n"/>
      <c r="K398" s="11" t="n"/>
      <c r="L398" s="11" t="n"/>
      <c r="M398" s="12" t="n"/>
      <c r="N398" s="11" t="n"/>
      <c r="O398" s="10">
        <f>IF($N398="","",IFERROR(INDEX('PLA ESTRATÈGIC'!$G$4:$G$452,MATCH($N398,'PLA ESTRATÈGIC'!$Q$4:$Q$452,0)),""))</f>
        <v/>
      </c>
      <c r="P398" s="10">
        <f>IF($N398="","",IFERROR(INDEX('PLA ESTRATÈGIC'!$H$4:$H$452,MATCH($N398,'PLA ESTRATÈGIC'!$Q$4:$Q$452,0)),""))</f>
        <v/>
      </c>
      <c r="Q398" s="13" t="n"/>
      <c r="R398" s="11" t="n"/>
      <c r="S398" s="11" t="n"/>
      <c r="T398" s="11" t="n"/>
      <c r="U398" s="11" t="n"/>
      <c r="V398" s="10">
        <f>IF(COUNTA($C398,$D398,$J398,$M398)=0,"",IF(TRIM(IF($C398="","Falta l'actuació. ","")&amp;IF($D398="","Falta l'objectiu. ","")&amp;IF($J398="","Falta el tipus de despesa. ","")&amp;IF(AND($J398&lt;&gt;"",$J398&lt;&gt;"Mitjans propis",$J398&lt;&gt;"Altres",$M398=""),"Falta l'import. ","")&amp;IF(AND($J398="Contracte menor a càrrec del RAE",$K398=""),"Falta la partida RAE. ","")&amp;IF(AND($B398&lt;&gt;"",COUNTIF($B$6:$B$705,$B398)&gt;1),"Codi RAE repetit. ","")&amp;IF(AND($B398&lt;&gt;"",$J398&lt;&gt;"",$J398&lt;&gt;"Contracte menor a càrrec del RAE"),"Té codi RAE però no és de tipus RAE. ","")&amp;IF($N398="","Falta l'indicador del Pla. ","")&amp;IF($R398="","Falta el gestor. ","")&amp;IF($S398="","Falta indicar si és recurrent. ",""))="","✔",TRIM(IF($C398="","Falta l'actuació. ","")&amp;IF($D398="","Falta l'objectiu. ","")&amp;IF($J398="","Falta el tipus de despesa. ","")&amp;IF(AND($J398&lt;&gt;"",$J398&lt;&gt;"Mitjans propis",$J398&lt;&gt;"Altres",$M398=""),"Falta l'import. ","")&amp;IF(AND($J398="Contracte menor a càrrec del RAE",$K398=""),"Falta la partida RAE. ","")&amp;IF(AND($B398&lt;&gt;"",COUNTIF($B$6:$B$705,$B398)&gt;1),"Codi RAE repetit. ","")&amp;IF(AND($B398&lt;&gt;"",$J398&lt;&gt;"",$J398&lt;&gt;"Contracte menor a càrrec del RAE"),"Té codi RAE però no és de tipus RAE. ","")&amp;IF($N398="","Falta l'indicador del Pla. ","")&amp;IF($R398="","Falta el gestor. ","")&amp;IF($S398="","Falta indicar si és recurrent. ",""))))</f>
        <v/>
      </c>
    </row>
    <row r="399">
      <c r="A399" s="10">
        <f>IF($D399="","","27_"&amp;IFERROR(INDEX(Objectius!$E$2:$E$183,MATCH($D399,Objectius!$A$2:$A$183,0)),"??")&amp;"_"&amp;TEXT(COUNTIF($I$6:$I399,$I399),"00"))</f>
        <v/>
      </c>
      <c r="B399" s="11" t="n"/>
      <c r="C399" s="11" t="n"/>
      <c r="D399" s="11" t="n"/>
      <c r="E399" s="10">
        <f>IF($D399="","",IFERROR(INDEX(Objectius!$C$2:$C$183,MATCH($D399,Objectius!$A$2:$A$183,0)),"Objectiu no trobat al Pla"))</f>
        <v/>
      </c>
      <c r="F399" s="11" t="n"/>
      <c r="G399" s="11" t="n"/>
      <c r="H399" s="11" t="n"/>
      <c r="I399" s="10">
        <f>IF($D399="","",IFERROR(INDEX(Objectius!$D$2:$D$183,MATCH($D399,Objectius!$A$2:$A$183,0)),""))</f>
        <v/>
      </c>
      <c r="J399" s="11" t="n"/>
      <c r="K399" s="11" t="n"/>
      <c r="L399" s="11" t="n"/>
      <c r="M399" s="12" t="n"/>
      <c r="N399" s="11" t="n"/>
      <c r="O399" s="10">
        <f>IF($N399="","",IFERROR(INDEX('PLA ESTRATÈGIC'!$G$4:$G$452,MATCH($N399,'PLA ESTRATÈGIC'!$Q$4:$Q$452,0)),""))</f>
        <v/>
      </c>
      <c r="P399" s="10">
        <f>IF($N399="","",IFERROR(INDEX('PLA ESTRATÈGIC'!$H$4:$H$452,MATCH($N399,'PLA ESTRATÈGIC'!$Q$4:$Q$452,0)),""))</f>
        <v/>
      </c>
      <c r="Q399" s="13" t="n"/>
      <c r="R399" s="11" t="n"/>
      <c r="S399" s="11" t="n"/>
      <c r="T399" s="11" t="n"/>
      <c r="U399" s="11" t="n"/>
      <c r="V399" s="10">
        <f>IF(COUNTA($C399,$D399,$J399,$M399)=0,"",IF(TRIM(IF($C399="","Falta l'actuació. ","")&amp;IF($D399="","Falta l'objectiu. ","")&amp;IF($J399="","Falta el tipus de despesa. ","")&amp;IF(AND($J399&lt;&gt;"",$J399&lt;&gt;"Mitjans propis",$J399&lt;&gt;"Altres",$M399=""),"Falta l'import. ","")&amp;IF(AND($J399="Contracte menor a càrrec del RAE",$K399=""),"Falta la partida RAE. ","")&amp;IF(AND($B399&lt;&gt;"",COUNTIF($B$6:$B$705,$B399)&gt;1),"Codi RAE repetit. ","")&amp;IF(AND($B399&lt;&gt;"",$J399&lt;&gt;"",$J399&lt;&gt;"Contracte menor a càrrec del RAE"),"Té codi RAE però no és de tipus RAE. ","")&amp;IF($N399="","Falta l'indicador del Pla. ","")&amp;IF($R399="","Falta el gestor. ","")&amp;IF($S399="","Falta indicar si és recurrent. ",""))="","✔",TRIM(IF($C399="","Falta l'actuació. ","")&amp;IF($D399="","Falta l'objectiu. ","")&amp;IF($J399="","Falta el tipus de despesa. ","")&amp;IF(AND($J399&lt;&gt;"",$J399&lt;&gt;"Mitjans propis",$J399&lt;&gt;"Altres",$M399=""),"Falta l'import. ","")&amp;IF(AND($J399="Contracte menor a càrrec del RAE",$K399=""),"Falta la partida RAE. ","")&amp;IF(AND($B399&lt;&gt;"",COUNTIF($B$6:$B$705,$B399)&gt;1),"Codi RAE repetit. ","")&amp;IF(AND($B399&lt;&gt;"",$J399&lt;&gt;"",$J399&lt;&gt;"Contracte menor a càrrec del RAE"),"Té codi RAE però no és de tipus RAE. ","")&amp;IF($N399="","Falta l'indicador del Pla. ","")&amp;IF($R399="","Falta el gestor. ","")&amp;IF($S399="","Falta indicar si és recurrent. ",""))))</f>
        <v/>
      </c>
    </row>
    <row r="400">
      <c r="A400" s="10">
        <f>IF($D400="","","27_"&amp;IFERROR(INDEX(Objectius!$E$2:$E$183,MATCH($D400,Objectius!$A$2:$A$183,0)),"??")&amp;"_"&amp;TEXT(COUNTIF($I$6:$I400,$I400),"00"))</f>
        <v/>
      </c>
      <c r="B400" s="11" t="n"/>
      <c r="C400" s="11" t="n"/>
      <c r="D400" s="11" t="n"/>
      <c r="E400" s="10">
        <f>IF($D400="","",IFERROR(INDEX(Objectius!$C$2:$C$183,MATCH($D400,Objectius!$A$2:$A$183,0)),"Objectiu no trobat al Pla"))</f>
        <v/>
      </c>
      <c r="F400" s="11" t="n"/>
      <c r="G400" s="11" t="n"/>
      <c r="H400" s="11" t="n"/>
      <c r="I400" s="10">
        <f>IF($D400="","",IFERROR(INDEX(Objectius!$D$2:$D$183,MATCH($D400,Objectius!$A$2:$A$183,0)),""))</f>
        <v/>
      </c>
      <c r="J400" s="11" t="n"/>
      <c r="K400" s="11" t="n"/>
      <c r="L400" s="11" t="n"/>
      <c r="M400" s="12" t="n"/>
      <c r="N400" s="11" t="n"/>
      <c r="O400" s="10">
        <f>IF($N400="","",IFERROR(INDEX('PLA ESTRATÈGIC'!$G$4:$G$452,MATCH($N400,'PLA ESTRATÈGIC'!$Q$4:$Q$452,0)),""))</f>
        <v/>
      </c>
      <c r="P400" s="10">
        <f>IF($N400="","",IFERROR(INDEX('PLA ESTRATÈGIC'!$H$4:$H$452,MATCH($N400,'PLA ESTRATÈGIC'!$Q$4:$Q$452,0)),""))</f>
        <v/>
      </c>
      <c r="Q400" s="13" t="n"/>
      <c r="R400" s="11" t="n"/>
      <c r="S400" s="11" t="n"/>
      <c r="T400" s="11" t="n"/>
      <c r="U400" s="11" t="n"/>
      <c r="V400" s="10">
        <f>IF(COUNTA($C400,$D400,$J400,$M400)=0,"",IF(TRIM(IF($C400="","Falta l'actuació. ","")&amp;IF($D400="","Falta l'objectiu. ","")&amp;IF($J400="","Falta el tipus de despesa. ","")&amp;IF(AND($J400&lt;&gt;"",$J400&lt;&gt;"Mitjans propis",$J400&lt;&gt;"Altres",$M400=""),"Falta l'import. ","")&amp;IF(AND($J400="Contracte menor a càrrec del RAE",$K400=""),"Falta la partida RAE. ","")&amp;IF(AND($B400&lt;&gt;"",COUNTIF($B$6:$B$705,$B400)&gt;1),"Codi RAE repetit. ","")&amp;IF(AND($B400&lt;&gt;"",$J400&lt;&gt;"",$J400&lt;&gt;"Contracte menor a càrrec del RAE"),"Té codi RAE però no és de tipus RAE. ","")&amp;IF($N400="","Falta l'indicador del Pla. ","")&amp;IF($R400="","Falta el gestor. ","")&amp;IF($S400="","Falta indicar si és recurrent. ",""))="","✔",TRIM(IF($C400="","Falta l'actuació. ","")&amp;IF($D400="","Falta l'objectiu. ","")&amp;IF($J400="","Falta el tipus de despesa. ","")&amp;IF(AND($J400&lt;&gt;"",$J400&lt;&gt;"Mitjans propis",$J400&lt;&gt;"Altres",$M400=""),"Falta l'import. ","")&amp;IF(AND($J400="Contracte menor a càrrec del RAE",$K400=""),"Falta la partida RAE. ","")&amp;IF(AND($B400&lt;&gt;"",COUNTIF($B$6:$B$705,$B400)&gt;1),"Codi RAE repetit. ","")&amp;IF(AND($B400&lt;&gt;"",$J400&lt;&gt;"",$J400&lt;&gt;"Contracte menor a càrrec del RAE"),"Té codi RAE però no és de tipus RAE. ","")&amp;IF($N400="","Falta l'indicador del Pla. ","")&amp;IF($R400="","Falta el gestor. ","")&amp;IF($S400="","Falta indicar si és recurrent. ",""))))</f>
        <v/>
      </c>
    </row>
    <row r="401">
      <c r="A401" s="10">
        <f>IF($D401="","","27_"&amp;IFERROR(INDEX(Objectius!$E$2:$E$183,MATCH($D401,Objectius!$A$2:$A$183,0)),"??")&amp;"_"&amp;TEXT(COUNTIF($I$6:$I401,$I401),"00"))</f>
        <v/>
      </c>
      <c r="B401" s="11" t="n"/>
      <c r="C401" s="11" t="n"/>
      <c r="D401" s="11" t="n"/>
      <c r="E401" s="10">
        <f>IF($D401="","",IFERROR(INDEX(Objectius!$C$2:$C$183,MATCH($D401,Objectius!$A$2:$A$183,0)),"Objectiu no trobat al Pla"))</f>
        <v/>
      </c>
      <c r="F401" s="11" t="n"/>
      <c r="G401" s="11" t="n"/>
      <c r="H401" s="11" t="n"/>
      <c r="I401" s="10">
        <f>IF($D401="","",IFERROR(INDEX(Objectius!$D$2:$D$183,MATCH($D401,Objectius!$A$2:$A$183,0)),""))</f>
        <v/>
      </c>
      <c r="J401" s="11" t="n"/>
      <c r="K401" s="11" t="n"/>
      <c r="L401" s="11" t="n"/>
      <c r="M401" s="12" t="n"/>
      <c r="N401" s="11" t="n"/>
      <c r="O401" s="10">
        <f>IF($N401="","",IFERROR(INDEX('PLA ESTRATÈGIC'!$G$4:$G$452,MATCH($N401,'PLA ESTRATÈGIC'!$Q$4:$Q$452,0)),""))</f>
        <v/>
      </c>
      <c r="P401" s="10">
        <f>IF($N401="","",IFERROR(INDEX('PLA ESTRATÈGIC'!$H$4:$H$452,MATCH($N401,'PLA ESTRATÈGIC'!$Q$4:$Q$452,0)),""))</f>
        <v/>
      </c>
      <c r="Q401" s="13" t="n"/>
      <c r="R401" s="11" t="n"/>
      <c r="S401" s="11" t="n"/>
      <c r="T401" s="11" t="n"/>
      <c r="U401" s="11" t="n"/>
      <c r="V401" s="10">
        <f>IF(COUNTA($C401,$D401,$J401,$M401)=0,"",IF(TRIM(IF($C401="","Falta l'actuació. ","")&amp;IF($D401="","Falta l'objectiu. ","")&amp;IF($J401="","Falta el tipus de despesa. ","")&amp;IF(AND($J401&lt;&gt;"",$J401&lt;&gt;"Mitjans propis",$J401&lt;&gt;"Altres",$M401=""),"Falta l'import. ","")&amp;IF(AND($J401="Contracte menor a càrrec del RAE",$K401=""),"Falta la partida RAE. ","")&amp;IF(AND($B401&lt;&gt;"",COUNTIF($B$6:$B$705,$B401)&gt;1),"Codi RAE repetit. ","")&amp;IF(AND($B401&lt;&gt;"",$J401&lt;&gt;"",$J401&lt;&gt;"Contracte menor a càrrec del RAE"),"Té codi RAE però no és de tipus RAE. ","")&amp;IF($N401="","Falta l'indicador del Pla. ","")&amp;IF($R401="","Falta el gestor. ","")&amp;IF($S401="","Falta indicar si és recurrent. ",""))="","✔",TRIM(IF($C401="","Falta l'actuació. ","")&amp;IF($D401="","Falta l'objectiu. ","")&amp;IF($J401="","Falta el tipus de despesa. ","")&amp;IF(AND($J401&lt;&gt;"",$J401&lt;&gt;"Mitjans propis",$J401&lt;&gt;"Altres",$M401=""),"Falta l'import. ","")&amp;IF(AND($J401="Contracte menor a càrrec del RAE",$K401=""),"Falta la partida RAE. ","")&amp;IF(AND($B401&lt;&gt;"",COUNTIF($B$6:$B$705,$B401)&gt;1),"Codi RAE repetit. ","")&amp;IF(AND($B401&lt;&gt;"",$J401&lt;&gt;"",$J401&lt;&gt;"Contracte menor a càrrec del RAE"),"Té codi RAE però no és de tipus RAE. ","")&amp;IF($N401="","Falta l'indicador del Pla. ","")&amp;IF($R401="","Falta el gestor. ","")&amp;IF($S401="","Falta indicar si és recurrent. ",""))))</f>
        <v/>
      </c>
    </row>
    <row r="402">
      <c r="A402" s="10">
        <f>IF($D402="","","27_"&amp;IFERROR(INDEX(Objectius!$E$2:$E$183,MATCH($D402,Objectius!$A$2:$A$183,0)),"??")&amp;"_"&amp;TEXT(COUNTIF($I$6:$I402,$I402),"00"))</f>
        <v/>
      </c>
      <c r="B402" s="11" t="n"/>
      <c r="C402" s="11" t="n"/>
      <c r="D402" s="11" t="n"/>
      <c r="E402" s="10">
        <f>IF($D402="","",IFERROR(INDEX(Objectius!$C$2:$C$183,MATCH($D402,Objectius!$A$2:$A$183,0)),"Objectiu no trobat al Pla"))</f>
        <v/>
      </c>
      <c r="F402" s="11" t="n"/>
      <c r="G402" s="11" t="n"/>
      <c r="H402" s="11" t="n"/>
      <c r="I402" s="10">
        <f>IF($D402="","",IFERROR(INDEX(Objectius!$D$2:$D$183,MATCH($D402,Objectius!$A$2:$A$183,0)),""))</f>
        <v/>
      </c>
      <c r="J402" s="11" t="n"/>
      <c r="K402" s="11" t="n"/>
      <c r="L402" s="11" t="n"/>
      <c r="M402" s="12" t="n"/>
      <c r="N402" s="11" t="n"/>
      <c r="O402" s="10">
        <f>IF($N402="","",IFERROR(INDEX('PLA ESTRATÈGIC'!$G$4:$G$452,MATCH($N402,'PLA ESTRATÈGIC'!$Q$4:$Q$452,0)),""))</f>
        <v/>
      </c>
      <c r="P402" s="10">
        <f>IF($N402="","",IFERROR(INDEX('PLA ESTRATÈGIC'!$H$4:$H$452,MATCH($N402,'PLA ESTRATÈGIC'!$Q$4:$Q$452,0)),""))</f>
        <v/>
      </c>
      <c r="Q402" s="13" t="n"/>
      <c r="R402" s="11" t="n"/>
      <c r="S402" s="11" t="n"/>
      <c r="T402" s="11" t="n"/>
      <c r="U402" s="11" t="n"/>
      <c r="V402" s="10">
        <f>IF(COUNTA($C402,$D402,$J402,$M402)=0,"",IF(TRIM(IF($C402="","Falta l'actuació. ","")&amp;IF($D402="","Falta l'objectiu. ","")&amp;IF($J402="","Falta el tipus de despesa. ","")&amp;IF(AND($J402&lt;&gt;"",$J402&lt;&gt;"Mitjans propis",$J402&lt;&gt;"Altres",$M402=""),"Falta l'import. ","")&amp;IF(AND($J402="Contracte menor a càrrec del RAE",$K402=""),"Falta la partida RAE. ","")&amp;IF(AND($B402&lt;&gt;"",COUNTIF($B$6:$B$705,$B402)&gt;1),"Codi RAE repetit. ","")&amp;IF(AND($B402&lt;&gt;"",$J402&lt;&gt;"",$J402&lt;&gt;"Contracte menor a càrrec del RAE"),"Té codi RAE però no és de tipus RAE. ","")&amp;IF($N402="","Falta l'indicador del Pla. ","")&amp;IF($R402="","Falta el gestor. ","")&amp;IF($S402="","Falta indicar si és recurrent. ",""))="","✔",TRIM(IF($C402="","Falta l'actuació. ","")&amp;IF($D402="","Falta l'objectiu. ","")&amp;IF($J402="","Falta el tipus de despesa. ","")&amp;IF(AND($J402&lt;&gt;"",$J402&lt;&gt;"Mitjans propis",$J402&lt;&gt;"Altres",$M402=""),"Falta l'import. ","")&amp;IF(AND($J402="Contracte menor a càrrec del RAE",$K402=""),"Falta la partida RAE. ","")&amp;IF(AND($B402&lt;&gt;"",COUNTIF($B$6:$B$705,$B402)&gt;1),"Codi RAE repetit. ","")&amp;IF(AND($B402&lt;&gt;"",$J402&lt;&gt;"",$J402&lt;&gt;"Contracte menor a càrrec del RAE"),"Té codi RAE però no és de tipus RAE. ","")&amp;IF($N402="","Falta l'indicador del Pla. ","")&amp;IF($R402="","Falta el gestor. ","")&amp;IF($S402="","Falta indicar si és recurrent. ",""))))</f>
        <v/>
      </c>
    </row>
    <row r="403">
      <c r="A403" s="10">
        <f>IF($D403="","","27_"&amp;IFERROR(INDEX(Objectius!$E$2:$E$183,MATCH($D403,Objectius!$A$2:$A$183,0)),"??")&amp;"_"&amp;TEXT(COUNTIF($I$6:$I403,$I403),"00"))</f>
        <v/>
      </c>
      <c r="B403" s="11" t="n"/>
      <c r="C403" s="11" t="n"/>
      <c r="D403" s="11" t="n"/>
      <c r="E403" s="10">
        <f>IF($D403="","",IFERROR(INDEX(Objectius!$C$2:$C$183,MATCH($D403,Objectius!$A$2:$A$183,0)),"Objectiu no trobat al Pla"))</f>
        <v/>
      </c>
      <c r="F403" s="11" t="n"/>
      <c r="G403" s="11" t="n"/>
      <c r="H403" s="11" t="n"/>
      <c r="I403" s="10">
        <f>IF($D403="","",IFERROR(INDEX(Objectius!$D$2:$D$183,MATCH($D403,Objectius!$A$2:$A$183,0)),""))</f>
        <v/>
      </c>
      <c r="J403" s="11" t="n"/>
      <c r="K403" s="11" t="n"/>
      <c r="L403" s="11" t="n"/>
      <c r="M403" s="12" t="n"/>
      <c r="N403" s="11" t="n"/>
      <c r="O403" s="10">
        <f>IF($N403="","",IFERROR(INDEX('PLA ESTRATÈGIC'!$G$4:$G$452,MATCH($N403,'PLA ESTRATÈGIC'!$Q$4:$Q$452,0)),""))</f>
        <v/>
      </c>
      <c r="P403" s="10">
        <f>IF($N403="","",IFERROR(INDEX('PLA ESTRATÈGIC'!$H$4:$H$452,MATCH($N403,'PLA ESTRATÈGIC'!$Q$4:$Q$452,0)),""))</f>
        <v/>
      </c>
      <c r="Q403" s="13" t="n"/>
      <c r="R403" s="11" t="n"/>
      <c r="S403" s="11" t="n"/>
      <c r="T403" s="11" t="n"/>
      <c r="U403" s="11" t="n"/>
      <c r="V403" s="10">
        <f>IF(COUNTA($C403,$D403,$J403,$M403)=0,"",IF(TRIM(IF($C403="","Falta l'actuació. ","")&amp;IF($D403="","Falta l'objectiu. ","")&amp;IF($J403="","Falta el tipus de despesa. ","")&amp;IF(AND($J403&lt;&gt;"",$J403&lt;&gt;"Mitjans propis",$J403&lt;&gt;"Altres",$M403=""),"Falta l'import. ","")&amp;IF(AND($J403="Contracte menor a càrrec del RAE",$K403=""),"Falta la partida RAE. ","")&amp;IF(AND($B403&lt;&gt;"",COUNTIF($B$6:$B$705,$B403)&gt;1),"Codi RAE repetit. ","")&amp;IF(AND($B403&lt;&gt;"",$J403&lt;&gt;"",$J403&lt;&gt;"Contracte menor a càrrec del RAE"),"Té codi RAE però no és de tipus RAE. ","")&amp;IF($N403="","Falta l'indicador del Pla. ","")&amp;IF($R403="","Falta el gestor. ","")&amp;IF($S403="","Falta indicar si és recurrent. ",""))="","✔",TRIM(IF($C403="","Falta l'actuació. ","")&amp;IF($D403="","Falta l'objectiu. ","")&amp;IF($J403="","Falta el tipus de despesa. ","")&amp;IF(AND($J403&lt;&gt;"",$J403&lt;&gt;"Mitjans propis",$J403&lt;&gt;"Altres",$M403=""),"Falta l'import. ","")&amp;IF(AND($J403="Contracte menor a càrrec del RAE",$K403=""),"Falta la partida RAE. ","")&amp;IF(AND($B403&lt;&gt;"",COUNTIF($B$6:$B$705,$B403)&gt;1),"Codi RAE repetit. ","")&amp;IF(AND($B403&lt;&gt;"",$J403&lt;&gt;"",$J403&lt;&gt;"Contracte menor a càrrec del RAE"),"Té codi RAE però no és de tipus RAE. ","")&amp;IF($N403="","Falta l'indicador del Pla. ","")&amp;IF($R403="","Falta el gestor. ","")&amp;IF($S403="","Falta indicar si és recurrent. ",""))))</f>
        <v/>
      </c>
    </row>
    <row r="404">
      <c r="A404" s="10">
        <f>IF($D404="","","27_"&amp;IFERROR(INDEX(Objectius!$E$2:$E$183,MATCH($D404,Objectius!$A$2:$A$183,0)),"??")&amp;"_"&amp;TEXT(COUNTIF($I$6:$I404,$I404),"00"))</f>
        <v/>
      </c>
      <c r="B404" s="11" t="n"/>
      <c r="C404" s="11" t="n"/>
      <c r="D404" s="11" t="n"/>
      <c r="E404" s="10">
        <f>IF($D404="","",IFERROR(INDEX(Objectius!$C$2:$C$183,MATCH($D404,Objectius!$A$2:$A$183,0)),"Objectiu no trobat al Pla"))</f>
        <v/>
      </c>
      <c r="F404" s="11" t="n"/>
      <c r="G404" s="11" t="n"/>
      <c r="H404" s="11" t="n"/>
      <c r="I404" s="10">
        <f>IF($D404="","",IFERROR(INDEX(Objectius!$D$2:$D$183,MATCH($D404,Objectius!$A$2:$A$183,0)),""))</f>
        <v/>
      </c>
      <c r="J404" s="11" t="n"/>
      <c r="K404" s="11" t="n"/>
      <c r="L404" s="11" t="n"/>
      <c r="M404" s="12" t="n"/>
      <c r="N404" s="11" t="n"/>
      <c r="O404" s="10">
        <f>IF($N404="","",IFERROR(INDEX('PLA ESTRATÈGIC'!$G$4:$G$452,MATCH($N404,'PLA ESTRATÈGIC'!$Q$4:$Q$452,0)),""))</f>
        <v/>
      </c>
      <c r="P404" s="10">
        <f>IF($N404="","",IFERROR(INDEX('PLA ESTRATÈGIC'!$H$4:$H$452,MATCH($N404,'PLA ESTRATÈGIC'!$Q$4:$Q$452,0)),""))</f>
        <v/>
      </c>
      <c r="Q404" s="13" t="n"/>
      <c r="R404" s="11" t="n"/>
      <c r="S404" s="11" t="n"/>
      <c r="T404" s="11" t="n"/>
      <c r="U404" s="11" t="n"/>
      <c r="V404" s="10">
        <f>IF(COUNTA($C404,$D404,$J404,$M404)=0,"",IF(TRIM(IF($C404="","Falta l'actuació. ","")&amp;IF($D404="","Falta l'objectiu. ","")&amp;IF($J404="","Falta el tipus de despesa. ","")&amp;IF(AND($J404&lt;&gt;"",$J404&lt;&gt;"Mitjans propis",$J404&lt;&gt;"Altres",$M404=""),"Falta l'import. ","")&amp;IF(AND($J404="Contracte menor a càrrec del RAE",$K404=""),"Falta la partida RAE. ","")&amp;IF(AND($B404&lt;&gt;"",COUNTIF($B$6:$B$705,$B404)&gt;1),"Codi RAE repetit. ","")&amp;IF(AND($B404&lt;&gt;"",$J404&lt;&gt;"",$J404&lt;&gt;"Contracte menor a càrrec del RAE"),"Té codi RAE però no és de tipus RAE. ","")&amp;IF($N404="","Falta l'indicador del Pla. ","")&amp;IF($R404="","Falta el gestor. ","")&amp;IF($S404="","Falta indicar si és recurrent. ",""))="","✔",TRIM(IF($C404="","Falta l'actuació. ","")&amp;IF($D404="","Falta l'objectiu. ","")&amp;IF($J404="","Falta el tipus de despesa. ","")&amp;IF(AND($J404&lt;&gt;"",$J404&lt;&gt;"Mitjans propis",$J404&lt;&gt;"Altres",$M404=""),"Falta l'import. ","")&amp;IF(AND($J404="Contracte menor a càrrec del RAE",$K404=""),"Falta la partida RAE. ","")&amp;IF(AND($B404&lt;&gt;"",COUNTIF($B$6:$B$705,$B404)&gt;1),"Codi RAE repetit. ","")&amp;IF(AND($B404&lt;&gt;"",$J404&lt;&gt;"",$J404&lt;&gt;"Contracte menor a càrrec del RAE"),"Té codi RAE però no és de tipus RAE. ","")&amp;IF($N404="","Falta l'indicador del Pla. ","")&amp;IF($R404="","Falta el gestor. ","")&amp;IF($S404="","Falta indicar si és recurrent. ",""))))</f>
        <v/>
      </c>
    </row>
    <row r="405">
      <c r="A405" s="10">
        <f>IF($D405="","","27_"&amp;IFERROR(INDEX(Objectius!$E$2:$E$183,MATCH($D405,Objectius!$A$2:$A$183,0)),"??")&amp;"_"&amp;TEXT(COUNTIF($I$6:$I405,$I405),"00"))</f>
        <v/>
      </c>
      <c r="B405" s="11" t="n"/>
      <c r="C405" s="11" t="n"/>
      <c r="D405" s="11" t="n"/>
      <c r="E405" s="10">
        <f>IF($D405="","",IFERROR(INDEX(Objectius!$C$2:$C$183,MATCH($D405,Objectius!$A$2:$A$183,0)),"Objectiu no trobat al Pla"))</f>
        <v/>
      </c>
      <c r="F405" s="11" t="n"/>
      <c r="G405" s="11" t="n"/>
      <c r="H405" s="11" t="n"/>
      <c r="I405" s="10">
        <f>IF($D405="","",IFERROR(INDEX(Objectius!$D$2:$D$183,MATCH($D405,Objectius!$A$2:$A$183,0)),""))</f>
        <v/>
      </c>
      <c r="J405" s="11" t="n"/>
      <c r="K405" s="11" t="n"/>
      <c r="L405" s="11" t="n"/>
      <c r="M405" s="12" t="n"/>
      <c r="N405" s="11" t="n"/>
      <c r="O405" s="10">
        <f>IF($N405="","",IFERROR(INDEX('PLA ESTRATÈGIC'!$G$4:$G$452,MATCH($N405,'PLA ESTRATÈGIC'!$Q$4:$Q$452,0)),""))</f>
        <v/>
      </c>
      <c r="P405" s="10">
        <f>IF($N405="","",IFERROR(INDEX('PLA ESTRATÈGIC'!$H$4:$H$452,MATCH($N405,'PLA ESTRATÈGIC'!$Q$4:$Q$452,0)),""))</f>
        <v/>
      </c>
      <c r="Q405" s="13" t="n"/>
      <c r="R405" s="11" t="n"/>
      <c r="S405" s="11" t="n"/>
      <c r="T405" s="11" t="n"/>
      <c r="U405" s="11" t="n"/>
      <c r="V405" s="10">
        <f>IF(COUNTA($C405,$D405,$J405,$M405)=0,"",IF(TRIM(IF($C405="","Falta l'actuació. ","")&amp;IF($D405="","Falta l'objectiu. ","")&amp;IF($J405="","Falta el tipus de despesa. ","")&amp;IF(AND($J405&lt;&gt;"",$J405&lt;&gt;"Mitjans propis",$J405&lt;&gt;"Altres",$M405=""),"Falta l'import. ","")&amp;IF(AND($J405="Contracte menor a càrrec del RAE",$K405=""),"Falta la partida RAE. ","")&amp;IF(AND($B405&lt;&gt;"",COUNTIF($B$6:$B$705,$B405)&gt;1),"Codi RAE repetit. ","")&amp;IF(AND($B405&lt;&gt;"",$J405&lt;&gt;"",$J405&lt;&gt;"Contracte menor a càrrec del RAE"),"Té codi RAE però no és de tipus RAE. ","")&amp;IF($N405="","Falta l'indicador del Pla. ","")&amp;IF($R405="","Falta el gestor. ","")&amp;IF($S405="","Falta indicar si és recurrent. ",""))="","✔",TRIM(IF($C405="","Falta l'actuació. ","")&amp;IF($D405="","Falta l'objectiu. ","")&amp;IF($J405="","Falta el tipus de despesa. ","")&amp;IF(AND($J405&lt;&gt;"",$J405&lt;&gt;"Mitjans propis",$J405&lt;&gt;"Altres",$M405=""),"Falta l'import. ","")&amp;IF(AND($J405="Contracte menor a càrrec del RAE",$K405=""),"Falta la partida RAE. ","")&amp;IF(AND($B405&lt;&gt;"",COUNTIF($B$6:$B$705,$B405)&gt;1),"Codi RAE repetit. ","")&amp;IF(AND($B405&lt;&gt;"",$J405&lt;&gt;"",$J405&lt;&gt;"Contracte menor a càrrec del RAE"),"Té codi RAE però no és de tipus RAE. ","")&amp;IF($N405="","Falta l'indicador del Pla. ","")&amp;IF($R405="","Falta el gestor. ","")&amp;IF($S405="","Falta indicar si és recurrent. ",""))))</f>
        <v/>
      </c>
    </row>
    <row r="406">
      <c r="A406" s="10">
        <f>IF($D406="","","27_"&amp;IFERROR(INDEX(Objectius!$E$2:$E$183,MATCH($D406,Objectius!$A$2:$A$183,0)),"??")&amp;"_"&amp;TEXT(COUNTIF($I$6:$I406,$I406),"00"))</f>
        <v/>
      </c>
      <c r="B406" s="11" t="n"/>
      <c r="C406" s="11" t="n"/>
      <c r="D406" s="11" t="n"/>
      <c r="E406" s="10">
        <f>IF($D406="","",IFERROR(INDEX(Objectius!$C$2:$C$183,MATCH($D406,Objectius!$A$2:$A$183,0)),"Objectiu no trobat al Pla"))</f>
        <v/>
      </c>
      <c r="F406" s="11" t="n"/>
      <c r="G406" s="11" t="n"/>
      <c r="H406" s="11" t="n"/>
      <c r="I406" s="10">
        <f>IF($D406="","",IFERROR(INDEX(Objectius!$D$2:$D$183,MATCH($D406,Objectius!$A$2:$A$183,0)),""))</f>
        <v/>
      </c>
      <c r="J406" s="11" t="n"/>
      <c r="K406" s="11" t="n"/>
      <c r="L406" s="11" t="n"/>
      <c r="M406" s="12" t="n"/>
      <c r="N406" s="11" t="n"/>
      <c r="O406" s="10">
        <f>IF($N406="","",IFERROR(INDEX('PLA ESTRATÈGIC'!$G$4:$G$452,MATCH($N406,'PLA ESTRATÈGIC'!$Q$4:$Q$452,0)),""))</f>
        <v/>
      </c>
      <c r="P406" s="10">
        <f>IF($N406="","",IFERROR(INDEX('PLA ESTRATÈGIC'!$H$4:$H$452,MATCH($N406,'PLA ESTRATÈGIC'!$Q$4:$Q$452,0)),""))</f>
        <v/>
      </c>
      <c r="Q406" s="13" t="n"/>
      <c r="R406" s="11" t="n"/>
      <c r="S406" s="11" t="n"/>
      <c r="T406" s="11" t="n"/>
      <c r="U406" s="11" t="n"/>
      <c r="V406" s="10">
        <f>IF(COUNTA($C406,$D406,$J406,$M406)=0,"",IF(TRIM(IF($C406="","Falta l'actuació. ","")&amp;IF($D406="","Falta l'objectiu. ","")&amp;IF($J406="","Falta el tipus de despesa. ","")&amp;IF(AND($J406&lt;&gt;"",$J406&lt;&gt;"Mitjans propis",$J406&lt;&gt;"Altres",$M406=""),"Falta l'import. ","")&amp;IF(AND($J406="Contracte menor a càrrec del RAE",$K406=""),"Falta la partida RAE. ","")&amp;IF(AND($B406&lt;&gt;"",COUNTIF($B$6:$B$705,$B406)&gt;1),"Codi RAE repetit. ","")&amp;IF(AND($B406&lt;&gt;"",$J406&lt;&gt;"",$J406&lt;&gt;"Contracte menor a càrrec del RAE"),"Té codi RAE però no és de tipus RAE. ","")&amp;IF($N406="","Falta l'indicador del Pla. ","")&amp;IF($R406="","Falta el gestor. ","")&amp;IF($S406="","Falta indicar si és recurrent. ",""))="","✔",TRIM(IF($C406="","Falta l'actuació. ","")&amp;IF($D406="","Falta l'objectiu. ","")&amp;IF($J406="","Falta el tipus de despesa. ","")&amp;IF(AND($J406&lt;&gt;"",$J406&lt;&gt;"Mitjans propis",$J406&lt;&gt;"Altres",$M406=""),"Falta l'import. ","")&amp;IF(AND($J406="Contracte menor a càrrec del RAE",$K406=""),"Falta la partida RAE. ","")&amp;IF(AND($B406&lt;&gt;"",COUNTIF($B$6:$B$705,$B406)&gt;1),"Codi RAE repetit. ","")&amp;IF(AND($B406&lt;&gt;"",$J406&lt;&gt;"",$J406&lt;&gt;"Contracte menor a càrrec del RAE"),"Té codi RAE però no és de tipus RAE. ","")&amp;IF($N406="","Falta l'indicador del Pla. ","")&amp;IF($R406="","Falta el gestor. ","")&amp;IF($S406="","Falta indicar si és recurrent. ",""))))</f>
        <v/>
      </c>
    </row>
    <row r="407">
      <c r="A407" s="10">
        <f>IF($D407="","","27_"&amp;IFERROR(INDEX(Objectius!$E$2:$E$183,MATCH($D407,Objectius!$A$2:$A$183,0)),"??")&amp;"_"&amp;TEXT(COUNTIF($I$6:$I407,$I407),"00"))</f>
        <v/>
      </c>
      <c r="B407" s="11" t="n"/>
      <c r="C407" s="11" t="n"/>
      <c r="D407" s="11" t="n"/>
      <c r="E407" s="10">
        <f>IF($D407="","",IFERROR(INDEX(Objectius!$C$2:$C$183,MATCH($D407,Objectius!$A$2:$A$183,0)),"Objectiu no trobat al Pla"))</f>
        <v/>
      </c>
      <c r="F407" s="11" t="n"/>
      <c r="G407" s="11" t="n"/>
      <c r="H407" s="11" t="n"/>
      <c r="I407" s="10">
        <f>IF($D407="","",IFERROR(INDEX(Objectius!$D$2:$D$183,MATCH($D407,Objectius!$A$2:$A$183,0)),""))</f>
        <v/>
      </c>
      <c r="J407" s="11" t="n"/>
      <c r="K407" s="11" t="n"/>
      <c r="L407" s="11" t="n"/>
      <c r="M407" s="12" t="n"/>
      <c r="N407" s="11" t="n"/>
      <c r="O407" s="10">
        <f>IF($N407="","",IFERROR(INDEX('PLA ESTRATÈGIC'!$G$4:$G$452,MATCH($N407,'PLA ESTRATÈGIC'!$Q$4:$Q$452,0)),""))</f>
        <v/>
      </c>
      <c r="P407" s="10">
        <f>IF($N407="","",IFERROR(INDEX('PLA ESTRATÈGIC'!$H$4:$H$452,MATCH($N407,'PLA ESTRATÈGIC'!$Q$4:$Q$452,0)),""))</f>
        <v/>
      </c>
      <c r="Q407" s="13" t="n"/>
      <c r="R407" s="11" t="n"/>
      <c r="S407" s="11" t="n"/>
      <c r="T407" s="11" t="n"/>
      <c r="U407" s="11" t="n"/>
      <c r="V407" s="10">
        <f>IF(COUNTA($C407,$D407,$J407,$M407)=0,"",IF(TRIM(IF($C407="","Falta l'actuació. ","")&amp;IF($D407="","Falta l'objectiu. ","")&amp;IF($J407="","Falta el tipus de despesa. ","")&amp;IF(AND($J407&lt;&gt;"",$J407&lt;&gt;"Mitjans propis",$J407&lt;&gt;"Altres",$M407=""),"Falta l'import. ","")&amp;IF(AND($J407="Contracte menor a càrrec del RAE",$K407=""),"Falta la partida RAE. ","")&amp;IF(AND($B407&lt;&gt;"",COUNTIF($B$6:$B$705,$B407)&gt;1),"Codi RAE repetit. ","")&amp;IF(AND($B407&lt;&gt;"",$J407&lt;&gt;"",$J407&lt;&gt;"Contracte menor a càrrec del RAE"),"Té codi RAE però no és de tipus RAE. ","")&amp;IF($N407="","Falta l'indicador del Pla. ","")&amp;IF($R407="","Falta el gestor. ","")&amp;IF($S407="","Falta indicar si és recurrent. ",""))="","✔",TRIM(IF($C407="","Falta l'actuació. ","")&amp;IF($D407="","Falta l'objectiu. ","")&amp;IF($J407="","Falta el tipus de despesa. ","")&amp;IF(AND($J407&lt;&gt;"",$J407&lt;&gt;"Mitjans propis",$J407&lt;&gt;"Altres",$M407=""),"Falta l'import. ","")&amp;IF(AND($J407="Contracte menor a càrrec del RAE",$K407=""),"Falta la partida RAE. ","")&amp;IF(AND($B407&lt;&gt;"",COUNTIF($B$6:$B$705,$B407)&gt;1),"Codi RAE repetit. ","")&amp;IF(AND($B407&lt;&gt;"",$J407&lt;&gt;"",$J407&lt;&gt;"Contracte menor a càrrec del RAE"),"Té codi RAE però no és de tipus RAE. ","")&amp;IF($N407="","Falta l'indicador del Pla. ","")&amp;IF($R407="","Falta el gestor. ","")&amp;IF($S407="","Falta indicar si és recurrent. ",""))))</f>
        <v/>
      </c>
    </row>
    <row r="408">
      <c r="A408" s="10">
        <f>IF($D408="","","27_"&amp;IFERROR(INDEX(Objectius!$E$2:$E$183,MATCH($D408,Objectius!$A$2:$A$183,0)),"??")&amp;"_"&amp;TEXT(COUNTIF($I$6:$I408,$I408),"00"))</f>
        <v/>
      </c>
      <c r="B408" s="11" t="n"/>
      <c r="C408" s="11" t="n"/>
      <c r="D408" s="11" t="n"/>
      <c r="E408" s="10">
        <f>IF($D408="","",IFERROR(INDEX(Objectius!$C$2:$C$183,MATCH($D408,Objectius!$A$2:$A$183,0)),"Objectiu no trobat al Pla"))</f>
        <v/>
      </c>
      <c r="F408" s="11" t="n"/>
      <c r="G408" s="11" t="n"/>
      <c r="H408" s="11" t="n"/>
      <c r="I408" s="10">
        <f>IF($D408="","",IFERROR(INDEX(Objectius!$D$2:$D$183,MATCH($D408,Objectius!$A$2:$A$183,0)),""))</f>
        <v/>
      </c>
      <c r="J408" s="11" t="n"/>
      <c r="K408" s="11" t="n"/>
      <c r="L408" s="11" t="n"/>
      <c r="M408" s="12" t="n"/>
      <c r="N408" s="11" t="n"/>
      <c r="O408" s="10">
        <f>IF($N408="","",IFERROR(INDEX('PLA ESTRATÈGIC'!$G$4:$G$452,MATCH($N408,'PLA ESTRATÈGIC'!$Q$4:$Q$452,0)),""))</f>
        <v/>
      </c>
      <c r="P408" s="10">
        <f>IF($N408="","",IFERROR(INDEX('PLA ESTRATÈGIC'!$H$4:$H$452,MATCH($N408,'PLA ESTRATÈGIC'!$Q$4:$Q$452,0)),""))</f>
        <v/>
      </c>
      <c r="Q408" s="13" t="n"/>
      <c r="R408" s="11" t="n"/>
      <c r="S408" s="11" t="n"/>
      <c r="T408" s="11" t="n"/>
      <c r="U408" s="11" t="n"/>
      <c r="V408" s="10">
        <f>IF(COUNTA($C408,$D408,$J408,$M408)=0,"",IF(TRIM(IF($C408="","Falta l'actuació. ","")&amp;IF($D408="","Falta l'objectiu. ","")&amp;IF($J408="","Falta el tipus de despesa. ","")&amp;IF(AND($J408&lt;&gt;"",$J408&lt;&gt;"Mitjans propis",$J408&lt;&gt;"Altres",$M408=""),"Falta l'import. ","")&amp;IF(AND($J408="Contracte menor a càrrec del RAE",$K408=""),"Falta la partida RAE. ","")&amp;IF(AND($B408&lt;&gt;"",COUNTIF($B$6:$B$705,$B408)&gt;1),"Codi RAE repetit. ","")&amp;IF(AND($B408&lt;&gt;"",$J408&lt;&gt;"",$J408&lt;&gt;"Contracte menor a càrrec del RAE"),"Té codi RAE però no és de tipus RAE. ","")&amp;IF($N408="","Falta l'indicador del Pla. ","")&amp;IF($R408="","Falta el gestor. ","")&amp;IF($S408="","Falta indicar si és recurrent. ",""))="","✔",TRIM(IF($C408="","Falta l'actuació. ","")&amp;IF($D408="","Falta l'objectiu. ","")&amp;IF($J408="","Falta el tipus de despesa. ","")&amp;IF(AND($J408&lt;&gt;"",$J408&lt;&gt;"Mitjans propis",$J408&lt;&gt;"Altres",$M408=""),"Falta l'import. ","")&amp;IF(AND($J408="Contracte menor a càrrec del RAE",$K408=""),"Falta la partida RAE. ","")&amp;IF(AND($B408&lt;&gt;"",COUNTIF($B$6:$B$705,$B408)&gt;1),"Codi RAE repetit. ","")&amp;IF(AND($B408&lt;&gt;"",$J408&lt;&gt;"",$J408&lt;&gt;"Contracte menor a càrrec del RAE"),"Té codi RAE però no és de tipus RAE. ","")&amp;IF($N408="","Falta l'indicador del Pla. ","")&amp;IF($R408="","Falta el gestor. ","")&amp;IF($S408="","Falta indicar si és recurrent. ",""))))</f>
        <v/>
      </c>
    </row>
    <row r="409">
      <c r="A409" s="10">
        <f>IF($D409="","","27_"&amp;IFERROR(INDEX(Objectius!$E$2:$E$183,MATCH($D409,Objectius!$A$2:$A$183,0)),"??")&amp;"_"&amp;TEXT(COUNTIF($I$6:$I409,$I409),"00"))</f>
        <v/>
      </c>
      <c r="B409" s="11" t="n"/>
      <c r="C409" s="11" t="n"/>
      <c r="D409" s="11" t="n"/>
      <c r="E409" s="10">
        <f>IF($D409="","",IFERROR(INDEX(Objectius!$C$2:$C$183,MATCH($D409,Objectius!$A$2:$A$183,0)),"Objectiu no trobat al Pla"))</f>
        <v/>
      </c>
      <c r="F409" s="11" t="n"/>
      <c r="G409" s="11" t="n"/>
      <c r="H409" s="11" t="n"/>
      <c r="I409" s="10">
        <f>IF($D409="","",IFERROR(INDEX(Objectius!$D$2:$D$183,MATCH($D409,Objectius!$A$2:$A$183,0)),""))</f>
        <v/>
      </c>
      <c r="J409" s="11" t="n"/>
      <c r="K409" s="11" t="n"/>
      <c r="L409" s="11" t="n"/>
      <c r="M409" s="12" t="n"/>
      <c r="N409" s="11" t="n"/>
      <c r="O409" s="10">
        <f>IF($N409="","",IFERROR(INDEX('PLA ESTRATÈGIC'!$G$4:$G$452,MATCH($N409,'PLA ESTRATÈGIC'!$Q$4:$Q$452,0)),""))</f>
        <v/>
      </c>
      <c r="P409" s="10">
        <f>IF($N409="","",IFERROR(INDEX('PLA ESTRATÈGIC'!$H$4:$H$452,MATCH($N409,'PLA ESTRATÈGIC'!$Q$4:$Q$452,0)),""))</f>
        <v/>
      </c>
      <c r="Q409" s="13" t="n"/>
      <c r="R409" s="11" t="n"/>
      <c r="S409" s="11" t="n"/>
      <c r="T409" s="11" t="n"/>
      <c r="U409" s="11" t="n"/>
      <c r="V409" s="10">
        <f>IF(COUNTA($C409,$D409,$J409,$M409)=0,"",IF(TRIM(IF($C409="","Falta l'actuació. ","")&amp;IF($D409="","Falta l'objectiu. ","")&amp;IF($J409="","Falta el tipus de despesa. ","")&amp;IF(AND($J409&lt;&gt;"",$J409&lt;&gt;"Mitjans propis",$J409&lt;&gt;"Altres",$M409=""),"Falta l'import. ","")&amp;IF(AND($J409="Contracte menor a càrrec del RAE",$K409=""),"Falta la partida RAE. ","")&amp;IF(AND($B409&lt;&gt;"",COUNTIF($B$6:$B$705,$B409)&gt;1),"Codi RAE repetit. ","")&amp;IF(AND($B409&lt;&gt;"",$J409&lt;&gt;"",$J409&lt;&gt;"Contracte menor a càrrec del RAE"),"Té codi RAE però no és de tipus RAE. ","")&amp;IF($N409="","Falta l'indicador del Pla. ","")&amp;IF($R409="","Falta el gestor. ","")&amp;IF($S409="","Falta indicar si és recurrent. ",""))="","✔",TRIM(IF($C409="","Falta l'actuació. ","")&amp;IF($D409="","Falta l'objectiu. ","")&amp;IF($J409="","Falta el tipus de despesa. ","")&amp;IF(AND($J409&lt;&gt;"",$J409&lt;&gt;"Mitjans propis",$J409&lt;&gt;"Altres",$M409=""),"Falta l'import. ","")&amp;IF(AND($J409="Contracte menor a càrrec del RAE",$K409=""),"Falta la partida RAE. ","")&amp;IF(AND($B409&lt;&gt;"",COUNTIF($B$6:$B$705,$B409)&gt;1),"Codi RAE repetit. ","")&amp;IF(AND($B409&lt;&gt;"",$J409&lt;&gt;"",$J409&lt;&gt;"Contracte menor a càrrec del RAE"),"Té codi RAE però no és de tipus RAE. ","")&amp;IF($N409="","Falta l'indicador del Pla. ","")&amp;IF($R409="","Falta el gestor. ","")&amp;IF($S409="","Falta indicar si és recurrent. ",""))))</f>
        <v/>
      </c>
    </row>
    <row r="410">
      <c r="A410" s="10">
        <f>IF($D410="","","27_"&amp;IFERROR(INDEX(Objectius!$E$2:$E$183,MATCH($D410,Objectius!$A$2:$A$183,0)),"??")&amp;"_"&amp;TEXT(COUNTIF($I$6:$I410,$I410),"00"))</f>
        <v/>
      </c>
      <c r="B410" s="11" t="n"/>
      <c r="C410" s="11" t="n"/>
      <c r="D410" s="11" t="n"/>
      <c r="E410" s="10">
        <f>IF($D410="","",IFERROR(INDEX(Objectius!$C$2:$C$183,MATCH($D410,Objectius!$A$2:$A$183,0)),"Objectiu no trobat al Pla"))</f>
        <v/>
      </c>
      <c r="F410" s="11" t="n"/>
      <c r="G410" s="11" t="n"/>
      <c r="H410" s="11" t="n"/>
      <c r="I410" s="10">
        <f>IF($D410="","",IFERROR(INDEX(Objectius!$D$2:$D$183,MATCH($D410,Objectius!$A$2:$A$183,0)),""))</f>
        <v/>
      </c>
      <c r="J410" s="11" t="n"/>
      <c r="K410" s="11" t="n"/>
      <c r="L410" s="11" t="n"/>
      <c r="M410" s="12" t="n"/>
      <c r="N410" s="11" t="n"/>
      <c r="O410" s="10">
        <f>IF($N410="","",IFERROR(INDEX('PLA ESTRATÈGIC'!$G$4:$G$452,MATCH($N410,'PLA ESTRATÈGIC'!$Q$4:$Q$452,0)),""))</f>
        <v/>
      </c>
      <c r="P410" s="10">
        <f>IF($N410="","",IFERROR(INDEX('PLA ESTRATÈGIC'!$H$4:$H$452,MATCH($N410,'PLA ESTRATÈGIC'!$Q$4:$Q$452,0)),""))</f>
        <v/>
      </c>
      <c r="Q410" s="13" t="n"/>
      <c r="R410" s="11" t="n"/>
      <c r="S410" s="11" t="n"/>
      <c r="T410" s="11" t="n"/>
      <c r="U410" s="11" t="n"/>
      <c r="V410" s="10">
        <f>IF(COUNTA($C410,$D410,$J410,$M410)=0,"",IF(TRIM(IF($C410="","Falta l'actuació. ","")&amp;IF($D410="","Falta l'objectiu. ","")&amp;IF($J410="","Falta el tipus de despesa. ","")&amp;IF(AND($J410&lt;&gt;"",$J410&lt;&gt;"Mitjans propis",$J410&lt;&gt;"Altres",$M410=""),"Falta l'import. ","")&amp;IF(AND($J410="Contracte menor a càrrec del RAE",$K410=""),"Falta la partida RAE. ","")&amp;IF(AND($B410&lt;&gt;"",COUNTIF($B$6:$B$705,$B410)&gt;1),"Codi RAE repetit. ","")&amp;IF(AND($B410&lt;&gt;"",$J410&lt;&gt;"",$J410&lt;&gt;"Contracte menor a càrrec del RAE"),"Té codi RAE però no és de tipus RAE. ","")&amp;IF($N410="","Falta l'indicador del Pla. ","")&amp;IF($R410="","Falta el gestor. ","")&amp;IF($S410="","Falta indicar si és recurrent. ",""))="","✔",TRIM(IF($C410="","Falta l'actuació. ","")&amp;IF($D410="","Falta l'objectiu. ","")&amp;IF($J410="","Falta el tipus de despesa. ","")&amp;IF(AND($J410&lt;&gt;"",$J410&lt;&gt;"Mitjans propis",$J410&lt;&gt;"Altres",$M410=""),"Falta l'import. ","")&amp;IF(AND($J410="Contracte menor a càrrec del RAE",$K410=""),"Falta la partida RAE. ","")&amp;IF(AND($B410&lt;&gt;"",COUNTIF($B$6:$B$705,$B410)&gt;1),"Codi RAE repetit. ","")&amp;IF(AND($B410&lt;&gt;"",$J410&lt;&gt;"",$J410&lt;&gt;"Contracte menor a càrrec del RAE"),"Té codi RAE però no és de tipus RAE. ","")&amp;IF($N410="","Falta l'indicador del Pla. ","")&amp;IF($R410="","Falta el gestor. ","")&amp;IF($S410="","Falta indicar si és recurrent. ",""))))</f>
        <v/>
      </c>
    </row>
    <row r="411">
      <c r="A411" s="10">
        <f>IF($D411="","","27_"&amp;IFERROR(INDEX(Objectius!$E$2:$E$183,MATCH($D411,Objectius!$A$2:$A$183,0)),"??")&amp;"_"&amp;TEXT(COUNTIF($I$6:$I411,$I411),"00"))</f>
        <v/>
      </c>
      <c r="B411" s="11" t="n"/>
      <c r="C411" s="11" t="n"/>
      <c r="D411" s="11" t="n"/>
      <c r="E411" s="10">
        <f>IF($D411="","",IFERROR(INDEX(Objectius!$C$2:$C$183,MATCH($D411,Objectius!$A$2:$A$183,0)),"Objectiu no trobat al Pla"))</f>
        <v/>
      </c>
      <c r="F411" s="11" t="n"/>
      <c r="G411" s="11" t="n"/>
      <c r="H411" s="11" t="n"/>
      <c r="I411" s="10">
        <f>IF($D411="","",IFERROR(INDEX(Objectius!$D$2:$D$183,MATCH($D411,Objectius!$A$2:$A$183,0)),""))</f>
        <v/>
      </c>
      <c r="J411" s="11" t="n"/>
      <c r="K411" s="11" t="n"/>
      <c r="L411" s="11" t="n"/>
      <c r="M411" s="12" t="n"/>
      <c r="N411" s="11" t="n"/>
      <c r="O411" s="10">
        <f>IF($N411="","",IFERROR(INDEX('PLA ESTRATÈGIC'!$G$4:$G$452,MATCH($N411,'PLA ESTRATÈGIC'!$Q$4:$Q$452,0)),""))</f>
        <v/>
      </c>
      <c r="P411" s="10">
        <f>IF($N411="","",IFERROR(INDEX('PLA ESTRATÈGIC'!$H$4:$H$452,MATCH($N411,'PLA ESTRATÈGIC'!$Q$4:$Q$452,0)),""))</f>
        <v/>
      </c>
      <c r="Q411" s="13" t="n"/>
      <c r="R411" s="11" t="n"/>
      <c r="S411" s="11" t="n"/>
      <c r="T411" s="11" t="n"/>
      <c r="U411" s="11" t="n"/>
      <c r="V411" s="10">
        <f>IF(COUNTA($C411,$D411,$J411,$M411)=0,"",IF(TRIM(IF($C411="","Falta l'actuació. ","")&amp;IF($D411="","Falta l'objectiu. ","")&amp;IF($J411="","Falta el tipus de despesa. ","")&amp;IF(AND($J411&lt;&gt;"",$J411&lt;&gt;"Mitjans propis",$J411&lt;&gt;"Altres",$M411=""),"Falta l'import. ","")&amp;IF(AND($J411="Contracte menor a càrrec del RAE",$K411=""),"Falta la partida RAE. ","")&amp;IF(AND($B411&lt;&gt;"",COUNTIF($B$6:$B$705,$B411)&gt;1),"Codi RAE repetit. ","")&amp;IF(AND($B411&lt;&gt;"",$J411&lt;&gt;"",$J411&lt;&gt;"Contracte menor a càrrec del RAE"),"Té codi RAE però no és de tipus RAE. ","")&amp;IF($N411="","Falta l'indicador del Pla. ","")&amp;IF($R411="","Falta el gestor. ","")&amp;IF($S411="","Falta indicar si és recurrent. ",""))="","✔",TRIM(IF($C411="","Falta l'actuació. ","")&amp;IF($D411="","Falta l'objectiu. ","")&amp;IF($J411="","Falta el tipus de despesa. ","")&amp;IF(AND($J411&lt;&gt;"",$J411&lt;&gt;"Mitjans propis",$J411&lt;&gt;"Altres",$M411=""),"Falta l'import. ","")&amp;IF(AND($J411="Contracte menor a càrrec del RAE",$K411=""),"Falta la partida RAE. ","")&amp;IF(AND($B411&lt;&gt;"",COUNTIF($B$6:$B$705,$B411)&gt;1),"Codi RAE repetit. ","")&amp;IF(AND($B411&lt;&gt;"",$J411&lt;&gt;"",$J411&lt;&gt;"Contracte menor a càrrec del RAE"),"Té codi RAE però no és de tipus RAE. ","")&amp;IF($N411="","Falta l'indicador del Pla. ","")&amp;IF($R411="","Falta el gestor. ","")&amp;IF($S411="","Falta indicar si és recurrent. ",""))))</f>
        <v/>
      </c>
    </row>
    <row r="412">
      <c r="A412" s="10">
        <f>IF($D412="","","27_"&amp;IFERROR(INDEX(Objectius!$E$2:$E$183,MATCH($D412,Objectius!$A$2:$A$183,0)),"??")&amp;"_"&amp;TEXT(COUNTIF($I$6:$I412,$I412),"00"))</f>
        <v/>
      </c>
      <c r="B412" s="11" t="n"/>
      <c r="C412" s="11" t="n"/>
      <c r="D412" s="11" t="n"/>
      <c r="E412" s="10">
        <f>IF($D412="","",IFERROR(INDEX(Objectius!$C$2:$C$183,MATCH($D412,Objectius!$A$2:$A$183,0)),"Objectiu no trobat al Pla"))</f>
        <v/>
      </c>
      <c r="F412" s="11" t="n"/>
      <c r="G412" s="11" t="n"/>
      <c r="H412" s="11" t="n"/>
      <c r="I412" s="10">
        <f>IF($D412="","",IFERROR(INDEX(Objectius!$D$2:$D$183,MATCH($D412,Objectius!$A$2:$A$183,0)),""))</f>
        <v/>
      </c>
      <c r="J412" s="11" t="n"/>
      <c r="K412" s="11" t="n"/>
      <c r="L412" s="11" t="n"/>
      <c r="M412" s="12" t="n"/>
      <c r="N412" s="11" t="n"/>
      <c r="O412" s="10">
        <f>IF($N412="","",IFERROR(INDEX('PLA ESTRATÈGIC'!$G$4:$G$452,MATCH($N412,'PLA ESTRATÈGIC'!$Q$4:$Q$452,0)),""))</f>
        <v/>
      </c>
      <c r="P412" s="10">
        <f>IF($N412="","",IFERROR(INDEX('PLA ESTRATÈGIC'!$H$4:$H$452,MATCH($N412,'PLA ESTRATÈGIC'!$Q$4:$Q$452,0)),""))</f>
        <v/>
      </c>
      <c r="Q412" s="13" t="n"/>
      <c r="R412" s="11" t="n"/>
      <c r="S412" s="11" t="n"/>
      <c r="T412" s="11" t="n"/>
      <c r="U412" s="11" t="n"/>
      <c r="V412" s="10">
        <f>IF(COUNTA($C412,$D412,$J412,$M412)=0,"",IF(TRIM(IF($C412="","Falta l'actuació. ","")&amp;IF($D412="","Falta l'objectiu. ","")&amp;IF($J412="","Falta el tipus de despesa. ","")&amp;IF(AND($J412&lt;&gt;"",$J412&lt;&gt;"Mitjans propis",$J412&lt;&gt;"Altres",$M412=""),"Falta l'import. ","")&amp;IF(AND($J412="Contracte menor a càrrec del RAE",$K412=""),"Falta la partida RAE. ","")&amp;IF(AND($B412&lt;&gt;"",COUNTIF($B$6:$B$705,$B412)&gt;1),"Codi RAE repetit. ","")&amp;IF(AND($B412&lt;&gt;"",$J412&lt;&gt;"",$J412&lt;&gt;"Contracte menor a càrrec del RAE"),"Té codi RAE però no és de tipus RAE. ","")&amp;IF($N412="","Falta l'indicador del Pla. ","")&amp;IF($R412="","Falta el gestor. ","")&amp;IF($S412="","Falta indicar si és recurrent. ",""))="","✔",TRIM(IF($C412="","Falta l'actuació. ","")&amp;IF($D412="","Falta l'objectiu. ","")&amp;IF($J412="","Falta el tipus de despesa. ","")&amp;IF(AND($J412&lt;&gt;"",$J412&lt;&gt;"Mitjans propis",$J412&lt;&gt;"Altres",$M412=""),"Falta l'import. ","")&amp;IF(AND($J412="Contracte menor a càrrec del RAE",$K412=""),"Falta la partida RAE. ","")&amp;IF(AND($B412&lt;&gt;"",COUNTIF($B$6:$B$705,$B412)&gt;1),"Codi RAE repetit. ","")&amp;IF(AND($B412&lt;&gt;"",$J412&lt;&gt;"",$J412&lt;&gt;"Contracte menor a càrrec del RAE"),"Té codi RAE però no és de tipus RAE. ","")&amp;IF($N412="","Falta l'indicador del Pla. ","")&amp;IF($R412="","Falta el gestor. ","")&amp;IF($S412="","Falta indicar si és recurrent. ",""))))</f>
        <v/>
      </c>
    </row>
    <row r="413">
      <c r="A413" s="10">
        <f>IF($D413="","","27_"&amp;IFERROR(INDEX(Objectius!$E$2:$E$183,MATCH($D413,Objectius!$A$2:$A$183,0)),"??")&amp;"_"&amp;TEXT(COUNTIF($I$6:$I413,$I413),"00"))</f>
        <v/>
      </c>
      <c r="B413" s="11" t="n"/>
      <c r="C413" s="11" t="n"/>
      <c r="D413" s="11" t="n"/>
      <c r="E413" s="10">
        <f>IF($D413="","",IFERROR(INDEX(Objectius!$C$2:$C$183,MATCH($D413,Objectius!$A$2:$A$183,0)),"Objectiu no trobat al Pla"))</f>
        <v/>
      </c>
      <c r="F413" s="11" t="n"/>
      <c r="G413" s="11" t="n"/>
      <c r="H413" s="11" t="n"/>
      <c r="I413" s="10">
        <f>IF($D413="","",IFERROR(INDEX(Objectius!$D$2:$D$183,MATCH($D413,Objectius!$A$2:$A$183,0)),""))</f>
        <v/>
      </c>
      <c r="J413" s="11" t="n"/>
      <c r="K413" s="11" t="n"/>
      <c r="L413" s="11" t="n"/>
      <c r="M413" s="12" t="n"/>
      <c r="N413" s="11" t="n"/>
      <c r="O413" s="10">
        <f>IF($N413="","",IFERROR(INDEX('PLA ESTRATÈGIC'!$G$4:$G$452,MATCH($N413,'PLA ESTRATÈGIC'!$Q$4:$Q$452,0)),""))</f>
        <v/>
      </c>
      <c r="P413" s="10">
        <f>IF($N413="","",IFERROR(INDEX('PLA ESTRATÈGIC'!$H$4:$H$452,MATCH($N413,'PLA ESTRATÈGIC'!$Q$4:$Q$452,0)),""))</f>
        <v/>
      </c>
      <c r="Q413" s="13" t="n"/>
      <c r="R413" s="11" t="n"/>
      <c r="S413" s="11" t="n"/>
      <c r="T413" s="11" t="n"/>
      <c r="U413" s="11" t="n"/>
      <c r="V413" s="10">
        <f>IF(COUNTA($C413,$D413,$J413,$M413)=0,"",IF(TRIM(IF($C413="","Falta l'actuació. ","")&amp;IF($D413="","Falta l'objectiu. ","")&amp;IF($J413="","Falta el tipus de despesa. ","")&amp;IF(AND($J413&lt;&gt;"",$J413&lt;&gt;"Mitjans propis",$J413&lt;&gt;"Altres",$M413=""),"Falta l'import. ","")&amp;IF(AND($J413="Contracte menor a càrrec del RAE",$K413=""),"Falta la partida RAE. ","")&amp;IF(AND($B413&lt;&gt;"",COUNTIF($B$6:$B$705,$B413)&gt;1),"Codi RAE repetit. ","")&amp;IF(AND($B413&lt;&gt;"",$J413&lt;&gt;"",$J413&lt;&gt;"Contracte menor a càrrec del RAE"),"Té codi RAE però no és de tipus RAE. ","")&amp;IF($N413="","Falta l'indicador del Pla. ","")&amp;IF($R413="","Falta el gestor. ","")&amp;IF($S413="","Falta indicar si és recurrent. ",""))="","✔",TRIM(IF($C413="","Falta l'actuació. ","")&amp;IF($D413="","Falta l'objectiu. ","")&amp;IF($J413="","Falta el tipus de despesa. ","")&amp;IF(AND($J413&lt;&gt;"",$J413&lt;&gt;"Mitjans propis",$J413&lt;&gt;"Altres",$M413=""),"Falta l'import. ","")&amp;IF(AND($J413="Contracte menor a càrrec del RAE",$K413=""),"Falta la partida RAE. ","")&amp;IF(AND($B413&lt;&gt;"",COUNTIF($B$6:$B$705,$B413)&gt;1),"Codi RAE repetit. ","")&amp;IF(AND($B413&lt;&gt;"",$J413&lt;&gt;"",$J413&lt;&gt;"Contracte menor a càrrec del RAE"),"Té codi RAE però no és de tipus RAE. ","")&amp;IF($N413="","Falta l'indicador del Pla. ","")&amp;IF($R413="","Falta el gestor. ","")&amp;IF($S413="","Falta indicar si és recurrent. ",""))))</f>
        <v/>
      </c>
    </row>
    <row r="414">
      <c r="A414" s="10">
        <f>IF($D414="","","27_"&amp;IFERROR(INDEX(Objectius!$E$2:$E$183,MATCH($D414,Objectius!$A$2:$A$183,0)),"??")&amp;"_"&amp;TEXT(COUNTIF($I$6:$I414,$I414),"00"))</f>
        <v/>
      </c>
      <c r="B414" s="11" t="n"/>
      <c r="C414" s="11" t="n"/>
      <c r="D414" s="11" t="n"/>
      <c r="E414" s="10">
        <f>IF($D414="","",IFERROR(INDEX(Objectius!$C$2:$C$183,MATCH($D414,Objectius!$A$2:$A$183,0)),"Objectiu no trobat al Pla"))</f>
        <v/>
      </c>
      <c r="F414" s="11" t="n"/>
      <c r="G414" s="11" t="n"/>
      <c r="H414" s="11" t="n"/>
      <c r="I414" s="10">
        <f>IF($D414="","",IFERROR(INDEX(Objectius!$D$2:$D$183,MATCH($D414,Objectius!$A$2:$A$183,0)),""))</f>
        <v/>
      </c>
      <c r="J414" s="11" t="n"/>
      <c r="K414" s="11" t="n"/>
      <c r="L414" s="11" t="n"/>
      <c r="M414" s="12" t="n"/>
      <c r="N414" s="11" t="n"/>
      <c r="O414" s="10">
        <f>IF($N414="","",IFERROR(INDEX('PLA ESTRATÈGIC'!$G$4:$G$452,MATCH($N414,'PLA ESTRATÈGIC'!$Q$4:$Q$452,0)),""))</f>
        <v/>
      </c>
      <c r="P414" s="10">
        <f>IF($N414="","",IFERROR(INDEX('PLA ESTRATÈGIC'!$H$4:$H$452,MATCH($N414,'PLA ESTRATÈGIC'!$Q$4:$Q$452,0)),""))</f>
        <v/>
      </c>
      <c r="Q414" s="13" t="n"/>
      <c r="R414" s="11" t="n"/>
      <c r="S414" s="11" t="n"/>
      <c r="T414" s="11" t="n"/>
      <c r="U414" s="11" t="n"/>
      <c r="V414" s="10">
        <f>IF(COUNTA($C414,$D414,$J414,$M414)=0,"",IF(TRIM(IF($C414="","Falta l'actuació. ","")&amp;IF($D414="","Falta l'objectiu. ","")&amp;IF($J414="","Falta el tipus de despesa. ","")&amp;IF(AND($J414&lt;&gt;"",$J414&lt;&gt;"Mitjans propis",$J414&lt;&gt;"Altres",$M414=""),"Falta l'import. ","")&amp;IF(AND($J414="Contracte menor a càrrec del RAE",$K414=""),"Falta la partida RAE. ","")&amp;IF(AND($B414&lt;&gt;"",COUNTIF($B$6:$B$705,$B414)&gt;1),"Codi RAE repetit. ","")&amp;IF(AND($B414&lt;&gt;"",$J414&lt;&gt;"",$J414&lt;&gt;"Contracte menor a càrrec del RAE"),"Té codi RAE però no és de tipus RAE. ","")&amp;IF($N414="","Falta l'indicador del Pla. ","")&amp;IF($R414="","Falta el gestor. ","")&amp;IF($S414="","Falta indicar si és recurrent. ",""))="","✔",TRIM(IF($C414="","Falta l'actuació. ","")&amp;IF($D414="","Falta l'objectiu. ","")&amp;IF($J414="","Falta el tipus de despesa. ","")&amp;IF(AND($J414&lt;&gt;"",$J414&lt;&gt;"Mitjans propis",$J414&lt;&gt;"Altres",$M414=""),"Falta l'import. ","")&amp;IF(AND($J414="Contracte menor a càrrec del RAE",$K414=""),"Falta la partida RAE. ","")&amp;IF(AND($B414&lt;&gt;"",COUNTIF($B$6:$B$705,$B414)&gt;1),"Codi RAE repetit. ","")&amp;IF(AND($B414&lt;&gt;"",$J414&lt;&gt;"",$J414&lt;&gt;"Contracte menor a càrrec del RAE"),"Té codi RAE però no és de tipus RAE. ","")&amp;IF($N414="","Falta l'indicador del Pla. ","")&amp;IF($R414="","Falta el gestor. ","")&amp;IF($S414="","Falta indicar si és recurrent. ",""))))</f>
        <v/>
      </c>
    </row>
    <row r="415">
      <c r="A415" s="10">
        <f>IF($D415="","","27_"&amp;IFERROR(INDEX(Objectius!$E$2:$E$183,MATCH($D415,Objectius!$A$2:$A$183,0)),"??")&amp;"_"&amp;TEXT(COUNTIF($I$6:$I415,$I415),"00"))</f>
        <v/>
      </c>
      <c r="B415" s="11" t="n"/>
      <c r="C415" s="11" t="n"/>
      <c r="D415" s="11" t="n"/>
      <c r="E415" s="10">
        <f>IF($D415="","",IFERROR(INDEX(Objectius!$C$2:$C$183,MATCH($D415,Objectius!$A$2:$A$183,0)),"Objectiu no trobat al Pla"))</f>
        <v/>
      </c>
      <c r="F415" s="11" t="n"/>
      <c r="G415" s="11" t="n"/>
      <c r="H415" s="11" t="n"/>
      <c r="I415" s="10">
        <f>IF($D415="","",IFERROR(INDEX(Objectius!$D$2:$D$183,MATCH($D415,Objectius!$A$2:$A$183,0)),""))</f>
        <v/>
      </c>
      <c r="J415" s="11" t="n"/>
      <c r="K415" s="11" t="n"/>
      <c r="L415" s="11" t="n"/>
      <c r="M415" s="12" t="n"/>
      <c r="N415" s="11" t="n"/>
      <c r="O415" s="10">
        <f>IF($N415="","",IFERROR(INDEX('PLA ESTRATÈGIC'!$G$4:$G$452,MATCH($N415,'PLA ESTRATÈGIC'!$Q$4:$Q$452,0)),""))</f>
        <v/>
      </c>
      <c r="P415" s="10">
        <f>IF($N415="","",IFERROR(INDEX('PLA ESTRATÈGIC'!$H$4:$H$452,MATCH($N415,'PLA ESTRATÈGIC'!$Q$4:$Q$452,0)),""))</f>
        <v/>
      </c>
      <c r="Q415" s="13" t="n"/>
      <c r="R415" s="11" t="n"/>
      <c r="S415" s="11" t="n"/>
      <c r="T415" s="11" t="n"/>
      <c r="U415" s="11" t="n"/>
      <c r="V415" s="10">
        <f>IF(COUNTA($C415,$D415,$J415,$M415)=0,"",IF(TRIM(IF($C415="","Falta l'actuació. ","")&amp;IF($D415="","Falta l'objectiu. ","")&amp;IF($J415="","Falta el tipus de despesa. ","")&amp;IF(AND($J415&lt;&gt;"",$J415&lt;&gt;"Mitjans propis",$J415&lt;&gt;"Altres",$M415=""),"Falta l'import. ","")&amp;IF(AND($J415="Contracte menor a càrrec del RAE",$K415=""),"Falta la partida RAE. ","")&amp;IF(AND($B415&lt;&gt;"",COUNTIF($B$6:$B$705,$B415)&gt;1),"Codi RAE repetit. ","")&amp;IF(AND($B415&lt;&gt;"",$J415&lt;&gt;"",$J415&lt;&gt;"Contracte menor a càrrec del RAE"),"Té codi RAE però no és de tipus RAE. ","")&amp;IF($N415="","Falta l'indicador del Pla. ","")&amp;IF($R415="","Falta el gestor. ","")&amp;IF($S415="","Falta indicar si és recurrent. ",""))="","✔",TRIM(IF($C415="","Falta l'actuació. ","")&amp;IF($D415="","Falta l'objectiu. ","")&amp;IF($J415="","Falta el tipus de despesa. ","")&amp;IF(AND($J415&lt;&gt;"",$J415&lt;&gt;"Mitjans propis",$J415&lt;&gt;"Altres",$M415=""),"Falta l'import. ","")&amp;IF(AND($J415="Contracte menor a càrrec del RAE",$K415=""),"Falta la partida RAE. ","")&amp;IF(AND($B415&lt;&gt;"",COUNTIF($B$6:$B$705,$B415)&gt;1),"Codi RAE repetit. ","")&amp;IF(AND($B415&lt;&gt;"",$J415&lt;&gt;"",$J415&lt;&gt;"Contracte menor a càrrec del RAE"),"Té codi RAE però no és de tipus RAE. ","")&amp;IF($N415="","Falta l'indicador del Pla. ","")&amp;IF($R415="","Falta el gestor. ","")&amp;IF($S415="","Falta indicar si és recurrent. ",""))))</f>
        <v/>
      </c>
    </row>
    <row r="416">
      <c r="A416" s="10">
        <f>IF($D416="","","27_"&amp;IFERROR(INDEX(Objectius!$E$2:$E$183,MATCH($D416,Objectius!$A$2:$A$183,0)),"??")&amp;"_"&amp;TEXT(COUNTIF($I$6:$I416,$I416),"00"))</f>
        <v/>
      </c>
      <c r="B416" s="11" t="n"/>
      <c r="C416" s="11" t="n"/>
      <c r="D416" s="11" t="n"/>
      <c r="E416" s="10">
        <f>IF($D416="","",IFERROR(INDEX(Objectius!$C$2:$C$183,MATCH($D416,Objectius!$A$2:$A$183,0)),"Objectiu no trobat al Pla"))</f>
        <v/>
      </c>
      <c r="F416" s="11" t="n"/>
      <c r="G416" s="11" t="n"/>
      <c r="H416" s="11" t="n"/>
      <c r="I416" s="10">
        <f>IF($D416="","",IFERROR(INDEX(Objectius!$D$2:$D$183,MATCH($D416,Objectius!$A$2:$A$183,0)),""))</f>
        <v/>
      </c>
      <c r="J416" s="11" t="n"/>
      <c r="K416" s="11" t="n"/>
      <c r="L416" s="11" t="n"/>
      <c r="M416" s="12" t="n"/>
      <c r="N416" s="11" t="n"/>
      <c r="O416" s="10">
        <f>IF($N416="","",IFERROR(INDEX('PLA ESTRATÈGIC'!$G$4:$G$452,MATCH($N416,'PLA ESTRATÈGIC'!$Q$4:$Q$452,0)),""))</f>
        <v/>
      </c>
      <c r="P416" s="10">
        <f>IF($N416="","",IFERROR(INDEX('PLA ESTRATÈGIC'!$H$4:$H$452,MATCH($N416,'PLA ESTRATÈGIC'!$Q$4:$Q$452,0)),""))</f>
        <v/>
      </c>
      <c r="Q416" s="13" t="n"/>
      <c r="R416" s="11" t="n"/>
      <c r="S416" s="11" t="n"/>
      <c r="T416" s="11" t="n"/>
      <c r="U416" s="11" t="n"/>
      <c r="V416" s="10">
        <f>IF(COUNTA($C416,$D416,$J416,$M416)=0,"",IF(TRIM(IF($C416="","Falta l'actuació. ","")&amp;IF($D416="","Falta l'objectiu. ","")&amp;IF($J416="","Falta el tipus de despesa. ","")&amp;IF(AND($J416&lt;&gt;"",$J416&lt;&gt;"Mitjans propis",$J416&lt;&gt;"Altres",$M416=""),"Falta l'import. ","")&amp;IF(AND($J416="Contracte menor a càrrec del RAE",$K416=""),"Falta la partida RAE. ","")&amp;IF(AND($B416&lt;&gt;"",COUNTIF($B$6:$B$705,$B416)&gt;1),"Codi RAE repetit. ","")&amp;IF(AND($B416&lt;&gt;"",$J416&lt;&gt;"",$J416&lt;&gt;"Contracte menor a càrrec del RAE"),"Té codi RAE però no és de tipus RAE. ","")&amp;IF($N416="","Falta l'indicador del Pla. ","")&amp;IF($R416="","Falta el gestor. ","")&amp;IF($S416="","Falta indicar si és recurrent. ",""))="","✔",TRIM(IF($C416="","Falta l'actuació. ","")&amp;IF($D416="","Falta l'objectiu. ","")&amp;IF($J416="","Falta el tipus de despesa. ","")&amp;IF(AND($J416&lt;&gt;"",$J416&lt;&gt;"Mitjans propis",$J416&lt;&gt;"Altres",$M416=""),"Falta l'import. ","")&amp;IF(AND($J416="Contracte menor a càrrec del RAE",$K416=""),"Falta la partida RAE. ","")&amp;IF(AND($B416&lt;&gt;"",COUNTIF($B$6:$B$705,$B416)&gt;1),"Codi RAE repetit. ","")&amp;IF(AND($B416&lt;&gt;"",$J416&lt;&gt;"",$J416&lt;&gt;"Contracte menor a càrrec del RAE"),"Té codi RAE però no és de tipus RAE. ","")&amp;IF($N416="","Falta l'indicador del Pla. ","")&amp;IF($R416="","Falta el gestor. ","")&amp;IF($S416="","Falta indicar si és recurrent. ",""))))</f>
        <v/>
      </c>
    </row>
    <row r="417">
      <c r="A417" s="10">
        <f>IF($D417="","","27_"&amp;IFERROR(INDEX(Objectius!$E$2:$E$183,MATCH($D417,Objectius!$A$2:$A$183,0)),"??")&amp;"_"&amp;TEXT(COUNTIF($I$6:$I417,$I417),"00"))</f>
        <v/>
      </c>
      <c r="B417" s="11" t="n"/>
      <c r="C417" s="11" t="n"/>
      <c r="D417" s="11" t="n"/>
      <c r="E417" s="10">
        <f>IF($D417="","",IFERROR(INDEX(Objectius!$C$2:$C$183,MATCH($D417,Objectius!$A$2:$A$183,0)),"Objectiu no trobat al Pla"))</f>
        <v/>
      </c>
      <c r="F417" s="11" t="n"/>
      <c r="G417" s="11" t="n"/>
      <c r="H417" s="11" t="n"/>
      <c r="I417" s="10">
        <f>IF($D417="","",IFERROR(INDEX(Objectius!$D$2:$D$183,MATCH($D417,Objectius!$A$2:$A$183,0)),""))</f>
        <v/>
      </c>
      <c r="J417" s="11" t="n"/>
      <c r="K417" s="11" t="n"/>
      <c r="L417" s="11" t="n"/>
      <c r="M417" s="12" t="n"/>
      <c r="N417" s="11" t="n"/>
      <c r="O417" s="10">
        <f>IF($N417="","",IFERROR(INDEX('PLA ESTRATÈGIC'!$G$4:$G$452,MATCH($N417,'PLA ESTRATÈGIC'!$Q$4:$Q$452,0)),""))</f>
        <v/>
      </c>
      <c r="P417" s="10">
        <f>IF($N417="","",IFERROR(INDEX('PLA ESTRATÈGIC'!$H$4:$H$452,MATCH($N417,'PLA ESTRATÈGIC'!$Q$4:$Q$452,0)),""))</f>
        <v/>
      </c>
      <c r="Q417" s="13" t="n"/>
      <c r="R417" s="11" t="n"/>
      <c r="S417" s="11" t="n"/>
      <c r="T417" s="11" t="n"/>
      <c r="U417" s="11" t="n"/>
      <c r="V417" s="10">
        <f>IF(COUNTA($C417,$D417,$J417,$M417)=0,"",IF(TRIM(IF($C417="","Falta l'actuació. ","")&amp;IF($D417="","Falta l'objectiu. ","")&amp;IF($J417="","Falta el tipus de despesa. ","")&amp;IF(AND($J417&lt;&gt;"",$J417&lt;&gt;"Mitjans propis",$J417&lt;&gt;"Altres",$M417=""),"Falta l'import. ","")&amp;IF(AND($J417="Contracte menor a càrrec del RAE",$K417=""),"Falta la partida RAE. ","")&amp;IF(AND($B417&lt;&gt;"",COUNTIF($B$6:$B$705,$B417)&gt;1),"Codi RAE repetit. ","")&amp;IF(AND($B417&lt;&gt;"",$J417&lt;&gt;"",$J417&lt;&gt;"Contracte menor a càrrec del RAE"),"Té codi RAE però no és de tipus RAE. ","")&amp;IF($N417="","Falta l'indicador del Pla. ","")&amp;IF($R417="","Falta el gestor. ","")&amp;IF($S417="","Falta indicar si és recurrent. ",""))="","✔",TRIM(IF($C417="","Falta l'actuació. ","")&amp;IF($D417="","Falta l'objectiu. ","")&amp;IF($J417="","Falta el tipus de despesa. ","")&amp;IF(AND($J417&lt;&gt;"",$J417&lt;&gt;"Mitjans propis",$J417&lt;&gt;"Altres",$M417=""),"Falta l'import. ","")&amp;IF(AND($J417="Contracte menor a càrrec del RAE",$K417=""),"Falta la partida RAE. ","")&amp;IF(AND($B417&lt;&gt;"",COUNTIF($B$6:$B$705,$B417)&gt;1),"Codi RAE repetit. ","")&amp;IF(AND($B417&lt;&gt;"",$J417&lt;&gt;"",$J417&lt;&gt;"Contracte menor a càrrec del RAE"),"Té codi RAE però no és de tipus RAE. ","")&amp;IF($N417="","Falta l'indicador del Pla. ","")&amp;IF($R417="","Falta el gestor. ","")&amp;IF($S417="","Falta indicar si és recurrent. ",""))))</f>
        <v/>
      </c>
    </row>
    <row r="418">
      <c r="A418" s="10">
        <f>IF($D418="","","27_"&amp;IFERROR(INDEX(Objectius!$E$2:$E$183,MATCH($D418,Objectius!$A$2:$A$183,0)),"??")&amp;"_"&amp;TEXT(COUNTIF($I$6:$I418,$I418),"00"))</f>
        <v/>
      </c>
      <c r="B418" s="11" t="n"/>
      <c r="C418" s="11" t="n"/>
      <c r="D418" s="11" t="n"/>
      <c r="E418" s="10">
        <f>IF($D418="","",IFERROR(INDEX(Objectius!$C$2:$C$183,MATCH($D418,Objectius!$A$2:$A$183,0)),"Objectiu no trobat al Pla"))</f>
        <v/>
      </c>
      <c r="F418" s="11" t="n"/>
      <c r="G418" s="11" t="n"/>
      <c r="H418" s="11" t="n"/>
      <c r="I418" s="10">
        <f>IF($D418="","",IFERROR(INDEX(Objectius!$D$2:$D$183,MATCH($D418,Objectius!$A$2:$A$183,0)),""))</f>
        <v/>
      </c>
      <c r="J418" s="11" t="n"/>
      <c r="K418" s="11" t="n"/>
      <c r="L418" s="11" t="n"/>
      <c r="M418" s="12" t="n"/>
      <c r="N418" s="11" t="n"/>
      <c r="O418" s="10">
        <f>IF($N418="","",IFERROR(INDEX('PLA ESTRATÈGIC'!$G$4:$G$452,MATCH($N418,'PLA ESTRATÈGIC'!$Q$4:$Q$452,0)),""))</f>
        <v/>
      </c>
      <c r="P418" s="10">
        <f>IF($N418="","",IFERROR(INDEX('PLA ESTRATÈGIC'!$H$4:$H$452,MATCH($N418,'PLA ESTRATÈGIC'!$Q$4:$Q$452,0)),""))</f>
        <v/>
      </c>
      <c r="Q418" s="13" t="n"/>
      <c r="R418" s="11" t="n"/>
      <c r="S418" s="11" t="n"/>
      <c r="T418" s="11" t="n"/>
      <c r="U418" s="11" t="n"/>
      <c r="V418" s="10">
        <f>IF(COUNTA($C418,$D418,$J418,$M418)=0,"",IF(TRIM(IF($C418="","Falta l'actuació. ","")&amp;IF($D418="","Falta l'objectiu. ","")&amp;IF($J418="","Falta el tipus de despesa. ","")&amp;IF(AND($J418&lt;&gt;"",$J418&lt;&gt;"Mitjans propis",$J418&lt;&gt;"Altres",$M418=""),"Falta l'import. ","")&amp;IF(AND($J418="Contracte menor a càrrec del RAE",$K418=""),"Falta la partida RAE. ","")&amp;IF(AND($B418&lt;&gt;"",COUNTIF($B$6:$B$705,$B418)&gt;1),"Codi RAE repetit. ","")&amp;IF(AND($B418&lt;&gt;"",$J418&lt;&gt;"",$J418&lt;&gt;"Contracte menor a càrrec del RAE"),"Té codi RAE però no és de tipus RAE. ","")&amp;IF($N418="","Falta l'indicador del Pla. ","")&amp;IF($R418="","Falta el gestor. ","")&amp;IF($S418="","Falta indicar si és recurrent. ",""))="","✔",TRIM(IF($C418="","Falta l'actuació. ","")&amp;IF($D418="","Falta l'objectiu. ","")&amp;IF($J418="","Falta el tipus de despesa. ","")&amp;IF(AND($J418&lt;&gt;"",$J418&lt;&gt;"Mitjans propis",$J418&lt;&gt;"Altres",$M418=""),"Falta l'import. ","")&amp;IF(AND($J418="Contracte menor a càrrec del RAE",$K418=""),"Falta la partida RAE. ","")&amp;IF(AND($B418&lt;&gt;"",COUNTIF($B$6:$B$705,$B418)&gt;1),"Codi RAE repetit. ","")&amp;IF(AND($B418&lt;&gt;"",$J418&lt;&gt;"",$J418&lt;&gt;"Contracte menor a càrrec del RAE"),"Té codi RAE però no és de tipus RAE. ","")&amp;IF($N418="","Falta l'indicador del Pla. ","")&amp;IF($R418="","Falta el gestor. ","")&amp;IF($S418="","Falta indicar si és recurrent. ",""))))</f>
        <v/>
      </c>
    </row>
    <row r="419">
      <c r="A419" s="10">
        <f>IF($D419="","","27_"&amp;IFERROR(INDEX(Objectius!$E$2:$E$183,MATCH($D419,Objectius!$A$2:$A$183,0)),"??")&amp;"_"&amp;TEXT(COUNTIF($I$6:$I419,$I419),"00"))</f>
        <v/>
      </c>
      <c r="B419" s="11" t="n"/>
      <c r="C419" s="11" t="n"/>
      <c r="D419" s="11" t="n"/>
      <c r="E419" s="10">
        <f>IF($D419="","",IFERROR(INDEX(Objectius!$C$2:$C$183,MATCH($D419,Objectius!$A$2:$A$183,0)),"Objectiu no trobat al Pla"))</f>
        <v/>
      </c>
      <c r="F419" s="11" t="n"/>
      <c r="G419" s="11" t="n"/>
      <c r="H419" s="11" t="n"/>
      <c r="I419" s="10">
        <f>IF($D419="","",IFERROR(INDEX(Objectius!$D$2:$D$183,MATCH($D419,Objectius!$A$2:$A$183,0)),""))</f>
        <v/>
      </c>
      <c r="J419" s="11" t="n"/>
      <c r="K419" s="11" t="n"/>
      <c r="L419" s="11" t="n"/>
      <c r="M419" s="12" t="n"/>
      <c r="N419" s="11" t="n"/>
      <c r="O419" s="10">
        <f>IF($N419="","",IFERROR(INDEX('PLA ESTRATÈGIC'!$G$4:$G$452,MATCH($N419,'PLA ESTRATÈGIC'!$Q$4:$Q$452,0)),""))</f>
        <v/>
      </c>
      <c r="P419" s="10">
        <f>IF($N419="","",IFERROR(INDEX('PLA ESTRATÈGIC'!$H$4:$H$452,MATCH($N419,'PLA ESTRATÈGIC'!$Q$4:$Q$452,0)),""))</f>
        <v/>
      </c>
      <c r="Q419" s="13" t="n"/>
      <c r="R419" s="11" t="n"/>
      <c r="S419" s="11" t="n"/>
      <c r="T419" s="11" t="n"/>
      <c r="U419" s="11" t="n"/>
      <c r="V419" s="10">
        <f>IF(COUNTA($C419,$D419,$J419,$M419)=0,"",IF(TRIM(IF($C419="","Falta l'actuació. ","")&amp;IF($D419="","Falta l'objectiu. ","")&amp;IF($J419="","Falta el tipus de despesa. ","")&amp;IF(AND($J419&lt;&gt;"",$J419&lt;&gt;"Mitjans propis",$J419&lt;&gt;"Altres",$M419=""),"Falta l'import. ","")&amp;IF(AND($J419="Contracte menor a càrrec del RAE",$K419=""),"Falta la partida RAE. ","")&amp;IF(AND($B419&lt;&gt;"",COUNTIF($B$6:$B$705,$B419)&gt;1),"Codi RAE repetit. ","")&amp;IF(AND($B419&lt;&gt;"",$J419&lt;&gt;"",$J419&lt;&gt;"Contracte menor a càrrec del RAE"),"Té codi RAE però no és de tipus RAE. ","")&amp;IF($N419="","Falta l'indicador del Pla. ","")&amp;IF($R419="","Falta el gestor. ","")&amp;IF($S419="","Falta indicar si és recurrent. ",""))="","✔",TRIM(IF($C419="","Falta l'actuació. ","")&amp;IF($D419="","Falta l'objectiu. ","")&amp;IF($J419="","Falta el tipus de despesa. ","")&amp;IF(AND($J419&lt;&gt;"",$J419&lt;&gt;"Mitjans propis",$J419&lt;&gt;"Altres",$M419=""),"Falta l'import. ","")&amp;IF(AND($J419="Contracte menor a càrrec del RAE",$K419=""),"Falta la partida RAE. ","")&amp;IF(AND($B419&lt;&gt;"",COUNTIF($B$6:$B$705,$B419)&gt;1),"Codi RAE repetit. ","")&amp;IF(AND($B419&lt;&gt;"",$J419&lt;&gt;"",$J419&lt;&gt;"Contracte menor a càrrec del RAE"),"Té codi RAE però no és de tipus RAE. ","")&amp;IF($N419="","Falta l'indicador del Pla. ","")&amp;IF($R419="","Falta el gestor. ","")&amp;IF($S419="","Falta indicar si és recurrent. ",""))))</f>
        <v/>
      </c>
    </row>
    <row r="420">
      <c r="A420" s="10">
        <f>IF($D420="","","27_"&amp;IFERROR(INDEX(Objectius!$E$2:$E$183,MATCH($D420,Objectius!$A$2:$A$183,0)),"??")&amp;"_"&amp;TEXT(COUNTIF($I$6:$I420,$I420),"00"))</f>
        <v/>
      </c>
      <c r="B420" s="11" t="n"/>
      <c r="C420" s="11" t="n"/>
      <c r="D420" s="11" t="n"/>
      <c r="E420" s="10">
        <f>IF($D420="","",IFERROR(INDEX(Objectius!$C$2:$C$183,MATCH($D420,Objectius!$A$2:$A$183,0)),"Objectiu no trobat al Pla"))</f>
        <v/>
      </c>
      <c r="F420" s="11" t="n"/>
      <c r="G420" s="11" t="n"/>
      <c r="H420" s="11" t="n"/>
      <c r="I420" s="10">
        <f>IF($D420="","",IFERROR(INDEX(Objectius!$D$2:$D$183,MATCH($D420,Objectius!$A$2:$A$183,0)),""))</f>
        <v/>
      </c>
      <c r="J420" s="11" t="n"/>
      <c r="K420" s="11" t="n"/>
      <c r="L420" s="11" t="n"/>
      <c r="M420" s="12" t="n"/>
      <c r="N420" s="11" t="n"/>
      <c r="O420" s="10">
        <f>IF($N420="","",IFERROR(INDEX('PLA ESTRATÈGIC'!$G$4:$G$452,MATCH($N420,'PLA ESTRATÈGIC'!$Q$4:$Q$452,0)),""))</f>
        <v/>
      </c>
      <c r="P420" s="10">
        <f>IF($N420="","",IFERROR(INDEX('PLA ESTRATÈGIC'!$H$4:$H$452,MATCH($N420,'PLA ESTRATÈGIC'!$Q$4:$Q$452,0)),""))</f>
        <v/>
      </c>
      <c r="Q420" s="13" t="n"/>
      <c r="R420" s="11" t="n"/>
      <c r="S420" s="11" t="n"/>
      <c r="T420" s="11" t="n"/>
      <c r="U420" s="11" t="n"/>
      <c r="V420" s="10">
        <f>IF(COUNTA($C420,$D420,$J420,$M420)=0,"",IF(TRIM(IF($C420="","Falta l'actuació. ","")&amp;IF($D420="","Falta l'objectiu. ","")&amp;IF($J420="","Falta el tipus de despesa. ","")&amp;IF(AND($J420&lt;&gt;"",$J420&lt;&gt;"Mitjans propis",$J420&lt;&gt;"Altres",$M420=""),"Falta l'import. ","")&amp;IF(AND($J420="Contracte menor a càrrec del RAE",$K420=""),"Falta la partida RAE. ","")&amp;IF(AND($B420&lt;&gt;"",COUNTIF($B$6:$B$705,$B420)&gt;1),"Codi RAE repetit. ","")&amp;IF(AND($B420&lt;&gt;"",$J420&lt;&gt;"",$J420&lt;&gt;"Contracte menor a càrrec del RAE"),"Té codi RAE però no és de tipus RAE. ","")&amp;IF($N420="","Falta l'indicador del Pla. ","")&amp;IF($R420="","Falta el gestor. ","")&amp;IF($S420="","Falta indicar si és recurrent. ",""))="","✔",TRIM(IF($C420="","Falta l'actuació. ","")&amp;IF($D420="","Falta l'objectiu. ","")&amp;IF($J420="","Falta el tipus de despesa. ","")&amp;IF(AND($J420&lt;&gt;"",$J420&lt;&gt;"Mitjans propis",$J420&lt;&gt;"Altres",$M420=""),"Falta l'import. ","")&amp;IF(AND($J420="Contracte menor a càrrec del RAE",$K420=""),"Falta la partida RAE. ","")&amp;IF(AND($B420&lt;&gt;"",COUNTIF($B$6:$B$705,$B420)&gt;1),"Codi RAE repetit. ","")&amp;IF(AND($B420&lt;&gt;"",$J420&lt;&gt;"",$J420&lt;&gt;"Contracte menor a càrrec del RAE"),"Té codi RAE però no és de tipus RAE. ","")&amp;IF($N420="","Falta l'indicador del Pla. ","")&amp;IF($R420="","Falta el gestor. ","")&amp;IF($S420="","Falta indicar si és recurrent. ",""))))</f>
        <v/>
      </c>
    </row>
    <row r="421">
      <c r="A421" s="10">
        <f>IF($D421="","","27_"&amp;IFERROR(INDEX(Objectius!$E$2:$E$183,MATCH($D421,Objectius!$A$2:$A$183,0)),"??")&amp;"_"&amp;TEXT(COUNTIF($I$6:$I421,$I421),"00"))</f>
        <v/>
      </c>
      <c r="B421" s="11" t="n"/>
      <c r="C421" s="11" t="n"/>
      <c r="D421" s="11" t="n"/>
      <c r="E421" s="10">
        <f>IF($D421="","",IFERROR(INDEX(Objectius!$C$2:$C$183,MATCH($D421,Objectius!$A$2:$A$183,0)),"Objectiu no trobat al Pla"))</f>
        <v/>
      </c>
      <c r="F421" s="11" t="n"/>
      <c r="G421" s="11" t="n"/>
      <c r="H421" s="11" t="n"/>
      <c r="I421" s="10">
        <f>IF($D421="","",IFERROR(INDEX(Objectius!$D$2:$D$183,MATCH($D421,Objectius!$A$2:$A$183,0)),""))</f>
        <v/>
      </c>
      <c r="J421" s="11" t="n"/>
      <c r="K421" s="11" t="n"/>
      <c r="L421" s="11" t="n"/>
      <c r="M421" s="12" t="n"/>
      <c r="N421" s="11" t="n"/>
      <c r="O421" s="10">
        <f>IF($N421="","",IFERROR(INDEX('PLA ESTRATÈGIC'!$G$4:$G$452,MATCH($N421,'PLA ESTRATÈGIC'!$Q$4:$Q$452,0)),""))</f>
        <v/>
      </c>
      <c r="P421" s="10">
        <f>IF($N421="","",IFERROR(INDEX('PLA ESTRATÈGIC'!$H$4:$H$452,MATCH($N421,'PLA ESTRATÈGIC'!$Q$4:$Q$452,0)),""))</f>
        <v/>
      </c>
      <c r="Q421" s="13" t="n"/>
      <c r="R421" s="11" t="n"/>
      <c r="S421" s="11" t="n"/>
      <c r="T421" s="11" t="n"/>
      <c r="U421" s="11" t="n"/>
      <c r="V421" s="10">
        <f>IF(COUNTA($C421,$D421,$J421,$M421)=0,"",IF(TRIM(IF($C421="","Falta l'actuació. ","")&amp;IF($D421="","Falta l'objectiu. ","")&amp;IF($J421="","Falta el tipus de despesa. ","")&amp;IF(AND($J421&lt;&gt;"",$J421&lt;&gt;"Mitjans propis",$J421&lt;&gt;"Altres",$M421=""),"Falta l'import. ","")&amp;IF(AND($J421="Contracte menor a càrrec del RAE",$K421=""),"Falta la partida RAE. ","")&amp;IF(AND($B421&lt;&gt;"",COUNTIF($B$6:$B$705,$B421)&gt;1),"Codi RAE repetit. ","")&amp;IF(AND($B421&lt;&gt;"",$J421&lt;&gt;"",$J421&lt;&gt;"Contracte menor a càrrec del RAE"),"Té codi RAE però no és de tipus RAE. ","")&amp;IF($N421="","Falta l'indicador del Pla. ","")&amp;IF($R421="","Falta el gestor. ","")&amp;IF($S421="","Falta indicar si és recurrent. ",""))="","✔",TRIM(IF($C421="","Falta l'actuació. ","")&amp;IF($D421="","Falta l'objectiu. ","")&amp;IF($J421="","Falta el tipus de despesa. ","")&amp;IF(AND($J421&lt;&gt;"",$J421&lt;&gt;"Mitjans propis",$J421&lt;&gt;"Altres",$M421=""),"Falta l'import. ","")&amp;IF(AND($J421="Contracte menor a càrrec del RAE",$K421=""),"Falta la partida RAE. ","")&amp;IF(AND($B421&lt;&gt;"",COUNTIF($B$6:$B$705,$B421)&gt;1),"Codi RAE repetit. ","")&amp;IF(AND($B421&lt;&gt;"",$J421&lt;&gt;"",$J421&lt;&gt;"Contracte menor a càrrec del RAE"),"Té codi RAE però no és de tipus RAE. ","")&amp;IF($N421="","Falta l'indicador del Pla. ","")&amp;IF($R421="","Falta el gestor. ","")&amp;IF($S421="","Falta indicar si és recurrent. ",""))))</f>
        <v/>
      </c>
    </row>
    <row r="422">
      <c r="A422" s="10">
        <f>IF($D422="","","27_"&amp;IFERROR(INDEX(Objectius!$E$2:$E$183,MATCH($D422,Objectius!$A$2:$A$183,0)),"??")&amp;"_"&amp;TEXT(COUNTIF($I$6:$I422,$I422),"00"))</f>
        <v/>
      </c>
      <c r="B422" s="11" t="n"/>
      <c r="C422" s="11" t="n"/>
      <c r="D422" s="11" t="n"/>
      <c r="E422" s="10">
        <f>IF($D422="","",IFERROR(INDEX(Objectius!$C$2:$C$183,MATCH($D422,Objectius!$A$2:$A$183,0)),"Objectiu no trobat al Pla"))</f>
        <v/>
      </c>
      <c r="F422" s="11" t="n"/>
      <c r="G422" s="11" t="n"/>
      <c r="H422" s="11" t="n"/>
      <c r="I422" s="10">
        <f>IF($D422="","",IFERROR(INDEX(Objectius!$D$2:$D$183,MATCH($D422,Objectius!$A$2:$A$183,0)),""))</f>
        <v/>
      </c>
      <c r="J422" s="11" t="n"/>
      <c r="K422" s="11" t="n"/>
      <c r="L422" s="11" t="n"/>
      <c r="M422" s="12" t="n"/>
      <c r="N422" s="11" t="n"/>
      <c r="O422" s="10">
        <f>IF($N422="","",IFERROR(INDEX('PLA ESTRATÈGIC'!$G$4:$G$452,MATCH($N422,'PLA ESTRATÈGIC'!$Q$4:$Q$452,0)),""))</f>
        <v/>
      </c>
      <c r="P422" s="10">
        <f>IF($N422="","",IFERROR(INDEX('PLA ESTRATÈGIC'!$H$4:$H$452,MATCH($N422,'PLA ESTRATÈGIC'!$Q$4:$Q$452,0)),""))</f>
        <v/>
      </c>
      <c r="Q422" s="13" t="n"/>
      <c r="R422" s="11" t="n"/>
      <c r="S422" s="11" t="n"/>
      <c r="T422" s="11" t="n"/>
      <c r="U422" s="11" t="n"/>
      <c r="V422" s="10">
        <f>IF(COUNTA($C422,$D422,$J422,$M422)=0,"",IF(TRIM(IF($C422="","Falta l'actuació. ","")&amp;IF($D422="","Falta l'objectiu. ","")&amp;IF($J422="","Falta el tipus de despesa. ","")&amp;IF(AND($J422&lt;&gt;"",$J422&lt;&gt;"Mitjans propis",$J422&lt;&gt;"Altres",$M422=""),"Falta l'import. ","")&amp;IF(AND($J422="Contracte menor a càrrec del RAE",$K422=""),"Falta la partida RAE. ","")&amp;IF(AND($B422&lt;&gt;"",COUNTIF($B$6:$B$705,$B422)&gt;1),"Codi RAE repetit. ","")&amp;IF(AND($B422&lt;&gt;"",$J422&lt;&gt;"",$J422&lt;&gt;"Contracte menor a càrrec del RAE"),"Té codi RAE però no és de tipus RAE. ","")&amp;IF($N422="","Falta l'indicador del Pla. ","")&amp;IF($R422="","Falta el gestor. ","")&amp;IF($S422="","Falta indicar si és recurrent. ",""))="","✔",TRIM(IF($C422="","Falta l'actuació. ","")&amp;IF($D422="","Falta l'objectiu. ","")&amp;IF($J422="","Falta el tipus de despesa. ","")&amp;IF(AND($J422&lt;&gt;"",$J422&lt;&gt;"Mitjans propis",$J422&lt;&gt;"Altres",$M422=""),"Falta l'import. ","")&amp;IF(AND($J422="Contracte menor a càrrec del RAE",$K422=""),"Falta la partida RAE. ","")&amp;IF(AND($B422&lt;&gt;"",COUNTIF($B$6:$B$705,$B422)&gt;1),"Codi RAE repetit. ","")&amp;IF(AND($B422&lt;&gt;"",$J422&lt;&gt;"",$J422&lt;&gt;"Contracte menor a càrrec del RAE"),"Té codi RAE però no és de tipus RAE. ","")&amp;IF($N422="","Falta l'indicador del Pla. ","")&amp;IF($R422="","Falta el gestor. ","")&amp;IF($S422="","Falta indicar si és recurrent. ",""))))</f>
        <v/>
      </c>
    </row>
    <row r="423">
      <c r="A423" s="10">
        <f>IF($D423="","","27_"&amp;IFERROR(INDEX(Objectius!$E$2:$E$183,MATCH($D423,Objectius!$A$2:$A$183,0)),"??")&amp;"_"&amp;TEXT(COUNTIF($I$6:$I423,$I423),"00"))</f>
        <v/>
      </c>
      <c r="B423" s="11" t="n"/>
      <c r="C423" s="11" t="n"/>
      <c r="D423" s="11" t="n"/>
      <c r="E423" s="10">
        <f>IF($D423="","",IFERROR(INDEX(Objectius!$C$2:$C$183,MATCH($D423,Objectius!$A$2:$A$183,0)),"Objectiu no trobat al Pla"))</f>
        <v/>
      </c>
      <c r="F423" s="11" t="n"/>
      <c r="G423" s="11" t="n"/>
      <c r="H423" s="11" t="n"/>
      <c r="I423" s="10">
        <f>IF($D423="","",IFERROR(INDEX(Objectius!$D$2:$D$183,MATCH($D423,Objectius!$A$2:$A$183,0)),""))</f>
        <v/>
      </c>
      <c r="J423" s="11" t="n"/>
      <c r="K423" s="11" t="n"/>
      <c r="L423" s="11" t="n"/>
      <c r="M423" s="12" t="n"/>
      <c r="N423" s="11" t="n"/>
      <c r="O423" s="10">
        <f>IF($N423="","",IFERROR(INDEX('PLA ESTRATÈGIC'!$G$4:$G$452,MATCH($N423,'PLA ESTRATÈGIC'!$Q$4:$Q$452,0)),""))</f>
        <v/>
      </c>
      <c r="P423" s="10">
        <f>IF($N423="","",IFERROR(INDEX('PLA ESTRATÈGIC'!$H$4:$H$452,MATCH($N423,'PLA ESTRATÈGIC'!$Q$4:$Q$452,0)),""))</f>
        <v/>
      </c>
      <c r="Q423" s="13" t="n"/>
      <c r="R423" s="11" t="n"/>
      <c r="S423" s="11" t="n"/>
      <c r="T423" s="11" t="n"/>
      <c r="U423" s="11" t="n"/>
      <c r="V423" s="10">
        <f>IF(COUNTA($C423,$D423,$J423,$M423)=0,"",IF(TRIM(IF($C423="","Falta l'actuació. ","")&amp;IF($D423="","Falta l'objectiu. ","")&amp;IF($J423="","Falta el tipus de despesa. ","")&amp;IF(AND($J423&lt;&gt;"",$J423&lt;&gt;"Mitjans propis",$J423&lt;&gt;"Altres",$M423=""),"Falta l'import. ","")&amp;IF(AND($J423="Contracte menor a càrrec del RAE",$K423=""),"Falta la partida RAE. ","")&amp;IF(AND($B423&lt;&gt;"",COUNTIF($B$6:$B$705,$B423)&gt;1),"Codi RAE repetit. ","")&amp;IF(AND($B423&lt;&gt;"",$J423&lt;&gt;"",$J423&lt;&gt;"Contracte menor a càrrec del RAE"),"Té codi RAE però no és de tipus RAE. ","")&amp;IF($N423="","Falta l'indicador del Pla. ","")&amp;IF($R423="","Falta el gestor. ","")&amp;IF($S423="","Falta indicar si és recurrent. ",""))="","✔",TRIM(IF($C423="","Falta l'actuació. ","")&amp;IF($D423="","Falta l'objectiu. ","")&amp;IF($J423="","Falta el tipus de despesa. ","")&amp;IF(AND($J423&lt;&gt;"",$J423&lt;&gt;"Mitjans propis",$J423&lt;&gt;"Altres",$M423=""),"Falta l'import. ","")&amp;IF(AND($J423="Contracte menor a càrrec del RAE",$K423=""),"Falta la partida RAE. ","")&amp;IF(AND($B423&lt;&gt;"",COUNTIF($B$6:$B$705,$B423)&gt;1),"Codi RAE repetit. ","")&amp;IF(AND($B423&lt;&gt;"",$J423&lt;&gt;"",$J423&lt;&gt;"Contracte menor a càrrec del RAE"),"Té codi RAE però no és de tipus RAE. ","")&amp;IF($N423="","Falta l'indicador del Pla. ","")&amp;IF($R423="","Falta el gestor. ","")&amp;IF($S423="","Falta indicar si és recurrent. ",""))))</f>
        <v/>
      </c>
    </row>
    <row r="424">
      <c r="A424" s="10">
        <f>IF($D424="","","27_"&amp;IFERROR(INDEX(Objectius!$E$2:$E$183,MATCH($D424,Objectius!$A$2:$A$183,0)),"??")&amp;"_"&amp;TEXT(COUNTIF($I$6:$I424,$I424),"00"))</f>
        <v/>
      </c>
      <c r="B424" s="11" t="n"/>
      <c r="C424" s="11" t="n"/>
      <c r="D424" s="11" t="n"/>
      <c r="E424" s="10">
        <f>IF($D424="","",IFERROR(INDEX(Objectius!$C$2:$C$183,MATCH($D424,Objectius!$A$2:$A$183,0)),"Objectiu no trobat al Pla"))</f>
        <v/>
      </c>
      <c r="F424" s="11" t="n"/>
      <c r="G424" s="11" t="n"/>
      <c r="H424" s="11" t="n"/>
      <c r="I424" s="10">
        <f>IF($D424="","",IFERROR(INDEX(Objectius!$D$2:$D$183,MATCH($D424,Objectius!$A$2:$A$183,0)),""))</f>
        <v/>
      </c>
      <c r="J424" s="11" t="n"/>
      <c r="K424" s="11" t="n"/>
      <c r="L424" s="11" t="n"/>
      <c r="M424" s="12" t="n"/>
      <c r="N424" s="11" t="n"/>
      <c r="O424" s="10">
        <f>IF($N424="","",IFERROR(INDEX('PLA ESTRATÈGIC'!$G$4:$G$452,MATCH($N424,'PLA ESTRATÈGIC'!$Q$4:$Q$452,0)),""))</f>
        <v/>
      </c>
      <c r="P424" s="10">
        <f>IF($N424="","",IFERROR(INDEX('PLA ESTRATÈGIC'!$H$4:$H$452,MATCH($N424,'PLA ESTRATÈGIC'!$Q$4:$Q$452,0)),""))</f>
        <v/>
      </c>
      <c r="Q424" s="13" t="n"/>
      <c r="R424" s="11" t="n"/>
      <c r="S424" s="11" t="n"/>
      <c r="T424" s="11" t="n"/>
      <c r="U424" s="11" t="n"/>
      <c r="V424" s="10">
        <f>IF(COUNTA($C424,$D424,$J424,$M424)=0,"",IF(TRIM(IF($C424="","Falta l'actuació. ","")&amp;IF($D424="","Falta l'objectiu. ","")&amp;IF($J424="","Falta el tipus de despesa. ","")&amp;IF(AND($J424&lt;&gt;"",$J424&lt;&gt;"Mitjans propis",$J424&lt;&gt;"Altres",$M424=""),"Falta l'import. ","")&amp;IF(AND($J424="Contracte menor a càrrec del RAE",$K424=""),"Falta la partida RAE. ","")&amp;IF(AND($B424&lt;&gt;"",COUNTIF($B$6:$B$705,$B424)&gt;1),"Codi RAE repetit. ","")&amp;IF(AND($B424&lt;&gt;"",$J424&lt;&gt;"",$J424&lt;&gt;"Contracte menor a càrrec del RAE"),"Té codi RAE però no és de tipus RAE. ","")&amp;IF($N424="","Falta l'indicador del Pla. ","")&amp;IF($R424="","Falta el gestor. ","")&amp;IF($S424="","Falta indicar si és recurrent. ",""))="","✔",TRIM(IF($C424="","Falta l'actuació. ","")&amp;IF($D424="","Falta l'objectiu. ","")&amp;IF($J424="","Falta el tipus de despesa. ","")&amp;IF(AND($J424&lt;&gt;"",$J424&lt;&gt;"Mitjans propis",$J424&lt;&gt;"Altres",$M424=""),"Falta l'import. ","")&amp;IF(AND($J424="Contracte menor a càrrec del RAE",$K424=""),"Falta la partida RAE. ","")&amp;IF(AND($B424&lt;&gt;"",COUNTIF($B$6:$B$705,$B424)&gt;1),"Codi RAE repetit. ","")&amp;IF(AND($B424&lt;&gt;"",$J424&lt;&gt;"",$J424&lt;&gt;"Contracte menor a càrrec del RAE"),"Té codi RAE però no és de tipus RAE. ","")&amp;IF($N424="","Falta l'indicador del Pla. ","")&amp;IF($R424="","Falta el gestor. ","")&amp;IF($S424="","Falta indicar si és recurrent. ",""))))</f>
        <v/>
      </c>
    </row>
    <row r="425">
      <c r="A425" s="10">
        <f>IF($D425="","","27_"&amp;IFERROR(INDEX(Objectius!$E$2:$E$183,MATCH($D425,Objectius!$A$2:$A$183,0)),"??")&amp;"_"&amp;TEXT(COUNTIF($I$6:$I425,$I425),"00"))</f>
        <v/>
      </c>
      <c r="B425" s="11" t="n"/>
      <c r="C425" s="11" t="n"/>
      <c r="D425" s="11" t="n"/>
      <c r="E425" s="10">
        <f>IF($D425="","",IFERROR(INDEX(Objectius!$C$2:$C$183,MATCH($D425,Objectius!$A$2:$A$183,0)),"Objectiu no trobat al Pla"))</f>
        <v/>
      </c>
      <c r="F425" s="11" t="n"/>
      <c r="G425" s="11" t="n"/>
      <c r="H425" s="11" t="n"/>
      <c r="I425" s="10">
        <f>IF($D425="","",IFERROR(INDEX(Objectius!$D$2:$D$183,MATCH($D425,Objectius!$A$2:$A$183,0)),""))</f>
        <v/>
      </c>
      <c r="J425" s="11" t="n"/>
      <c r="K425" s="11" t="n"/>
      <c r="L425" s="11" t="n"/>
      <c r="M425" s="12" t="n"/>
      <c r="N425" s="11" t="n"/>
      <c r="O425" s="10">
        <f>IF($N425="","",IFERROR(INDEX('PLA ESTRATÈGIC'!$G$4:$G$452,MATCH($N425,'PLA ESTRATÈGIC'!$Q$4:$Q$452,0)),""))</f>
        <v/>
      </c>
      <c r="P425" s="10">
        <f>IF($N425="","",IFERROR(INDEX('PLA ESTRATÈGIC'!$H$4:$H$452,MATCH($N425,'PLA ESTRATÈGIC'!$Q$4:$Q$452,0)),""))</f>
        <v/>
      </c>
      <c r="Q425" s="13" t="n"/>
      <c r="R425" s="11" t="n"/>
      <c r="S425" s="11" t="n"/>
      <c r="T425" s="11" t="n"/>
      <c r="U425" s="11" t="n"/>
      <c r="V425" s="10">
        <f>IF(COUNTA($C425,$D425,$J425,$M425)=0,"",IF(TRIM(IF($C425="","Falta l'actuació. ","")&amp;IF($D425="","Falta l'objectiu. ","")&amp;IF($J425="","Falta el tipus de despesa. ","")&amp;IF(AND($J425&lt;&gt;"",$J425&lt;&gt;"Mitjans propis",$J425&lt;&gt;"Altres",$M425=""),"Falta l'import. ","")&amp;IF(AND($J425="Contracte menor a càrrec del RAE",$K425=""),"Falta la partida RAE. ","")&amp;IF(AND($B425&lt;&gt;"",COUNTIF($B$6:$B$705,$B425)&gt;1),"Codi RAE repetit. ","")&amp;IF(AND($B425&lt;&gt;"",$J425&lt;&gt;"",$J425&lt;&gt;"Contracte menor a càrrec del RAE"),"Té codi RAE però no és de tipus RAE. ","")&amp;IF($N425="","Falta l'indicador del Pla. ","")&amp;IF($R425="","Falta el gestor. ","")&amp;IF($S425="","Falta indicar si és recurrent. ",""))="","✔",TRIM(IF($C425="","Falta l'actuació. ","")&amp;IF($D425="","Falta l'objectiu. ","")&amp;IF($J425="","Falta el tipus de despesa. ","")&amp;IF(AND($J425&lt;&gt;"",$J425&lt;&gt;"Mitjans propis",$J425&lt;&gt;"Altres",$M425=""),"Falta l'import. ","")&amp;IF(AND($J425="Contracte menor a càrrec del RAE",$K425=""),"Falta la partida RAE. ","")&amp;IF(AND($B425&lt;&gt;"",COUNTIF($B$6:$B$705,$B425)&gt;1),"Codi RAE repetit. ","")&amp;IF(AND($B425&lt;&gt;"",$J425&lt;&gt;"",$J425&lt;&gt;"Contracte menor a càrrec del RAE"),"Té codi RAE però no és de tipus RAE. ","")&amp;IF($N425="","Falta l'indicador del Pla. ","")&amp;IF($R425="","Falta el gestor. ","")&amp;IF($S425="","Falta indicar si és recurrent. ",""))))</f>
        <v/>
      </c>
    </row>
    <row r="426">
      <c r="A426" s="10">
        <f>IF($D426="","","27_"&amp;IFERROR(INDEX(Objectius!$E$2:$E$183,MATCH($D426,Objectius!$A$2:$A$183,0)),"??")&amp;"_"&amp;TEXT(COUNTIF($I$6:$I426,$I426),"00"))</f>
        <v/>
      </c>
      <c r="B426" s="11" t="n"/>
      <c r="C426" s="11" t="n"/>
      <c r="D426" s="11" t="n"/>
      <c r="E426" s="10">
        <f>IF($D426="","",IFERROR(INDEX(Objectius!$C$2:$C$183,MATCH($D426,Objectius!$A$2:$A$183,0)),"Objectiu no trobat al Pla"))</f>
        <v/>
      </c>
      <c r="F426" s="11" t="n"/>
      <c r="G426" s="11" t="n"/>
      <c r="H426" s="11" t="n"/>
      <c r="I426" s="10">
        <f>IF($D426="","",IFERROR(INDEX(Objectius!$D$2:$D$183,MATCH($D426,Objectius!$A$2:$A$183,0)),""))</f>
        <v/>
      </c>
      <c r="J426" s="11" t="n"/>
      <c r="K426" s="11" t="n"/>
      <c r="L426" s="11" t="n"/>
      <c r="M426" s="12" t="n"/>
      <c r="N426" s="11" t="n"/>
      <c r="O426" s="10">
        <f>IF($N426="","",IFERROR(INDEX('PLA ESTRATÈGIC'!$G$4:$G$452,MATCH($N426,'PLA ESTRATÈGIC'!$Q$4:$Q$452,0)),""))</f>
        <v/>
      </c>
      <c r="P426" s="10">
        <f>IF($N426="","",IFERROR(INDEX('PLA ESTRATÈGIC'!$H$4:$H$452,MATCH($N426,'PLA ESTRATÈGIC'!$Q$4:$Q$452,0)),""))</f>
        <v/>
      </c>
      <c r="Q426" s="13" t="n"/>
      <c r="R426" s="11" t="n"/>
      <c r="S426" s="11" t="n"/>
      <c r="T426" s="11" t="n"/>
      <c r="U426" s="11" t="n"/>
      <c r="V426" s="10">
        <f>IF(COUNTA($C426,$D426,$J426,$M426)=0,"",IF(TRIM(IF($C426="","Falta l'actuació. ","")&amp;IF($D426="","Falta l'objectiu. ","")&amp;IF($J426="","Falta el tipus de despesa. ","")&amp;IF(AND($J426&lt;&gt;"",$J426&lt;&gt;"Mitjans propis",$J426&lt;&gt;"Altres",$M426=""),"Falta l'import. ","")&amp;IF(AND($J426="Contracte menor a càrrec del RAE",$K426=""),"Falta la partida RAE. ","")&amp;IF(AND($B426&lt;&gt;"",COUNTIF($B$6:$B$705,$B426)&gt;1),"Codi RAE repetit. ","")&amp;IF(AND($B426&lt;&gt;"",$J426&lt;&gt;"",$J426&lt;&gt;"Contracte menor a càrrec del RAE"),"Té codi RAE però no és de tipus RAE. ","")&amp;IF($N426="","Falta l'indicador del Pla. ","")&amp;IF($R426="","Falta el gestor. ","")&amp;IF($S426="","Falta indicar si és recurrent. ",""))="","✔",TRIM(IF($C426="","Falta l'actuació. ","")&amp;IF($D426="","Falta l'objectiu. ","")&amp;IF($J426="","Falta el tipus de despesa. ","")&amp;IF(AND($J426&lt;&gt;"",$J426&lt;&gt;"Mitjans propis",$J426&lt;&gt;"Altres",$M426=""),"Falta l'import. ","")&amp;IF(AND($J426="Contracte menor a càrrec del RAE",$K426=""),"Falta la partida RAE. ","")&amp;IF(AND($B426&lt;&gt;"",COUNTIF($B$6:$B$705,$B426)&gt;1),"Codi RAE repetit. ","")&amp;IF(AND($B426&lt;&gt;"",$J426&lt;&gt;"",$J426&lt;&gt;"Contracte menor a càrrec del RAE"),"Té codi RAE però no és de tipus RAE. ","")&amp;IF($N426="","Falta l'indicador del Pla. ","")&amp;IF($R426="","Falta el gestor. ","")&amp;IF($S426="","Falta indicar si és recurrent. ",""))))</f>
        <v/>
      </c>
    </row>
    <row r="427">
      <c r="A427" s="10">
        <f>IF($D427="","","27_"&amp;IFERROR(INDEX(Objectius!$E$2:$E$183,MATCH($D427,Objectius!$A$2:$A$183,0)),"??")&amp;"_"&amp;TEXT(COUNTIF($I$6:$I427,$I427),"00"))</f>
        <v/>
      </c>
      <c r="B427" s="11" t="n"/>
      <c r="C427" s="11" t="n"/>
      <c r="D427" s="11" t="n"/>
      <c r="E427" s="10">
        <f>IF($D427="","",IFERROR(INDEX(Objectius!$C$2:$C$183,MATCH($D427,Objectius!$A$2:$A$183,0)),"Objectiu no trobat al Pla"))</f>
        <v/>
      </c>
      <c r="F427" s="11" t="n"/>
      <c r="G427" s="11" t="n"/>
      <c r="H427" s="11" t="n"/>
      <c r="I427" s="10">
        <f>IF($D427="","",IFERROR(INDEX(Objectius!$D$2:$D$183,MATCH($D427,Objectius!$A$2:$A$183,0)),""))</f>
        <v/>
      </c>
      <c r="J427" s="11" t="n"/>
      <c r="K427" s="11" t="n"/>
      <c r="L427" s="11" t="n"/>
      <c r="M427" s="12" t="n"/>
      <c r="N427" s="11" t="n"/>
      <c r="O427" s="10">
        <f>IF($N427="","",IFERROR(INDEX('PLA ESTRATÈGIC'!$G$4:$G$452,MATCH($N427,'PLA ESTRATÈGIC'!$Q$4:$Q$452,0)),""))</f>
        <v/>
      </c>
      <c r="P427" s="10">
        <f>IF($N427="","",IFERROR(INDEX('PLA ESTRATÈGIC'!$H$4:$H$452,MATCH($N427,'PLA ESTRATÈGIC'!$Q$4:$Q$452,0)),""))</f>
        <v/>
      </c>
      <c r="Q427" s="13" t="n"/>
      <c r="R427" s="11" t="n"/>
      <c r="S427" s="11" t="n"/>
      <c r="T427" s="11" t="n"/>
      <c r="U427" s="11" t="n"/>
      <c r="V427" s="10">
        <f>IF(COUNTA($C427,$D427,$J427,$M427)=0,"",IF(TRIM(IF($C427="","Falta l'actuació. ","")&amp;IF($D427="","Falta l'objectiu. ","")&amp;IF($J427="","Falta el tipus de despesa. ","")&amp;IF(AND($J427&lt;&gt;"",$J427&lt;&gt;"Mitjans propis",$J427&lt;&gt;"Altres",$M427=""),"Falta l'import. ","")&amp;IF(AND($J427="Contracte menor a càrrec del RAE",$K427=""),"Falta la partida RAE. ","")&amp;IF(AND($B427&lt;&gt;"",COUNTIF($B$6:$B$705,$B427)&gt;1),"Codi RAE repetit. ","")&amp;IF(AND($B427&lt;&gt;"",$J427&lt;&gt;"",$J427&lt;&gt;"Contracte menor a càrrec del RAE"),"Té codi RAE però no és de tipus RAE. ","")&amp;IF($N427="","Falta l'indicador del Pla. ","")&amp;IF($R427="","Falta el gestor. ","")&amp;IF($S427="","Falta indicar si és recurrent. ",""))="","✔",TRIM(IF($C427="","Falta l'actuació. ","")&amp;IF($D427="","Falta l'objectiu. ","")&amp;IF($J427="","Falta el tipus de despesa. ","")&amp;IF(AND($J427&lt;&gt;"",$J427&lt;&gt;"Mitjans propis",$J427&lt;&gt;"Altres",$M427=""),"Falta l'import. ","")&amp;IF(AND($J427="Contracte menor a càrrec del RAE",$K427=""),"Falta la partida RAE. ","")&amp;IF(AND($B427&lt;&gt;"",COUNTIF($B$6:$B$705,$B427)&gt;1),"Codi RAE repetit. ","")&amp;IF(AND($B427&lt;&gt;"",$J427&lt;&gt;"",$J427&lt;&gt;"Contracte menor a càrrec del RAE"),"Té codi RAE però no és de tipus RAE. ","")&amp;IF($N427="","Falta l'indicador del Pla. ","")&amp;IF($R427="","Falta el gestor. ","")&amp;IF($S427="","Falta indicar si és recurrent. ",""))))</f>
        <v/>
      </c>
    </row>
    <row r="428">
      <c r="A428" s="10">
        <f>IF($D428="","","27_"&amp;IFERROR(INDEX(Objectius!$E$2:$E$183,MATCH($D428,Objectius!$A$2:$A$183,0)),"??")&amp;"_"&amp;TEXT(COUNTIF($I$6:$I428,$I428),"00"))</f>
        <v/>
      </c>
      <c r="B428" s="11" t="n"/>
      <c r="C428" s="11" t="n"/>
      <c r="D428" s="11" t="n"/>
      <c r="E428" s="10">
        <f>IF($D428="","",IFERROR(INDEX(Objectius!$C$2:$C$183,MATCH($D428,Objectius!$A$2:$A$183,0)),"Objectiu no trobat al Pla"))</f>
        <v/>
      </c>
      <c r="F428" s="11" t="n"/>
      <c r="G428" s="11" t="n"/>
      <c r="H428" s="11" t="n"/>
      <c r="I428" s="10">
        <f>IF($D428="","",IFERROR(INDEX(Objectius!$D$2:$D$183,MATCH($D428,Objectius!$A$2:$A$183,0)),""))</f>
        <v/>
      </c>
      <c r="J428" s="11" t="n"/>
      <c r="K428" s="11" t="n"/>
      <c r="L428" s="11" t="n"/>
      <c r="M428" s="12" t="n"/>
      <c r="N428" s="11" t="n"/>
      <c r="O428" s="10">
        <f>IF($N428="","",IFERROR(INDEX('PLA ESTRATÈGIC'!$G$4:$G$452,MATCH($N428,'PLA ESTRATÈGIC'!$Q$4:$Q$452,0)),""))</f>
        <v/>
      </c>
      <c r="P428" s="10">
        <f>IF($N428="","",IFERROR(INDEX('PLA ESTRATÈGIC'!$H$4:$H$452,MATCH($N428,'PLA ESTRATÈGIC'!$Q$4:$Q$452,0)),""))</f>
        <v/>
      </c>
      <c r="Q428" s="13" t="n"/>
      <c r="R428" s="11" t="n"/>
      <c r="S428" s="11" t="n"/>
      <c r="T428" s="11" t="n"/>
      <c r="U428" s="11" t="n"/>
      <c r="V428" s="10">
        <f>IF(COUNTA($C428,$D428,$J428,$M428)=0,"",IF(TRIM(IF($C428="","Falta l'actuació. ","")&amp;IF($D428="","Falta l'objectiu. ","")&amp;IF($J428="","Falta el tipus de despesa. ","")&amp;IF(AND($J428&lt;&gt;"",$J428&lt;&gt;"Mitjans propis",$J428&lt;&gt;"Altres",$M428=""),"Falta l'import. ","")&amp;IF(AND($J428="Contracte menor a càrrec del RAE",$K428=""),"Falta la partida RAE. ","")&amp;IF(AND($B428&lt;&gt;"",COUNTIF($B$6:$B$705,$B428)&gt;1),"Codi RAE repetit. ","")&amp;IF(AND($B428&lt;&gt;"",$J428&lt;&gt;"",$J428&lt;&gt;"Contracte menor a càrrec del RAE"),"Té codi RAE però no és de tipus RAE. ","")&amp;IF($N428="","Falta l'indicador del Pla. ","")&amp;IF($R428="","Falta el gestor. ","")&amp;IF($S428="","Falta indicar si és recurrent. ",""))="","✔",TRIM(IF($C428="","Falta l'actuació. ","")&amp;IF($D428="","Falta l'objectiu. ","")&amp;IF($J428="","Falta el tipus de despesa. ","")&amp;IF(AND($J428&lt;&gt;"",$J428&lt;&gt;"Mitjans propis",$J428&lt;&gt;"Altres",$M428=""),"Falta l'import. ","")&amp;IF(AND($J428="Contracte menor a càrrec del RAE",$K428=""),"Falta la partida RAE. ","")&amp;IF(AND($B428&lt;&gt;"",COUNTIF($B$6:$B$705,$B428)&gt;1),"Codi RAE repetit. ","")&amp;IF(AND($B428&lt;&gt;"",$J428&lt;&gt;"",$J428&lt;&gt;"Contracte menor a càrrec del RAE"),"Té codi RAE però no és de tipus RAE. ","")&amp;IF($N428="","Falta l'indicador del Pla. ","")&amp;IF($R428="","Falta el gestor. ","")&amp;IF($S428="","Falta indicar si és recurrent. ",""))))</f>
        <v/>
      </c>
    </row>
    <row r="429">
      <c r="A429" s="10">
        <f>IF($D429="","","27_"&amp;IFERROR(INDEX(Objectius!$E$2:$E$183,MATCH($D429,Objectius!$A$2:$A$183,0)),"??")&amp;"_"&amp;TEXT(COUNTIF($I$6:$I429,$I429),"00"))</f>
        <v/>
      </c>
      <c r="B429" s="11" t="n"/>
      <c r="C429" s="11" t="n"/>
      <c r="D429" s="11" t="n"/>
      <c r="E429" s="10">
        <f>IF($D429="","",IFERROR(INDEX(Objectius!$C$2:$C$183,MATCH($D429,Objectius!$A$2:$A$183,0)),"Objectiu no trobat al Pla"))</f>
        <v/>
      </c>
      <c r="F429" s="11" t="n"/>
      <c r="G429" s="11" t="n"/>
      <c r="H429" s="11" t="n"/>
      <c r="I429" s="10">
        <f>IF($D429="","",IFERROR(INDEX(Objectius!$D$2:$D$183,MATCH($D429,Objectius!$A$2:$A$183,0)),""))</f>
        <v/>
      </c>
      <c r="J429" s="11" t="n"/>
      <c r="K429" s="11" t="n"/>
      <c r="L429" s="11" t="n"/>
      <c r="M429" s="12" t="n"/>
      <c r="N429" s="11" t="n"/>
      <c r="O429" s="10">
        <f>IF($N429="","",IFERROR(INDEX('PLA ESTRATÈGIC'!$G$4:$G$452,MATCH($N429,'PLA ESTRATÈGIC'!$Q$4:$Q$452,0)),""))</f>
        <v/>
      </c>
      <c r="P429" s="10">
        <f>IF($N429="","",IFERROR(INDEX('PLA ESTRATÈGIC'!$H$4:$H$452,MATCH($N429,'PLA ESTRATÈGIC'!$Q$4:$Q$452,0)),""))</f>
        <v/>
      </c>
      <c r="Q429" s="13" t="n"/>
      <c r="R429" s="11" t="n"/>
      <c r="S429" s="11" t="n"/>
      <c r="T429" s="11" t="n"/>
      <c r="U429" s="11" t="n"/>
      <c r="V429" s="10">
        <f>IF(COUNTA($C429,$D429,$J429,$M429)=0,"",IF(TRIM(IF($C429="","Falta l'actuació. ","")&amp;IF($D429="","Falta l'objectiu. ","")&amp;IF($J429="","Falta el tipus de despesa. ","")&amp;IF(AND($J429&lt;&gt;"",$J429&lt;&gt;"Mitjans propis",$J429&lt;&gt;"Altres",$M429=""),"Falta l'import. ","")&amp;IF(AND($J429="Contracte menor a càrrec del RAE",$K429=""),"Falta la partida RAE. ","")&amp;IF(AND($B429&lt;&gt;"",COUNTIF($B$6:$B$705,$B429)&gt;1),"Codi RAE repetit. ","")&amp;IF(AND($B429&lt;&gt;"",$J429&lt;&gt;"",$J429&lt;&gt;"Contracte menor a càrrec del RAE"),"Té codi RAE però no és de tipus RAE. ","")&amp;IF($N429="","Falta l'indicador del Pla. ","")&amp;IF($R429="","Falta el gestor. ","")&amp;IF($S429="","Falta indicar si és recurrent. ",""))="","✔",TRIM(IF($C429="","Falta l'actuació. ","")&amp;IF($D429="","Falta l'objectiu. ","")&amp;IF($J429="","Falta el tipus de despesa. ","")&amp;IF(AND($J429&lt;&gt;"",$J429&lt;&gt;"Mitjans propis",$J429&lt;&gt;"Altres",$M429=""),"Falta l'import. ","")&amp;IF(AND($J429="Contracte menor a càrrec del RAE",$K429=""),"Falta la partida RAE. ","")&amp;IF(AND($B429&lt;&gt;"",COUNTIF($B$6:$B$705,$B429)&gt;1),"Codi RAE repetit. ","")&amp;IF(AND($B429&lt;&gt;"",$J429&lt;&gt;"",$J429&lt;&gt;"Contracte menor a càrrec del RAE"),"Té codi RAE però no és de tipus RAE. ","")&amp;IF($N429="","Falta l'indicador del Pla. ","")&amp;IF($R429="","Falta el gestor. ","")&amp;IF($S429="","Falta indicar si és recurrent. ",""))))</f>
        <v/>
      </c>
    </row>
    <row r="430">
      <c r="A430" s="10">
        <f>IF($D430="","","27_"&amp;IFERROR(INDEX(Objectius!$E$2:$E$183,MATCH($D430,Objectius!$A$2:$A$183,0)),"??")&amp;"_"&amp;TEXT(COUNTIF($I$6:$I430,$I430),"00"))</f>
        <v/>
      </c>
      <c r="B430" s="11" t="n"/>
      <c r="C430" s="11" t="n"/>
      <c r="D430" s="11" t="n"/>
      <c r="E430" s="10">
        <f>IF($D430="","",IFERROR(INDEX(Objectius!$C$2:$C$183,MATCH($D430,Objectius!$A$2:$A$183,0)),"Objectiu no trobat al Pla"))</f>
        <v/>
      </c>
      <c r="F430" s="11" t="n"/>
      <c r="G430" s="11" t="n"/>
      <c r="H430" s="11" t="n"/>
      <c r="I430" s="10">
        <f>IF($D430="","",IFERROR(INDEX(Objectius!$D$2:$D$183,MATCH($D430,Objectius!$A$2:$A$183,0)),""))</f>
        <v/>
      </c>
      <c r="J430" s="11" t="n"/>
      <c r="K430" s="11" t="n"/>
      <c r="L430" s="11" t="n"/>
      <c r="M430" s="12" t="n"/>
      <c r="N430" s="11" t="n"/>
      <c r="O430" s="10">
        <f>IF($N430="","",IFERROR(INDEX('PLA ESTRATÈGIC'!$G$4:$G$452,MATCH($N430,'PLA ESTRATÈGIC'!$Q$4:$Q$452,0)),""))</f>
        <v/>
      </c>
      <c r="P430" s="10">
        <f>IF($N430="","",IFERROR(INDEX('PLA ESTRATÈGIC'!$H$4:$H$452,MATCH($N430,'PLA ESTRATÈGIC'!$Q$4:$Q$452,0)),""))</f>
        <v/>
      </c>
      <c r="Q430" s="13" t="n"/>
      <c r="R430" s="11" t="n"/>
      <c r="S430" s="11" t="n"/>
      <c r="T430" s="11" t="n"/>
      <c r="U430" s="11" t="n"/>
      <c r="V430" s="10">
        <f>IF(COUNTA($C430,$D430,$J430,$M430)=0,"",IF(TRIM(IF($C430="","Falta l'actuació. ","")&amp;IF($D430="","Falta l'objectiu. ","")&amp;IF($J430="","Falta el tipus de despesa. ","")&amp;IF(AND($J430&lt;&gt;"",$J430&lt;&gt;"Mitjans propis",$J430&lt;&gt;"Altres",$M430=""),"Falta l'import. ","")&amp;IF(AND($J430="Contracte menor a càrrec del RAE",$K430=""),"Falta la partida RAE. ","")&amp;IF(AND($B430&lt;&gt;"",COUNTIF($B$6:$B$705,$B430)&gt;1),"Codi RAE repetit. ","")&amp;IF(AND($B430&lt;&gt;"",$J430&lt;&gt;"",$J430&lt;&gt;"Contracte menor a càrrec del RAE"),"Té codi RAE però no és de tipus RAE. ","")&amp;IF($N430="","Falta l'indicador del Pla. ","")&amp;IF($R430="","Falta el gestor. ","")&amp;IF($S430="","Falta indicar si és recurrent. ",""))="","✔",TRIM(IF($C430="","Falta l'actuació. ","")&amp;IF($D430="","Falta l'objectiu. ","")&amp;IF($J430="","Falta el tipus de despesa. ","")&amp;IF(AND($J430&lt;&gt;"",$J430&lt;&gt;"Mitjans propis",$J430&lt;&gt;"Altres",$M430=""),"Falta l'import. ","")&amp;IF(AND($J430="Contracte menor a càrrec del RAE",$K430=""),"Falta la partida RAE. ","")&amp;IF(AND($B430&lt;&gt;"",COUNTIF($B$6:$B$705,$B430)&gt;1),"Codi RAE repetit. ","")&amp;IF(AND($B430&lt;&gt;"",$J430&lt;&gt;"",$J430&lt;&gt;"Contracte menor a càrrec del RAE"),"Té codi RAE però no és de tipus RAE. ","")&amp;IF($N430="","Falta l'indicador del Pla. ","")&amp;IF($R430="","Falta el gestor. ","")&amp;IF($S430="","Falta indicar si és recurrent. ",""))))</f>
        <v/>
      </c>
    </row>
    <row r="431">
      <c r="A431" s="10">
        <f>IF($D431="","","27_"&amp;IFERROR(INDEX(Objectius!$E$2:$E$183,MATCH($D431,Objectius!$A$2:$A$183,0)),"??")&amp;"_"&amp;TEXT(COUNTIF($I$6:$I431,$I431),"00"))</f>
        <v/>
      </c>
      <c r="B431" s="11" t="n"/>
      <c r="C431" s="11" t="n"/>
      <c r="D431" s="11" t="n"/>
      <c r="E431" s="10">
        <f>IF($D431="","",IFERROR(INDEX(Objectius!$C$2:$C$183,MATCH($D431,Objectius!$A$2:$A$183,0)),"Objectiu no trobat al Pla"))</f>
        <v/>
      </c>
      <c r="F431" s="11" t="n"/>
      <c r="G431" s="11" t="n"/>
      <c r="H431" s="11" t="n"/>
      <c r="I431" s="10">
        <f>IF($D431="","",IFERROR(INDEX(Objectius!$D$2:$D$183,MATCH($D431,Objectius!$A$2:$A$183,0)),""))</f>
        <v/>
      </c>
      <c r="J431" s="11" t="n"/>
      <c r="K431" s="11" t="n"/>
      <c r="L431" s="11" t="n"/>
      <c r="M431" s="12" t="n"/>
      <c r="N431" s="11" t="n"/>
      <c r="O431" s="10">
        <f>IF($N431="","",IFERROR(INDEX('PLA ESTRATÈGIC'!$G$4:$G$452,MATCH($N431,'PLA ESTRATÈGIC'!$Q$4:$Q$452,0)),""))</f>
        <v/>
      </c>
      <c r="P431" s="10">
        <f>IF($N431="","",IFERROR(INDEX('PLA ESTRATÈGIC'!$H$4:$H$452,MATCH($N431,'PLA ESTRATÈGIC'!$Q$4:$Q$452,0)),""))</f>
        <v/>
      </c>
      <c r="Q431" s="13" t="n"/>
      <c r="R431" s="11" t="n"/>
      <c r="S431" s="11" t="n"/>
      <c r="T431" s="11" t="n"/>
      <c r="U431" s="11" t="n"/>
      <c r="V431" s="10">
        <f>IF(COUNTA($C431,$D431,$J431,$M431)=0,"",IF(TRIM(IF($C431="","Falta l'actuació. ","")&amp;IF($D431="","Falta l'objectiu. ","")&amp;IF($J431="","Falta el tipus de despesa. ","")&amp;IF(AND($J431&lt;&gt;"",$J431&lt;&gt;"Mitjans propis",$J431&lt;&gt;"Altres",$M431=""),"Falta l'import. ","")&amp;IF(AND($J431="Contracte menor a càrrec del RAE",$K431=""),"Falta la partida RAE. ","")&amp;IF(AND($B431&lt;&gt;"",COUNTIF($B$6:$B$705,$B431)&gt;1),"Codi RAE repetit. ","")&amp;IF(AND($B431&lt;&gt;"",$J431&lt;&gt;"",$J431&lt;&gt;"Contracte menor a càrrec del RAE"),"Té codi RAE però no és de tipus RAE. ","")&amp;IF($N431="","Falta l'indicador del Pla. ","")&amp;IF($R431="","Falta el gestor. ","")&amp;IF($S431="","Falta indicar si és recurrent. ",""))="","✔",TRIM(IF($C431="","Falta l'actuació. ","")&amp;IF($D431="","Falta l'objectiu. ","")&amp;IF($J431="","Falta el tipus de despesa. ","")&amp;IF(AND($J431&lt;&gt;"",$J431&lt;&gt;"Mitjans propis",$J431&lt;&gt;"Altres",$M431=""),"Falta l'import. ","")&amp;IF(AND($J431="Contracte menor a càrrec del RAE",$K431=""),"Falta la partida RAE. ","")&amp;IF(AND($B431&lt;&gt;"",COUNTIF($B$6:$B$705,$B431)&gt;1),"Codi RAE repetit. ","")&amp;IF(AND($B431&lt;&gt;"",$J431&lt;&gt;"",$J431&lt;&gt;"Contracte menor a càrrec del RAE"),"Té codi RAE però no és de tipus RAE. ","")&amp;IF($N431="","Falta l'indicador del Pla. ","")&amp;IF($R431="","Falta el gestor. ","")&amp;IF($S431="","Falta indicar si és recurrent. ",""))))</f>
        <v/>
      </c>
    </row>
    <row r="432">
      <c r="A432" s="10">
        <f>IF($D432="","","27_"&amp;IFERROR(INDEX(Objectius!$E$2:$E$183,MATCH($D432,Objectius!$A$2:$A$183,0)),"??")&amp;"_"&amp;TEXT(COUNTIF($I$6:$I432,$I432),"00"))</f>
        <v/>
      </c>
      <c r="B432" s="11" t="n"/>
      <c r="C432" s="11" t="n"/>
      <c r="D432" s="11" t="n"/>
      <c r="E432" s="10">
        <f>IF($D432="","",IFERROR(INDEX(Objectius!$C$2:$C$183,MATCH($D432,Objectius!$A$2:$A$183,0)),"Objectiu no trobat al Pla"))</f>
        <v/>
      </c>
      <c r="F432" s="11" t="n"/>
      <c r="G432" s="11" t="n"/>
      <c r="H432" s="11" t="n"/>
      <c r="I432" s="10">
        <f>IF($D432="","",IFERROR(INDEX(Objectius!$D$2:$D$183,MATCH($D432,Objectius!$A$2:$A$183,0)),""))</f>
        <v/>
      </c>
      <c r="J432" s="11" t="n"/>
      <c r="K432" s="11" t="n"/>
      <c r="L432" s="11" t="n"/>
      <c r="M432" s="12" t="n"/>
      <c r="N432" s="11" t="n"/>
      <c r="O432" s="10">
        <f>IF($N432="","",IFERROR(INDEX('PLA ESTRATÈGIC'!$G$4:$G$452,MATCH($N432,'PLA ESTRATÈGIC'!$Q$4:$Q$452,0)),""))</f>
        <v/>
      </c>
      <c r="P432" s="10">
        <f>IF($N432="","",IFERROR(INDEX('PLA ESTRATÈGIC'!$H$4:$H$452,MATCH($N432,'PLA ESTRATÈGIC'!$Q$4:$Q$452,0)),""))</f>
        <v/>
      </c>
      <c r="Q432" s="13" t="n"/>
      <c r="R432" s="11" t="n"/>
      <c r="S432" s="11" t="n"/>
      <c r="T432" s="11" t="n"/>
      <c r="U432" s="11" t="n"/>
      <c r="V432" s="10">
        <f>IF(COUNTA($C432,$D432,$J432,$M432)=0,"",IF(TRIM(IF($C432="","Falta l'actuació. ","")&amp;IF($D432="","Falta l'objectiu. ","")&amp;IF($J432="","Falta el tipus de despesa. ","")&amp;IF(AND($J432&lt;&gt;"",$J432&lt;&gt;"Mitjans propis",$J432&lt;&gt;"Altres",$M432=""),"Falta l'import. ","")&amp;IF(AND($J432="Contracte menor a càrrec del RAE",$K432=""),"Falta la partida RAE. ","")&amp;IF(AND($B432&lt;&gt;"",COUNTIF($B$6:$B$705,$B432)&gt;1),"Codi RAE repetit. ","")&amp;IF(AND($B432&lt;&gt;"",$J432&lt;&gt;"",$J432&lt;&gt;"Contracte menor a càrrec del RAE"),"Té codi RAE però no és de tipus RAE. ","")&amp;IF($N432="","Falta l'indicador del Pla. ","")&amp;IF($R432="","Falta el gestor. ","")&amp;IF($S432="","Falta indicar si és recurrent. ",""))="","✔",TRIM(IF($C432="","Falta l'actuació. ","")&amp;IF($D432="","Falta l'objectiu. ","")&amp;IF($J432="","Falta el tipus de despesa. ","")&amp;IF(AND($J432&lt;&gt;"",$J432&lt;&gt;"Mitjans propis",$J432&lt;&gt;"Altres",$M432=""),"Falta l'import. ","")&amp;IF(AND($J432="Contracte menor a càrrec del RAE",$K432=""),"Falta la partida RAE. ","")&amp;IF(AND($B432&lt;&gt;"",COUNTIF($B$6:$B$705,$B432)&gt;1),"Codi RAE repetit. ","")&amp;IF(AND($B432&lt;&gt;"",$J432&lt;&gt;"",$J432&lt;&gt;"Contracte menor a càrrec del RAE"),"Té codi RAE però no és de tipus RAE. ","")&amp;IF($N432="","Falta l'indicador del Pla. ","")&amp;IF($R432="","Falta el gestor. ","")&amp;IF($S432="","Falta indicar si és recurrent. ",""))))</f>
        <v/>
      </c>
    </row>
    <row r="433">
      <c r="A433" s="10">
        <f>IF($D433="","","27_"&amp;IFERROR(INDEX(Objectius!$E$2:$E$183,MATCH($D433,Objectius!$A$2:$A$183,0)),"??")&amp;"_"&amp;TEXT(COUNTIF($I$6:$I433,$I433),"00"))</f>
        <v/>
      </c>
      <c r="B433" s="11" t="n"/>
      <c r="C433" s="11" t="n"/>
      <c r="D433" s="11" t="n"/>
      <c r="E433" s="10">
        <f>IF($D433="","",IFERROR(INDEX(Objectius!$C$2:$C$183,MATCH($D433,Objectius!$A$2:$A$183,0)),"Objectiu no trobat al Pla"))</f>
        <v/>
      </c>
      <c r="F433" s="11" t="n"/>
      <c r="G433" s="11" t="n"/>
      <c r="H433" s="11" t="n"/>
      <c r="I433" s="10">
        <f>IF($D433="","",IFERROR(INDEX(Objectius!$D$2:$D$183,MATCH($D433,Objectius!$A$2:$A$183,0)),""))</f>
        <v/>
      </c>
      <c r="J433" s="11" t="n"/>
      <c r="K433" s="11" t="n"/>
      <c r="L433" s="11" t="n"/>
      <c r="M433" s="12" t="n"/>
      <c r="N433" s="11" t="n"/>
      <c r="O433" s="10">
        <f>IF($N433="","",IFERROR(INDEX('PLA ESTRATÈGIC'!$G$4:$G$452,MATCH($N433,'PLA ESTRATÈGIC'!$Q$4:$Q$452,0)),""))</f>
        <v/>
      </c>
      <c r="P433" s="10">
        <f>IF($N433="","",IFERROR(INDEX('PLA ESTRATÈGIC'!$H$4:$H$452,MATCH($N433,'PLA ESTRATÈGIC'!$Q$4:$Q$452,0)),""))</f>
        <v/>
      </c>
      <c r="Q433" s="13" t="n"/>
      <c r="R433" s="11" t="n"/>
      <c r="S433" s="11" t="n"/>
      <c r="T433" s="11" t="n"/>
      <c r="U433" s="11" t="n"/>
      <c r="V433" s="10">
        <f>IF(COUNTA($C433,$D433,$J433,$M433)=0,"",IF(TRIM(IF($C433="","Falta l'actuació. ","")&amp;IF($D433="","Falta l'objectiu. ","")&amp;IF($J433="","Falta el tipus de despesa. ","")&amp;IF(AND($J433&lt;&gt;"",$J433&lt;&gt;"Mitjans propis",$J433&lt;&gt;"Altres",$M433=""),"Falta l'import. ","")&amp;IF(AND($J433="Contracte menor a càrrec del RAE",$K433=""),"Falta la partida RAE. ","")&amp;IF(AND($B433&lt;&gt;"",COUNTIF($B$6:$B$705,$B433)&gt;1),"Codi RAE repetit. ","")&amp;IF(AND($B433&lt;&gt;"",$J433&lt;&gt;"",$J433&lt;&gt;"Contracte menor a càrrec del RAE"),"Té codi RAE però no és de tipus RAE. ","")&amp;IF($N433="","Falta l'indicador del Pla. ","")&amp;IF($R433="","Falta el gestor. ","")&amp;IF($S433="","Falta indicar si és recurrent. ",""))="","✔",TRIM(IF($C433="","Falta l'actuació. ","")&amp;IF($D433="","Falta l'objectiu. ","")&amp;IF($J433="","Falta el tipus de despesa. ","")&amp;IF(AND($J433&lt;&gt;"",$J433&lt;&gt;"Mitjans propis",$J433&lt;&gt;"Altres",$M433=""),"Falta l'import. ","")&amp;IF(AND($J433="Contracte menor a càrrec del RAE",$K433=""),"Falta la partida RAE. ","")&amp;IF(AND($B433&lt;&gt;"",COUNTIF($B$6:$B$705,$B433)&gt;1),"Codi RAE repetit. ","")&amp;IF(AND($B433&lt;&gt;"",$J433&lt;&gt;"",$J433&lt;&gt;"Contracte menor a càrrec del RAE"),"Té codi RAE però no és de tipus RAE. ","")&amp;IF($N433="","Falta l'indicador del Pla. ","")&amp;IF($R433="","Falta el gestor. ","")&amp;IF($S433="","Falta indicar si és recurrent. ",""))))</f>
        <v/>
      </c>
    </row>
    <row r="434">
      <c r="A434" s="10">
        <f>IF($D434="","","27_"&amp;IFERROR(INDEX(Objectius!$E$2:$E$183,MATCH($D434,Objectius!$A$2:$A$183,0)),"??")&amp;"_"&amp;TEXT(COUNTIF($I$6:$I434,$I434),"00"))</f>
        <v/>
      </c>
      <c r="B434" s="11" t="n"/>
      <c r="C434" s="11" t="n"/>
      <c r="D434" s="11" t="n"/>
      <c r="E434" s="10">
        <f>IF($D434="","",IFERROR(INDEX(Objectius!$C$2:$C$183,MATCH($D434,Objectius!$A$2:$A$183,0)),"Objectiu no trobat al Pla"))</f>
        <v/>
      </c>
      <c r="F434" s="11" t="n"/>
      <c r="G434" s="11" t="n"/>
      <c r="H434" s="11" t="n"/>
      <c r="I434" s="10">
        <f>IF($D434="","",IFERROR(INDEX(Objectius!$D$2:$D$183,MATCH($D434,Objectius!$A$2:$A$183,0)),""))</f>
        <v/>
      </c>
      <c r="J434" s="11" t="n"/>
      <c r="K434" s="11" t="n"/>
      <c r="L434" s="11" t="n"/>
      <c r="M434" s="12" t="n"/>
      <c r="N434" s="11" t="n"/>
      <c r="O434" s="10">
        <f>IF($N434="","",IFERROR(INDEX('PLA ESTRATÈGIC'!$G$4:$G$452,MATCH($N434,'PLA ESTRATÈGIC'!$Q$4:$Q$452,0)),""))</f>
        <v/>
      </c>
      <c r="P434" s="10">
        <f>IF($N434="","",IFERROR(INDEX('PLA ESTRATÈGIC'!$H$4:$H$452,MATCH($N434,'PLA ESTRATÈGIC'!$Q$4:$Q$452,0)),""))</f>
        <v/>
      </c>
      <c r="Q434" s="13" t="n"/>
      <c r="R434" s="11" t="n"/>
      <c r="S434" s="11" t="n"/>
      <c r="T434" s="11" t="n"/>
      <c r="U434" s="11" t="n"/>
      <c r="V434" s="10">
        <f>IF(COUNTA($C434,$D434,$J434,$M434)=0,"",IF(TRIM(IF($C434="","Falta l'actuació. ","")&amp;IF($D434="","Falta l'objectiu. ","")&amp;IF($J434="","Falta el tipus de despesa. ","")&amp;IF(AND($J434&lt;&gt;"",$J434&lt;&gt;"Mitjans propis",$J434&lt;&gt;"Altres",$M434=""),"Falta l'import. ","")&amp;IF(AND($J434="Contracte menor a càrrec del RAE",$K434=""),"Falta la partida RAE. ","")&amp;IF(AND($B434&lt;&gt;"",COUNTIF($B$6:$B$705,$B434)&gt;1),"Codi RAE repetit. ","")&amp;IF(AND($B434&lt;&gt;"",$J434&lt;&gt;"",$J434&lt;&gt;"Contracte menor a càrrec del RAE"),"Té codi RAE però no és de tipus RAE. ","")&amp;IF($N434="","Falta l'indicador del Pla. ","")&amp;IF($R434="","Falta el gestor. ","")&amp;IF($S434="","Falta indicar si és recurrent. ",""))="","✔",TRIM(IF($C434="","Falta l'actuació. ","")&amp;IF($D434="","Falta l'objectiu. ","")&amp;IF($J434="","Falta el tipus de despesa. ","")&amp;IF(AND($J434&lt;&gt;"",$J434&lt;&gt;"Mitjans propis",$J434&lt;&gt;"Altres",$M434=""),"Falta l'import. ","")&amp;IF(AND($J434="Contracte menor a càrrec del RAE",$K434=""),"Falta la partida RAE. ","")&amp;IF(AND($B434&lt;&gt;"",COUNTIF($B$6:$B$705,$B434)&gt;1),"Codi RAE repetit. ","")&amp;IF(AND($B434&lt;&gt;"",$J434&lt;&gt;"",$J434&lt;&gt;"Contracte menor a càrrec del RAE"),"Té codi RAE però no és de tipus RAE. ","")&amp;IF($N434="","Falta l'indicador del Pla. ","")&amp;IF($R434="","Falta el gestor. ","")&amp;IF($S434="","Falta indicar si és recurrent. ",""))))</f>
        <v/>
      </c>
    </row>
    <row r="435">
      <c r="A435" s="10">
        <f>IF($D435="","","27_"&amp;IFERROR(INDEX(Objectius!$E$2:$E$183,MATCH($D435,Objectius!$A$2:$A$183,0)),"??")&amp;"_"&amp;TEXT(COUNTIF($I$6:$I435,$I435),"00"))</f>
        <v/>
      </c>
      <c r="B435" s="11" t="n"/>
      <c r="C435" s="11" t="n"/>
      <c r="D435" s="11" t="n"/>
      <c r="E435" s="10">
        <f>IF($D435="","",IFERROR(INDEX(Objectius!$C$2:$C$183,MATCH($D435,Objectius!$A$2:$A$183,0)),"Objectiu no trobat al Pla"))</f>
        <v/>
      </c>
      <c r="F435" s="11" t="n"/>
      <c r="G435" s="11" t="n"/>
      <c r="H435" s="11" t="n"/>
      <c r="I435" s="10">
        <f>IF($D435="","",IFERROR(INDEX(Objectius!$D$2:$D$183,MATCH($D435,Objectius!$A$2:$A$183,0)),""))</f>
        <v/>
      </c>
      <c r="J435" s="11" t="n"/>
      <c r="K435" s="11" t="n"/>
      <c r="L435" s="11" t="n"/>
      <c r="M435" s="12" t="n"/>
      <c r="N435" s="11" t="n"/>
      <c r="O435" s="10">
        <f>IF($N435="","",IFERROR(INDEX('PLA ESTRATÈGIC'!$G$4:$G$452,MATCH($N435,'PLA ESTRATÈGIC'!$Q$4:$Q$452,0)),""))</f>
        <v/>
      </c>
      <c r="P435" s="10">
        <f>IF($N435="","",IFERROR(INDEX('PLA ESTRATÈGIC'!$H$4:$H$452,MATCH($N435,'PLA ESTRATÈGIC'!$Q$4:$Q$452,0)),""))</f>
        <v/>
      </c>
      <c r="Q435" s="13" t="n"/>
      <c r="R435" s="11" t="n"/>
      <c r="S435" s="11" t="n"/>
      <c r="T435" s="11" t="n"/>
      <c r="U435" s="11" t="n"/>
      <c r="V435" s="10">
        <f>IF(COUNTA($C435,$D435,$J435,$M435)=0,"",IF(TRIM(IF($C435="","Falta l'actuació. ","")&amp;IF($D435="","Falta l'objectiu. ","")&amp;IF($J435="","Falta el tipus de despesa. ","")&amp;IF(AND($J435&lt;&gt;"",$J435&lt;&gt;"Mitjans propis",$J435&lt;&gt;"Altres",$M435=""),"Falta l'import. ","")&amp;IF(AND($J435="Contracte menor a càrrec del RAE",$K435=""),"Falta la partida RAE. ","")&amp;IF(AND($B435&lt;&gt;"",COUNTIF($B$6:$B$705,$B435)&gt;1),"Codi RAE repetit. ","")&amp;IF(AND($B435&lt;&gt;"",$J435&lt;&gt;"",$J435&lt;&gt;"Contracte menor a càrrec del RAE"),"Té codi RAE però no és de tipus RAE. ","")&amp;IF($N435="","Falta l'indicador del Pla. ","")&amp;IF($R435="","Falta el gestor. ","")&amp;IF($S435="","Falta indicar si és recurrent. ",""))="","✔",TRIM(IF($C435="","Falta l'actuació. ","")&amp;IF($D435="","Falta l'objectiu. ","")&amp;IF($J435="","Falta el tipus de despesa. ","")&amp;IF(AND($J435&lt;&gt;"",$J435&lt;&gt;"Mitjans propis",$J435&lt;&gt;"Altres",$M435=""),"Falta l'import. ","")&amp;IF(AND($J435="Contracte menor a càrrec del RAE",$K435=""),"Falta la partida RAE. ","")&amp;IF(AND($B435&lt;&gt;"",COUNTIF($B$6:$B$705,$B435)&gt;1),"Codi RAE repetit. ","")&amp;IF(AND($B435&lt;&gt;"",$J435&lt;&gt;"",$J435&lt;&gt;"Contracte menor a càrrec del RAE"),"Té codi RAE però no és de tipus RAE. ","")&amp;IF($N435="","Falta l'indicador del Pla. ","")&amp;IF($R435="","Falta el gestor. ","")&amp;IF($S435="","Falta indicar si és recurrent. ",""))))</f>
        <v/>
      </c>
    </row>
    <row r="436">
      <c r="A436" s="10">
        <f>IF($D436="","","27_"&amp;IFERROR(INDEX(Objectius!$E$2:$E$183,MATCH($D436,Objectius!$A$2:$A$183,0)),"??")&amp;"_"&amp;TEXT(COUNTIF($I$6:$I436,$I436),"00"))</f>
        <v/>
      </c>
      <c r="B436" s="11" t="n"/>
      <c r="C436" s="11" t="n"/>
      <c r="D436" s="11" t="n"/>
      <c r="E436" s="10">
        <f>IF($D436="","",IFERROR(INDEX(Objectius!$C$2:$C$183,MATCH($D436,Objectius!$A$2:$A$183,0)),"Objectiu no trobat al Pla"))</f>
        <v/>
      </c>
      <c r="F436" s="11" t="n"/>
      <c r="G436" s="11" t="n"/>
      <c r="H436" s="11" t="n"/>
      <c r="I436" s="10">
        <f>IF($D436="","",IFERROR(INDEX(Objectius!$D$2:$D$183,MATCH($D436,Objectius!$A$2:$A$183,0)),""))</f>
        <v/>
      </c>
      <c r="J436" s="11" t="n"/>
      <c r="K436" s="11" t="n"/>
      <c r="L436" s="11" t="n"/>
      <c r="M436" s="12" t="n"/>
      <c r="N436" s="11" t="n"/>
      <c r="O436" s="10">
        <f>IF($N436="","",IFERROR(INDEX('PLA ESTRATÈGIC'!$G$4:$G$452,MATCH($N436,'PLA ESTRATÈGIC'!$Q$4:$Q$452,0)),""))</f>
        <v/>
      </c>
      <c r="P436" s="10">
        <f>IF($N436="","",IFERROR(INDEX('PLA ESTRATÈGIC'!$H$4:$H$452,MATCH($N436,'PLA ESTRATÈGIC'!$Q$4:$Q$452,0)),""))</f>
        <v/>
      </c>
      <c r="Q436" s="13" t="n"/>
      <c r="R436" s="11" t="n"/>
      <c r="S436" s="11" t="n"/>
      <c r="T436" s="11" t="n"/>
      <c r="U436" s="11" t="n"/>
      <c r="V436" s="10">
        <f>IF(COUNTA($C436,$D436,$J436,$M436)=0,"",IF(TRIM(IF($C436="","Falta l'actuació. ","")&amp;IF($D436="","Falta l'objectiu. ","")&amp;IF($J436="","Falta el tipus de despesa. ","")&amp;IF(AND($J436&lt;&gt;"",$J436&lt;&gt;"Mitjans propis",$J436&lt;&gt;"Altres",$M436=""),"Falta l'import. ","")&amp;IF(AND($J436="Contracte menor a càrrec del RAE",$K436=""),"Falta la partida RAE. ","")&amp;IF(AND($B436&lt;&gt;"",COUNTIF($B$6:$B$705,$B436)&gt;1),"Codi RAE repetit. ","")&amp;IF(AND($B436&lt;&gt;"",$J436&lt;&gt;"",$J436&lt;&gt;"Contracte menor a càrrec del RAE"),"Té codi RAE però no és de tipus RAE. ","")&amp;IF($N436="","Falta l'indicador del Pla. ","")&amp;IF($R436="","Falta el gestor. ","")&amp;IF($S436="","Falta indicar si és recurrent. ",""))="","✔",TRIM(IF($C436="","Falta l'actuació. ","")&amp;IF($D436="","Falta l'objectiu. ","")&amp;IF($J436="","Falta el tipus de despesa. ","")&amp;IF(AND($J436&lt;&gt;"",$J436&lt;&gt;"Mitjans propis",$J436&lt;&gt;"Altres",$M436=""),"Falta l'import. ","")&amp;IF(AND($J436="Contracte menor a càrrec del RAE",$K436=""),"Falta la partida RAE. ","")&amp;IF(AND($B436&lt;&gt;"",COUNTIF($B$6:$B$705,$B436)&gt;1),"Codi RAE repetit. ","")&amp;IF(AND($B436&lt;&gt;"",$J436&lt;&gt;"",$J436&lt;&gt;"Contracte menor a càrrec del RAE"),"Té codi RAE però no és de tipus RAE. ","")&amp;IF($N436="","Falta l'indicador del Pla. ","")&amp;IF($R436="","Falta el gestor. ","")&amp;IF($S436="","Falta indicar si és recurrent. ",""))))</f>
        <v/>
      </c>
    </row>
    <row r="437">
      <c r="A437" s="10">
        <f>IF($D437="","","27_"&amp;IFERROR(INDEX(Objectius!$E$2:$E$183,MATCH($D437,Objectius!$A$2:$A$183,0)),"??")&amp;"_"&amp;TEXT(COUNTIF($I$6:$I437,$I437),"00"))</f>
        <v/>
      </c>
      <c r="B437" s="11" t="n"/>
      <c r="C437" s="11" t="n"/>
      <c r="D437" s="11" t="n"/>
      <c r="E437" s="10">
        <f>IF($D437="","",IFERROR(INDEX(Objectius!$C$2:$C$183,MATCH($D437,Objectius!$A$2:$A$183,0)),"Objectiu no trobat al Pla"))</f>
        <v/>
      </c>
      <c r="F437" s="11" t="n"/>
      <c r="G437" s="11" t="n"/>
      <c r="H437" s="11" t="n"/>
      <c r="I437" s="10">
        <f>IF($D437="","",IFERROR(INDEX(Objectius!$D$2:$D$183,MATCH($D437,Objectius!$A$2:$A$183,0)),""))</f>
        <v/>
      </c>
      <c r="J437" s="11" t="n"/>
      <c r="K437" s="11" t="n"/>
      <c r="L437" s="11" t="n"/>
      <c r="M437" s="12" t="n"/>
      <c r="N437" s="11" t="n"/>
      <c r="O437" s="10">
        <f>IF($N437="","",IFERROR(INDEX('PLA ESTRATÈGIC'!$G$4:$G$452,MATCH($N437,'PLA ESTRATÈGIC'!$Q$4:$Q$452,0)),""))</f>
        <v/>
      </c>
      <c r="P437" s="10">
        <f>IF($N437="","",IFERROR(INDEX('PLA ESTRATÈGIC'!$H$4:$H$452,MATCH($N437,'PLA ESTRATÈGIC'!$Q$4:$Q$452,0)),""))</f>
        <v/>
      </c>
      <c r="Q437" s="13" t="n"/>
      <c r="R437" s="11" t="n"/>
      <c r="S437" s="11" t="n"/>
      <c r="T437" s="11" t="n"/>
      <c r="U437" s="11" t="n"/>
      <c r="V437" s="10">
        <f>IF(COUNTA($C437,$D437,$J437,$M437)=0,"",IF(TRIM(IF($C437="","Falta l'actuació. ","")&amp;IF($D437="","Falta l'objectiu. ","")&amp;IF($J437="","Falta el tipus de despesa. ","")&amp;IF(AND($J437&lt;&gt;"",$J437&lt;&gt;"Mitjans propis",$J437&lt;&gt;"Altres",$M437=""),"Falta l'import. ","")&amp;IF(AND($J437="Contracte menor a càrrec del RAE",$K437=""),"Falta la partida RAE. ","")&amp;IF(AND($B437&lt;&gt;"",COUNTIF($B$6:$B$705,$B437)&gt;1),"Codi RAE repetit. ","")&amp;IF(AND($B437&lt;&gt;"",$J437&lt;&gt;"",$J437&lt;&gt;"Contracte menor a càrrec del RAE"),"Té codi RAE però no és de tipus RAE. ","")&amp;IF($N437="","Falta l'indicador del Pla. ","")&amp;IF($R437="","Falta el gestor. ","")&amp;IF($S437="","Falta indicar si és recurrent. ",""))="","✔",TRIM(IF($C437="","Falta l'actuació. ","")&amp;IF($D437="","Falta l'objectiu. ","")&amp;IF($J437="","Falta el tipus de despesa. ","")&amp;IF(AND($J437&lt;&gt;"",$J437&lt;&gt;"Mitjans propis",$J437&lt;&gt;"Altres",$M437=""),"Falta l'import. ","")&amp;IF(AND($J437="Contracte menor a càrrec del RAE",$K437=""),"Falta la partida RAE. ","")&amp;IF(AND($B437&lt;&gt;"",COUNTIF($B$6:$B$705,$B437)&gt;1),"Codi RAE repetit. ","")&amp;IF(AND($B437&lt;&gt;"",$J437&lt;&gt;"",$J437&lt;&gt;"Contracte menor a càrrec del RAE"),"Té codi RAE però no és de tipus RAE. ","")&amp;IF($N437="","Falta l'indicador del Pla. ","")&amp;IF($R437="","Falta el gestor. ","")&amp;IF($S437="","Falta indicar si és recurrent. ",""))))</f>
        <v/>
      </c>
    </row>
    <row r="438">
      <c r="A438" s="10">
        <f>IF($D438="","","27_"&amp;IFERROR(INDEX(Objectius!$E$2:$E$183,MATCH($D438,Objectius!$A$2:$A$183,0)),"??")&amp;"_"&amp;TEXT(COUNTIF($I$6:$I438,$I438),"00"))</f>
        <v/>
      </c>
      <c r="B438" s="11" t="n"/>
      <c r="C438" s="11" t="n"/>
      <c r="D438" s="11" t="n"/>
      <c r="E438" s="10">
        <f>IF($D438="","",IFERROR(INDEX(Objectius!$C$2:$C$183,MATCH($D438,Objectius!$A$2:$A$183,0)),"Objectiu no trobat al Pla"))</f>
        <v/>
      </c>
      <c r="F438" s="11" t="n"/>
      <c r="G438" s="11" t="n"/>
      <c r="H438" s="11" t="n"/>
      <c r="I438" s="10">
        <f>IF($D438="","",IFERROR(INDEX(Objectius!$D$2:$D$183,MATCH($D438,Objectius!$A$2:$A$183,0)),""))</f>
        <v/>
      </c>
      <c r="J438" s="11" t="n"/>
      <c r="K438" s="11" t="n"/>
      <c r="L438" s="11" t="n"/>
      <c r="M438" s="12" t="n"/>
      <c r="N438" s="11" t="n"/>
      <c r="O438" s="10">
        <f>IF($N438="","",IFERROR(INDEX('PLA ESTRATÈGIC'!$G$4:$G$452,MATCH($N438,'PLA ESTRATÈGIC'!$Q$4:$Q$452,0)),""))</f>
        <v/>
      </c>
      <c r="P438" s="10">
        <f>IF($N438="","",IFERROR(INDEX('PLA ESTRATÈGIC'!$H$4:$H$452,MATCH($N438,'PLA ESTRATÈGIC'!$Q$4:$Q$452,0)),""))</f>
        <v/>
      </c>
      <c r="Q438" s="13" t="n"/>
      <c r="R438" s="11" t="n"/>
      <c r="S438" s="11" t="n"/>
      <c r="T438" s="11" t="n"/>
      <c r="U438" s="11" t="n"/>
      <c r="V438" s="10">
        <f>IF(COUNTA($C438,$D438,$J438,$M438)=0,"",IF(TRIM(IF($C438="","Falta l'actuació. ","")&amp;IF($D438="","Falta l'objectiu. ","")&amp;IF($J438="","Falta el tipus de despesa. ","")&amp;IF(AND($J438&lt;&gt;"",$J438&lt;&gt;"Mitjans propis",$J438&lt;&gt;"Altres",$M438=""),"Falta l'import. ","")&amp;IF(AND($J438="Contracte menor a càrrec del RAE",$K438=""),"Falta la partida RAE. ","")&amp;IF(AND($B438&lt;&gt;"",COUNTIF($B$6:$B$705,$B438)&gt;1),"Codi RAE repetit. ","")&amp;IF(AND($B438&lt;&gt;"",$J438&lt;&gt;"",$J438&lt;&gt;"Contracte menor a càrrec del RAE"),"Té codi RAE però no és de tipus RAE. ","")&amp;IF($N438="","Falta l'indicador del Pla. ","")&amp;IF($R438="","Falta el gestor. ","")&amp;IF($S438="","Falta indicar si és recurrent. ",""))="","✔",TRIM(IF($C438="","Falta l'actuació. ","")&amp;IF($D438="","Falta l'objectiu. ","")&amp;IF($J438="","Falta el tipus de despesa. ","")&amp;IF(AND($J438&lt;&gt;"",$J438&lt;&gt;"Mitjans propis",$J438&lt;&gt;"Altres",$M438=""),"Falta l'import. ","")&amp;IF(AND($J438="Contracte menor a càrrec del RAE",$K438=""),"Falta la partida RAE. ","")&amp;IF(AND($B438&lt;&gt;"",COUNTIF($B$6:$B$705,$B438)&gt;1),"Codi RAE repetit. ","")&amp;IF(AND($B438&lt;&gt;"",$J438&lt;&gt;"",$J438&lt;&gt;"Contracte menor a càrrec del RAE"),"Té codi RAE però no és de tipus RAE. ","")&amp;IF($N438="","Falta l'indicador del Pla. ","")&amp;IF($R438="","Falta el gestor. ","")&amp;IF($S438="","Falta indicar si és recurrent. ",""))))</f>
        <v/>
      </c>
    </row>
    <row r="439">
      <c r="A439" s="10">
        <f>IF($D439="","","27_"&amp;IFERROR(INDEX(Objectius!$E$2:$E$183,MATCH($D439,Objectius!$A$2:$A$183,0)),"??")&amp;"_"&amp;TEXT(COUNTIF($I$6:$I439,$I439),"00"))</f>
        <v/>
      </c>
      <c r="B439" s="11" t="n"/>
      <c r="C439" s="11" t="n"/>
      <c r="D439" s="11" t="n"/>
      <c r="E439" s="10">
        <f>IF($D439="","",IFERROR(INDEX(Objectius!$C$2:$C$183,MATCH($D439,Objectius!$A$2:$A$183,0)),"Objectiu no trobat al Pla"))</f>
        <v/>
      </c>
      <c r="F439" s="11" t="n"/>
      <c r="G439" s="11" t="n"/>
      <c r="H439" s="11" t="n"/>
      <c r="I439" s="10">
        <f>IF($D439="","",IFERROR(INDEX(Objectius!$D$2:$D$183,MATCH($D439,Objectius!$A$2:$A$183,0)),""))</f>
        <v/>
      </c>
      <c r="J439" s="11" t="n"/>
      <c r="K439" s="11" t="n"/>
      <c r="L439" s="11" t="n"/>
      <c r="M439" s="12" t="n"/>
      <c r="N439" s="11" t="n"/>
      <c r="O439" s="10">
        <f>IF($N439="","",IFERROR(INDEX('PLA ESTRATÈGIC'!$G$4:$G$452,MATCH($N439,'PLA ESTRATÈGIC'!$Q$4:$Q$452,0)),""))</f>
        <v/>
      </c>
      <c r="P439" s="10">
        <f>IF($N439="","",IFERROR(INDEX('PLA ESTRATÈGIC'!$H$4:$H$452,MATCH($N439,'PLA ESTRATÈGIC'!$Q$4:$Q$452,0)),""))</f>
        <v/>
      </c>
      <c r="Q439" s="13" t="n"/>
      <c r="R439" s="11" t="n"/>
      <c r="S439" s="11" t="n"/>
      <c r="T439" s="11" t="n"/>
      <c r="U439" s="11" t="n"/>
      <c r="V439" s="10">
        <f>IF(COUNTA($C439,$D439,$J439,$M439)=0,"",IF(TRIM(IF($C439="","Falta l'actuació. ","")&amp;IF($D439="","Falta l'objectiu. ","")&amp;IF($J439="","Falta el tipus de despesa. ","")&amp;IF(AND($J439&lt;&gt;"",$J439&lt;&gt;"Mitjans propis",$J439&lt;&gt;"Altres",$M439=""),"Falta l'import. ","")&amp;IF(AND($J439="Contracte menor a càrrec del RAE",$K439=""),"Falta la partida RAE. ","")&amp;IF(AND($B439&lt;&gt;"",COUNTIF($B$6:$B$705,$B439)&gt;1),"Codi RAE repetit. ","")&amp;IF(AND($B439&lt;&gt;"",$J439&lt;&gt;"",$J439&lt;&gt;"Contracte menor a càrrec del RAE"),"Té codi RAE però no és de tipus RAE. ","")&amp;IF($N439="","Falta l'indicador del Pla. ","")&amp;IF($R439="","Falta el gestor. ","")&amp;IF($S439="","Falta indicar si és recurrent. ",""))="","✔",TRIM(IF($C439="","Falta l'actuació. ","")&amp;IF($D439="","Falta l'objectiu. ","")&amp;IF($J439="","Falta el tipus de despesa. ","")&amp;IF(AND($J439&lt;&gt;"",$J439&lt;&gt;"Mitjans propis",$J439&lt;&gt;"Altres",$M439=""),"Falta l'import. ","")&amp;IF(AND($J439="Contracte menor a càrrec del RAE",$K439=""),"Falta la partida RAE. ","")&amp;IF(AND($B439&lt;&gt;"",COUNTIF($B$6:$B$705,$B439)&gt;1),"Codi RAE repetit. ","")&amp;IF(AND($B439&lt;&gt;"",$J439&lt;&gt;"",$J439&lt;&gt;"Contracte menor a càrrec del RAE"),"Té codi RAE però no és de tipus RAE. ","")&amp;IF($N439="","Falta l'indicador del Pla. ","")&amp;IF($R439="","Falta el gestor. ","")&amp;IF($S439="","Falta indicar si és recurrent. ",""))))</f>
        <v/>
      </c>
    </row>
    <row r="440">
      <c r="A440" s="10">
        <f>IF($D440="","","27_"&amp;IFERROR(INDEX(Objectius!$E$2:$E$183,MATCH($D440,Objectius!$A$2:$A$183,0)),"??")&amp;"_"&amp;TEXT(COUNTIF($I$6:$I440,$I440),"00"))</f>
        <v/>
      </c>
      <c r="B440" s="11" t="n"/>
      <c r="C440" s="11" t="n"/>
      <c r="D440" s="11" t="n"/>
      <c r="E440" s="10">
        <f>IF($D440="","",IFERROR(INDEX(Objectius!$C$2:$C$183,MATCH($D440,Objectius!$A$2:$A$183,0)),"Objectiu no trobat al Pla"))</f>
        <v/>
      </c>
      <c r="F440" s="11" t="n"/>
      <c r="G440" s="11" t="n"/>
      <c r="H440" s="11" t="n"/>
      <c r="I440" s="10">
        <f>IF($D440="","",IFERROR(INDEX(Objectius!$D$2:$D$183,MATCH($D440,Objectius!$A$2:$A$183,0)),""))</f>
        <v/>
      </c>
      <c r="J440" s="11" t="n"/>
      <c r="K440" s="11" t="n"/>
      <c r="L440" s="11" t="n"/>
      <c r="M440" s="12" t="n"/>
      <c r="N440" s="11" t="n"/>
      <c r="O440" s="10">
        <f>IF($N440="","",IFERROR(INDEX('PLA ESTRATÈGIC'!$G$4:$G$452,MATCH($N440,'PLA ESTRATÈGIC'!$Q$4:$Q$452,0)),""))</f>
        <v/>
      </c>
      <c r="P440" s="10">
        <f>IF($N440="","",IFERROR(INDEX('PLA ESTRATÈGIC'!$H$4:$H$452,MATCH($N440,'PLA ESTRATÈGIC'!$Q$4:$Q$452,0)),""))</f>
        <v/>
      </c>
      <c r="Q440" s="13" t="n"/>
      <c r="R440" s="11" t="n"/>
      <c r="S440" s="11" t="n"/>
      <c r="T440" s="11" t="n"/>
      <c r="U440" s="11" t="n"/>
      <c r="V440" s="10">
        <f>IF(COUNTA($C440,$D440,$J440,$M440)=0,"",IF(TRIM(IF($C440="","Falta l'actuació. ","")&amp;IF($D440="","Falta l'objectiu. ","")&amp;IF($J440="","Falta el tipus de despesa. ","")&amp;IF(AND($J440&lt;&gt;"",$J440&lt;&gt;"Mitjans propis",$J440&lt;&gt;"Altres",$M440=""),"Falta l'import. ","")&amp;IF(AND($J440="Contracte menor a càrrec del RAE",$K440=""),"Falta la partida RAE. ","")&amp;IF(AND($B440&lt;&gt;"",COUNTIF($B$6:$B$705,$B440)&gt;1),"Codi RAE repetit. ","")&amp;IF(AND($B440&lt;&gt;"",$J440&lt;&gt;"",$J440&lt;&gt;"Contracte menor a càrrec del RAE"),"Té codi RAE però no és de tipus RAE. ","")&amp;IF($N440="","Falta l'indicador del Pla. ","")&amp;IF($R440="","Falta el gestor. ","")&amp;IF($S440="","Falta indicar si és recurrent. ",""))="","✔",TRIM(IF($C440="","Falta l'actuació. ","")&amp;IF($D440="","Falta l'objectiu. ","")&amp;IF($J440="","Falta el tipus de despesa. ","")&amp;IF(AND($J440&lt;&gt;"",$J440&lt;&gt;"Mitjans propis",$J440&lt;&gt;"Altres",$M440=""),"Falta l'import. ","")&amp;IF(AND($J440="Contracte menor a càrrec del RAE",$K440=""),"Falta la partida RAE. ","")&amp;IF(AND($B440&lt;&gt;"",COUNTIF($B$6:$B$705,$B440)&gt;1),"Codi RAE repetit. ","")&amp;IF(AND($B440&lt;&gt;"",$J440&lt;&gt;"",$J440&lt;&gt;"Contracte menor a càrrec del RAE"),"Té codi RAE però no és de tipus RAE. ","")&amp;IF($N440="","Falta l'indicador del Pla. ","")&amp;IF($R440="","Falta el gestor. ","")&amp;IF($S440="","Falta indicar si és recurrent. ",""))))</f>
        <v/>
      </c>
    </row>
    <row r="441">
      <c r="A441" s="10">
        <f>IF($D441="","","27_"&amp;IFERROR(INDEX(Objectius!$E$2:$E$183,MATCH($D441,Objectius!$A$2:$A$183,0)),"??")&amp;"_"&amp;TEXT(COUNTIF($I$6:$I441,$I441),"00"))</f>
        <v/>
      </c>
      <c r="B441" s="11" t="n"/>
      <c r="C441" s="11" t="n"/>
      <c r="D441" s="11" t="n"/>
      <c r="E441" s="10">
        <f>IF($D441="","",IFERROR(INDEX(Objectius!$C$2:$C$183,MATCH($D441,Objectius!$A$2:$A$183,0)),"Objectiu no trobat al Pla"))</f>
        <v/>
      </c>
      <c r="F441" s="11" t="n"/>
      <c r="G441" s="11" t="n"/>
      <c r="H441" s="11" t="n"/>
      <c r="I441" s="10">
        <f>IF($D441="","",IFERROR(INDEX(Objectius!$D$2:$D$183,MATCH($D441,Objectius!$A$2:$A$183,0)),""))</f>
        <v/>
      </c>
      <c r="J441" s="11" t="n"/>
      <c r="K441" s="11" t="n"/>
      <c r="L441" s="11" t="n"/>
      <c r="M441" s="12" t="n"/>
      <c r="N441" s="11" t="n"/>
      <c r="O441" s="10">
        <f>IF($N441="","",IFERROR(INDEX('PLA ESTRATÈGIC'!$G$4:$G$452,MATCH($N441,'PLA ESTRATÈGIC'!$Q$4:$Q$452,0)),""))</f>
        <v/>
      </c>
      <c r="P441" s="10">
        <f>IF($N441="","",IFERROR(INDEX('PLA ESTRATÈGIC'!$H$4:$H$452,MATCH($N441,'PLA ESTRATÈGIC'!$Q$4:$Q$452,0)),""))</f>
        <v/>
      </c>
      <c r="Q441" s="13" t="n"/>
      <c r="R441" s="11" t="n"/>
      <c r="S441" s="11" t="n"/>
      <c r="T441" s="11" t="n"/>
      <c r="U441" s="11" t="n"/>
      <c r="V441" s="10">
        <f>IF(COUNTA($C441,$D441,$J441,$M441)=0,"",IF(TRIM(IF($C441="","Falta l'actuació. ","")&amp;IF($D441="","Falta l'objectiu. ","")&amp;IF($J441="","Falta el tipus de despesa. ","")&amp;IF(AND($J441&lt;&gt;"",$J441&lt;&gt;"Mitjans propis",$J441&lt;&gt;"Altres",$M441=""),"Falta l'import. ","")&amp;IF(AND($J441="Contracte menor a càrrec del RAE",$K441=""),"Falta la partida RAE. ","")&amp;IF(AND($B441&lt;&gt;"",COUNTIF($B$6:$B$705,$B441)&gt;1),"Codi RAE repetit. ","")&amp;IF(AND($B441&lt;&gt;"",$J441&lt;&gt;"",$J441&lt;&gt;"Contracte menor a càrrec del RAE"),"Té codi RAE però no és de tipus RAE. ","")&amp;IF($N441="","Falta l'indicador del Pla. ","")&amp;IF($R441="","Falta el gestor. ","")&amp;IF($S441="","Falta indicar si és recurrent. ",""))="","✔",TRIM(IF($C441="","Falta l'actuació. ","")&amp;IF($D441="","Falta l'objectiu. ","")&amp;IF($J441="","Falta el tipus de despesa. ","")&amp;IF(AND($J441&lt;&gt;"",$J441&lt;&gt;"Mitjans propis",$J441&lt;&gt;"Altres",$M441=""),"Falta l'import. ","")&amp;IF(AND($J441="Contracte menor a càrrec del RAE",$K441=""),"Falta la partida RAE. ","")&amp;IF(AND($B441&lt;&gt;"",COUNTIF($B$6:$B$705,$B441)&gt;1),"Codi RAE repetit. ","")&amp;IF(AND($B441&lt;&gt;"",$J441&lt;&gt;"",$J441&lt;&gt;"Contracte menor a càrrec del RAE"),"Té codi RAE però no és de tipus RAE. ","")&amp;IF($N441="","Falta l'indicador del Pla. ","")&amp;IF($R441="","Falta el gestor. ","")&amp;IF($S441="","Falta indicar si és recurrent. ",""))))</f>
        <v/>
      </c>
    </row>
    <row r="442">
      <c r="A442" s="10">
        <f>IF($D442="","","27_"&amp;IFERROR(INDEX(Objectius!$E$2:$E$183,MATCH($D442,Objectius!$A$2:$A$183,0)),"??")&amp;"_"&amp;TEXT(COUNTIF($I$6:$I442,$I442),"00"))</f>
        <v/>
      </c>
      <c r="B442" s="11" t="n"/>
      <c r="C442" s="11" t="n"/>
      <c r="D442" s="11" t="n"/>
      <c r="E442" s="10">
        <f>IF($D442="","",IFERROR(INDEX(Objectius!$C$2:$C$183,MATCH($D442,Objectius!$A$2:$A$183,0)),"Objectiu no trobat al Pla"))</f>
        <v/>
      </c>
      <c r="F442" s="11" t="n"/>
      <c r="G442" s="11" t="n"/>
      <c r="H442" s="11" t="n"/>
      <c r="I442" s="10">
        <f>IF($D442="","",IFERROR(INDEX(Objectius!$D$2:$D$183,MATCH($D442,Objectius!$A$2:$A$183,0)),""))</f>
        <v/>
      </c>
      <c r="J442" s="11" t="n"/>
      <c r="K442" s="11" t="n"/>
      <c r="L442" s="11" t="n"/>
      <c r="M442" s="12" t="n"/>
      <c r="N442" s="11" t="n"/>
      <c r="O442" s="10">
        <f>IF($N442="","",IFERROR(INDEX('PLA ESTRATÈGIC'!$G$4:$G$452,MATCH($N442,'PLA ESTRATÈGIC'!$Q$4:$Q$452,0)),""))</f>
        <v/>
      </c>
      <c r="P442" s="10">
        <f>IF($N442="","",IFERROR(INDEX('PLA ESTRATÈGIC'!$H$4:$H$452,MATCH($N442,'PLA ESTRATÈGIC'!$Q$4:$Q$452,0)),""))</f>
        <v/>
      </c>
      <c r="Q442" s="13" t="n"/>
      <c r="R442" s="11" t="n"/>
      <c r="S442" s="11" t="n"/>
      <c r="T442" s="11" t="n"/>
      <c r="U442" s="11" t="n"/>
      <c r="V442" s="10">
        <f>IF(COUNTA($C442,$D442,$J442,$M442)=0,"",IF(TRIM(IF($C442="","Falta l'actuació. ","")&amp;IF($D442="","Falta l'objectiu. ","")&amp;IF($J442="","Falta el tipus de despesa. ","")&amp;IF(AND($J442&lt;&gt;"",$J442&lt;&gt;"Mitjans propis",$J442&lt;&gt;"Altres",$M442=""),"Falta l'import. ","")&amp;IF(AND($J442="Contracte menor a càrrec del RAE",$K442=""),"Falta la partida RAE. ","")&amp;IF(AND($B442&lt;&gt;"",COUNTIF($B$6:$B$705,$B442)&gt;1),"Codi RAE repetit. ","")&amp;IF(AND($B442&lt;&gt;"",$J442&lt;&gt;"",$J442&lt;&gt;"Contracte menor a càrrec del RAE"),"Té codi RAE però no és de tipus RAE. ","")&amp;IF($N442="","Falta l'indicador del Pla. ","")&amp;IF($R442="","Falta el gestor. ","")&amp;IF($S442="","Falta indicar si és recurrent. ",""))="","✔",TRIM(IF($C442="","Falta l'actuació. ","")&amp;IF($D442="","Falta l'objectiu. ","")&amp;IF($J442="","Falta el tipus de despesa. ","")&amp;IF(AND($J442&lt;&gt;"",$J442&lt;&gt;"Mitjans propis",$J442&lt;&gt;"Altres",$M442=""),"Falta l'import. ","")&amp;IF(AND($J442="Contracte menor a càrrec del RAE",$K442=""),"Falta la partida RAE. ","")&amp;IF(AND($B442&lt;&gt;"",COUNTIF($B$6:$B$705,$B442)&gt;1),"Codi RAE repetit. ","")&amp;IF(AND($B442&lt;&gt;"",$J442&lt;&gt;"",$J442&lt;&gt;"Contracte menor a càrrec del RAE"),"Té codi RAE però no és de tipus RAE. ","")&amp;IF($N442="","Falta l'indicador del Pla. ","")&amp;IF($R442="","Falta el gestor. ","")&amp;IF($S442="","Falta indicar si és recurrent. ",""))))</f>
        <v/>
      </c>
    </row>
    <row r="443">
      <c r="A443" s="10">
        <f>IF($D443="","","27_"&amp;IFERROR(INDEX(Objectius!$E$2:$E$183,MATCH($D443,Objectius!$A$2:$A$183,0)),"??")&amp;"_"&amp;TEXT(COUNTIF($I$6:$I443,$I443),"00"))</f>
        <v/>
      </c>
      <c r="B443" s="11" t="n"/>
      <c r="C443" s="11" t="n"/>
      <c r="D443" s="11" t="n"/>
      <c r="E443" s="10">
        <f>IF($D443="","",IFERROR(INDEX(Objectius!$C$2:$C$183,MATCH($D443,Objectius!$A$2:$A$183,0)),"Objectiu no trobat al Pla"))</f>
        <v/>
      </c>
      <c r="F443" s="11" t="n"/>
      <c r="G443" s="11" t="n"/>
      <c r="H443" s="11" t="n"/>
      <c r="I443" s="10">
        <f>IF($D443="","",IFERROR(INDEX(Objectius!$D$2:$D$183,MATCH($D443,Objectius!$A$2:$A$183,0)),""))</f>
        <v/>
      </c>
      <c r="J443" s="11" t="n"/>
      <c r="K443" s="11" t="n"/>
      <c r="L443" s="11" t="n"/>
      <c r="M443" s="12" t="n"/>
      <c r="N443" s="11" t="n"/>
      <c r="O443" s="10">
        <f>IF($N443="","",IFERROR(INDEX('PLA ESTRATÈGIC'!$G$4:$G$452,MATCH($N443,'PLA ESTRATÈGIC'!$Q$4:$Q$452,0)),""))</f>
        <v/>
      </c>
      <c r="P443" s="10">
        <f>IF($N443="","",IFERROR(INDEX('PLA ESTRATÈGIC'!$H$4:$H$452,MATCH($N443,'PLA ESTRATÈGIC'!$Q$4:$Q$452,0)),""))</f>
        <v/>
      </c>
      <c r="Q443" s="13" t="n"/>
      <c r="R443" s="11" t="n"/>
      <c r="S443" s="11" t="n"/>
      <c r="T443" s="11" t="n"/>
      <c r="U443" s="11" t="n"/>
      <c r="V443" s="10">
        <f>IF(COUNTA($C443,$D443,$J443,$M443)=0,"",IF(TRIM(IF($C443="","Falta l'actuació. ","")&amp;IF($D443="","Falta l'objectiu. ","")&amp;IF($J443="","Falta el tipus de despesa. ","")&amp;IF(AND($J443&lt;&gt;"",$J443&lt;&gt;"Mitjans propis",$J443&lt;&gt;"Altres",$M443=""),"Falta l'import. ","")&amp;IF(AND($J443="Contracte menor a càrrec del RAE",$K443=""),"Falta la partida RAE. ","")&amp;IF(AND($B443&lt;&gt;"",COUNTIF($B$6:$B$705,$B443)&gt;1),"Codi RAE repetit. ","")&amp;IF(AND($B443&lt;&gt;"",$J443&lt;&gt;"",$J443&lt;&gt;"Contracte menor a càrrec del RAE"),"Té codi RAE però no és de tipus RAE. ","")&amp;IF($N443="","Falta l'indicador del Pla. ","")&amp;IF($R443="","Falta el gestor. ","")&amp;IF($S443="","Falta indicar si és recurrent. ",""))="","✔",TRIM(IF($C443="","Falta l'actuació. ","")&amp;IF($D443="","Falta l'objectiu. ","")&amp;IF($J443="","Falta el tipus de despesa. ","")&amp;IF(AND($J443&lt;&gt;"",$J443&lt;&gt;"Mitjans propis",$J443&lt;&gt;"Altres",$M443=""),"Falta l'import. ","")&amp;IF(AND($J443="Contracte menor a càrrec del RAE",$K443=""),"Falta la partida RAE. ","")&amp;IF(AND($B443&lt;&gt;"",COUNTIF($B$6:$B$705,$B443)&gt;1),"Codi RAE repetit. ","")&amp;IF(AND($B443&lt;&gt;"",$J443&lt;&gt;"",$J443&lt;&gt;"Contracte menor a càrrec del RAE"),"Té codi RAE però no és de tipus RAE. ","")&amp;IF($N443="","Falta l'indicador del Pla. ","")&amp;IF($R443="","Falta el gestor. ","")&amp;IF($S443="","Falta indicar si és recurrent. ",""))))</f>
        <v/>
      </c>
    </row>
    <row r="444">
      <c r="A444" s="10">
        <f>IF($D444="","","27_"&amp;IFERROR(INDEX(Objectius!$E$2:$E$183,MATCH($D444,Objectius!$A$2:$A$183,0)),"??")&amp;"_"&amp;TEXT(COUNTIF($I$6:$I444,$I444),"00"))</f>
        <v/>
      </c>
      <c r="B444" s="11" t="n"/>
      <c r="C444" s="11" t="n"/>
      <c r="D444" s="11" t="n"/>
      <c r="E444" s="10">
        <f>IF($D444="","",IFERROR(INDEX(Objectius!$C$2:$C$183,MATCH($D444,Objectius!$A$2:$A$183,0)),"Objectiu no trobat al Pla"))</f>
        <v/>
      </c>
      <c r="F444" s="11" t="n"/>
      <c r="G444" s="11" t="n"/>
      <c r="H444" s="11" t="n"/>
      <c r="I444" s="10">
        <f>IF($D444="","",IFERROR(INDEX(Objectius!$D$2:$D$183,MATCH($D444,Objectius!$A$2:$A$183,0)),""))</f>
        <v/>
      </c>
      <c r="J444" s="11" t="n"/>
      <c r="K444" s="11" t="n"/>
      <c r="L444" s="11" t="n"/>
      <c r="M444" s="12" t="n"/>
      <c r="N444" s="11" t="n"/>
      <c r="O444" s="10">
        <f>IF($N444="","",IFERROR(INDEX('PLA ESTRATÈGIC'!$G$4:$G$452,MATCH($N444,'PLA ESTRATÈGIC'!$Q$4:$Q$452,0)),""))</f>
        <v/>
      </c>
      <c r="P444" s="10">
        <f>IF($N444="","",IFERROR(INDEX('PLA ESTRATÈGIC'!$H$4:$H$452,MATCH($N444,'PLA ESTRATÈGIC'!$Q$4:$Q$452,0)),""))</f>
        <v/>
      </c>
      <c r="Q444" s="13" t="n"/>
      <c r="R444" s="11" t="n"/>
      <c r="S444" s="11" t="n"/>
      <c r="T444" s="11" t="n"/>
      <c r="U444" s="11" t="n"/>
      <c r="V444" s="10">
        <f>IF(COUNTA($C444,$D444,$J444,$M444)=0,"",IF(TRIM(IF($C444="","Falta l'actuació. ","")&amp;IF($D444="","Falta l'objectiu. ","")&amp;IF($J444="","Falta el tipus de despesa. ","")&amp;IF(AND($J444&lt;&gt;"",$J444&lt;&gt;"Mitjans propis",$J444&lt;&gt;"Altres",$M444=""),"Falta l'import. ","")&amp;IF(AND($J444="Contracte menor a càrrec del RAE",$K444=""),"Falta la partida RAE. ","")&amp;IF(AND($B444&lt;&gt;"",COUNTIF($B$6:$B$705,$B444)&gt;1),"Codi RAE repetit. ","")&amp;IF(AND($B444&lt;&gt;"",$J444&lt;&gt;"",$J444&lt;&gt;"Contracte menor a càrrec del RAE"),"Té codi RAE però no és de tipus RAE. ","")&amp;IF($N444="","Falta l'indicador del Pla. ","")&amp;IF($R444="","Falta el gestor. ","")&amp;IF($S444="","Falta indicar si és recurrent. ",""))="","✔",TRIM(IF($C444="","Falta l'actuació. ","")&amp;IF($D444="","Falta l'objectiu. ","")&amp;IF($J444="","Falta el tipus de despesa. ","")&amp;IF(AND($J444&lt;&gt;"",$J444&lt;&gt;"Mitjans propis",$J444&lt;&gt;"Altres",$M444=""),"Falta l'import. ","")&amp;IF(AND($J444="Contracte menor a càrrec del RAE",$K444=""),"Falta la partida RAE. ","")&amp;IF(AND($B444&lt;&gt;"",COUNTIF($B$6:$B$705,$B444)&gt;1),"Codi RAE repetit. ","")&amp;IF(AND($B444&lt;&gt;"",$J444&lt;&gt;"",$J444&lt;&gt;"Contracte menor a càrrec del RAE"),"Té codi RAE però no és de tipus RAE. ","")&amp;IF($N444="","Falta l'indicador del Pla. ","")&amp;IF($R444="","Falta el gestor. ","")&amp;IF($S444="","Falta indicar si és recurrent. ",""))))</f>
        <v/>
      </c>
    </row>
    <row r="445">
      <c r="A445" s="10">
        <f>IF($D445="","","27_"&amp;IFERROR(INDEX(Objectius!$E$2:$E$183,MATCH($D445,Objectius!$A$2:$A$183,0)),"??")&amp;"_"&amp;TEXT(COUNTIF($I$6:$I445,$I445),"00"))</f>
        <v/>
      </c>
      <c r="B445" s="11" t="n"/>
      <c r="C445" s="11" t="n"/>
      <c r="D445" s="11" t="n"/>
      <c r="E445" s="10">
        <f>IF($D445="","",IFERROR(INDEX(Objectius!$C$2:$C$183,MATCH($D445,Objectius!$A$2:$A$183,0)),"Objectiu no trobat al Pla"))</f>
        <v/>
      </c>
      <c r="F445" s="11" t="n"/>
      <c r="G445" s="11" t="n"/>
      <c r="H445" s="11" t="n"/>
      <c r="I445" s="10">
        <f>IF($D445="","",IFERROR(INDEX(Objectius!$D$2:$D$183,MATCH($D445,Objectius!$A$2:$A$183,0)),""))</f>
        <v/>
      </c>
      <c r="J445" s="11" t="n"/>
      <c r="K445" s="11" t="n"/>
      <c r="L445" s="11" t="n"/>
      <c r="M445" s="12" t="n"/>
      <c r="N445" s="11" t="n"/>
      <c r="O445" s="10">
        <f>IF($N445="","",IFERROR(INDEX('PLA ESTRATÈGIC'!$G$4:$G$452,MATCH($N445,'PLA ESTRATÈGIC'!$Q$4:$Q$452,0)),""))</f>
        <v/>
      </c>
      <c r="P445" s="10">
        <f>IF($N445="","",IFERROR(INDEX('PLA ESTRATÈGIC'!$H$4:$H$452,MATCH($N445,'PLA ESTRATÈGIC'!$Q$4:$Q$452,0)),""))</f>
        <v/>
      </c>
      <c r="Q445" s="13" t="n"/>
      <c r="R445" s="11" t="n"/>
      <c r="S445" s="11" t="n"/>
      <c r="T445" s="11" t="n"/>
      <c r="U445" s="11" t="n"/>
      <c r="V445" s="10">
        <f>IF(COUNTA($C445,$D445,$J445,$M445)=0,"",IF(TRIM(IF($C445="","Falta l'actuació. ","")&amp;IF($D445="","Falta l'objectiu. ","")&amp;IF($J445="","Falta el tipus de despesa. ","")&amp;IF(AND($J445&lt;&gt;"",$J445&lt;&gt;"Mitjans propis",$J445&lt;&gt;"Altres",$M445=""),"Falta l'import. ","")&amp;IF(AND($J445="Contracte menor a càrrec del RAE",$K445=""),"Falta la partida RAE. ","")&amp;IF(AND($B445&lt;&gt;"",COUNTIF($B$6:$B$705,$B445)&gt;1),"Codi RAE repetit. ","")&amp;IF(AND($B445&lt;&gt;"",$J445&lt;&gt;"",$J445&lt;&gt;"Contracte menor a càrrec del RAE"),"Té codi RAE però no és de tipus RAE. ","")&amp;IF($N445="","Falta l'indicador del Pla. ","")&amp;IF($R445="","Falta el gestor. ","")&amp;IF($S445="","Falta indicar si és recurrent. ",""))="","✔",TRIM(IF($C445="","Falta l'actuació. ","")&amp;IF($D445="","Falta l'objectiu. ","")&amp;IF($J445="","Falta el tipus de despesa. ","")&amp;IF(AND($J445&lt;&gt;"",$J445&lt;&gt;"Mitjans propis",$J445&lt;&gt;"Altres",$M445=""),"Falta l'import. ","")&amp;IF(AND($J445="Contracte menor a càrrec del RAE",$K445=""),"Falta la partida RAE. ","")&amp;IF(AND($B445&lt;&gt;"",COUNTIF($B$6:$B$705,$B445)&gt;1),"Codi RAE repetit. ","")&amp;IF(AND($B445&lt;&gt;"",$J445&lt;&gt;"",$J445&lt;&gt;"Contracte menor a càrrec del RAE"),"Té codi RAE però no és de tipus RAE. ","")&amp;IF($N445="","Falta l'indicador del Pla. ","")&amp;IF($R445="","Falta el gestor. ","")&amp;IF($S445="","Falta indicar si és recurrent. ",""))))</f>
        <v/>
      </c>
    </row>
    <row r="446">
      <c r="A446" s="10">
        <f>IF($D446="","","27_"&amp;IFERROR(INDEX(Objectius!$E$2:$E$183,MATCH($D446,Objectius!$A$2:$A$183,0)),"??")&amp;"_"&amp;TEXT(COUNTIF($I$6:$I446,$I446),"00"))</f>
        <v/>
      </c>
      <c r="B446" s="11" t="n"/>
      <c r="C446" s="11" t="n"/>
      <c r="D446" s="11" t="n"/>
      <c r="E446" s="10">
        <f>IF($D446="","",IFERROR(INDEX(Objectius!$C$2:$C$183,MATCH($D446,Objectius!$A$2:$A$183,0)),"Objectiu no trobat al Pla"))</f>
        <v/>
      </c>
      <c r="F446" s="11" t="n"/>
      <c r="G446" s="11" t="n"/>
      <c r="H446" s="11" t="n"/>
      <c r="I446" s="10">
        <f>IF($D446="","",IFERROR(INDEX(Objectius!$D$2:$D$183,MATCH($D446,Objectius!$A$2:$A$183,0)),""))</f>
        <v/>
      </c>
      <c r="J446" s="11" t="n"/>
      <c r="K446" s="11" t="n"/>
      <c r="L446" s="11" t="n"/>
      <c r="M446" s="12" t="n"/>
      <c r="N446" s="11" t="n"/>
      <c r="O446" s="10">
        <f>IF($N446="","",IFERROR(INDEX('PLA ESTRATÈGIC'!$G$4:$G$452,MATCH($N446,'PLA ESTRATÈGIC'!$Q$4:$Q$452,0)),""))</f>
        <v/>
      </c>
      <c r="P446" s="10">
        <f>IF($N446="","",IFERROR(INDEX('PLA ESTRATÈGIC'!$H$4:$H$452,MATCH($N446,'PLA ESTRATÈGIC'!$Q$4:$Q$452,0)),""))</f>
        <v/>
      </c>
      <c r="Q446" s="13" t="n"/>
      <c r="R446" s="11" t="n"/>
      <c r="S446" s="11" t="n"/>
      <c r="T446" s="11" t="n"/>
      <c r="U446" s="11" t="n"/>
      <c r="V446" s="10">
        <f>IF(COUNTA($C446,$D446,$J446,$M446)=0,"",IF(TRIM(IF($C446="","Falta l'actuació. ","")&amp;IF($D446="","Falta l'objectiu. ","")&amp;IF($J446="","Falta el tipus de despesa. ","")&amp;IF(AND($J446&lt;&gt;"",$J446&lt;&gt;"Mitjans propis",$J446&lt;&gt;"Altres",$M446=""),"Falta l'import. ","")&amp;IF(AND($J446="Contracte menor a càrrec del RAE",$K446=""),"Falta la partida RAE. ","")&amp;IF(AND($B446&lt;&gt;"",COUNTIF($B$6:$B$705,$B446)&gt;1),"Codi RAE repetit. ","")&amp;IF(AND($B446&lt;&gt;"",$J446&lt;&gt;"",$J446&lt;&gt;"Contracte menor a càrrec del RAE"),"Té codi RAE però no és de tipus RAE. ","")&amp;IF($N446="","Falta l'indicador del Pla. ","")&amp;IF($R446="","Falta el gestor. ","")&amp;IF($S446="","Falta indicar si és recurrent. ",""))="","✔",TRIM(IF($C446="","Falta l'actuació. ","")&amp;IF($D446="","Falta l'objectiu. ","")&amp;IF($J446="","Falta el tipus de despesa. ","")&amp;IF(AND($J446&lt;&gt;"",$J446&lt;&gt;"Mitjans propis",$J446&lt;&gt;"Altres",$M446=""),"Falta l'import. ","")&amp;IF(AND($J446="Contracte menor a càrrec del RAE",$K446=""),"Falta la partida RAE. ","")&amp;IF(AND($B446&lt;&gt;"",COUNTIF($B$6:$B$705,$B446)&gt;1),"Codi RAE repetit. ","")&amp;IF(AND($B446&lt;&gt;"",$J446&lt;&gt;"",$J446&lt;&gt;"Contracte menor a càrrec del RAE"),"Té codi RAE però no és de tipus RAE. ","")&amp;IF($N446="","Falta l'indicador del Pla. ","")&amp;IF($R446="","Falta el gestor. ","")&amp;IF($S446="","Falta indicar si és recurrent. ",""))))</f>
        <v/>
      </c>
    </row>
    <row r="447">
      <c r="A447" s="10">
        <f>IF($D447="","","27_"&amp;IFERROR(INDEX(Objectius!$E$2:$E$183,MATCH($D447,Objectius!$A$2:$A$183,0)),"??")&amp;"_"&amp;TEXT(COUNTIF($I$6:$I447,$I447),"00"))</f>
        <v/>
      </c>
      <c r="B447" s="11" t="n"/>
      <c r="C447" s="11" t="n"/>
      <c r="D447" s="11" t="n"/>
      <c r="E447" s="10">
        <f>IF($D447="","",IFERROR(INDEX(Objectius!$C$2:$C$183,MATCH($D447,Objectius!$A$2:$A$183,0)),"Objectiu no trobat al Pla"))</f>
        <v/>
      </c>
      <c r="F447" s="11" t="n"/>
      <c r="G447" s="11" t="n"/>
      <c r="H447" s="11" t="n"/>
      <c r="I447" s="10">
        <f>IF($D447="","",IFERROR(INDEX(Objectius!$D$2:$D$183,MATCH($D447,Objectius!$A$2:$A$183,0)),""))</f>
        <v/>
      </c>
      <c r="J447" s="11" t="n"/>
      <c r="K447" s="11" t="n"/>
      <c r="L447" s="11" t="n"/>
      <c r="M447" s="12" t="n"/>
      <c r="N447" s="11" t="n"/>
      <c r="O447" s="10">
        <f>IF($N447="","",IFERROR(INDEX('PLA ESTRATÈGIC'!$G$4:$G$452,MATCH($N447,'PLA ESTRATÈGIC'!$Q$4:$Q$452,0)),""))</f>
        <v/>
      </c>
      <c r="P447" s="10">
        <f>IF($N447="","",IFERROR(INDEX('PLA ESTRATÈGIC'!$H$4:$H$452,MATCH($N447,'PLA ESTRATÈGIC'!$Q$4:$Q$452,0)),""))</f>
        <v/>
      </c>
      <c r="Q447" s="13" t="n"/>
      <c r="R447" s="11" t="n"/>
      <c r="S447" s="11" t="n"/>
      <c r="T447" s="11" t="n"/>
      <c r="U447" s="11" t="n"/>
      <c r="V447" s="10">
        <f>IF(COUNTA($C447,$D447,$J447,$M447)=0,"",IF(TRIM(IF($C447="","Falta l'actuació. ","")&amp;IF($D447="","Falta l'objectiu. ","")&amp;IF($J447="","Falta el tipus de despesa. ","")&amp;IF(AND($J447&lt;&gt;"",$J447&lt;&gt;"Mitjans propis",$J447&lt;&gt;"Altres",$M447=""),"Falta l'import. ","")&amp;IF(AND($J447="Contracte menor a càrrec del RAE",$K447=""),"Falta la partida RAE. ","")&amp;IF(AND($B447&lt;&gt;"",COUNTIF($B$6:$B$705,$B447)&gt;1),"Codi RAE repetit. ","")&amp;IF(AND($B447&lt;&gt;"",$J447&lt;&gt;"",$J447&lt;&gt;"Contracte menor a càrrec del RAE"),"Té codi RAE però no és de tipus RAE. ","")&amp;IF($N447="","Falta l'indicador del Pla. ","")&amp;IF($R447="","Falta el gestor. ","")&amp;IF($S447="","Falta indicar si és recurrent. ",""))="","✔",TRIM(IF($C447="","Falta l'actuació. ","")&amp;IF($D447="","Falta l'objectiu. ","")&amp;IF($J447="","Falta el tipus de despesa. ","")&amp;IF(AND($J447&lt;&gt;"",$J447&lt;&gt;"Mitjans propis",$J447&lt;&gt;"Altres",$M447=""),"Falta l'import. ","")&amp;IF(AND($J447="Contracte menor a càrrec del RAE",$K447=""),"Falta la partida RAE. ","")&amp;IF(AND($B447&lt;&gt;"",COUNTIF($B$6:$B$705,$B447)&gt;1),"Codi RAE repetit. ","")&amp;IF(AND($B447&lt;&gt;"",$J447&lt;&gt;"",$J447&lt;&gt;"Contracte menor a càrrec del RAE"),"Té codi RAE però no és de tipus RAE. ","")&amp;IF($N447="","Falta l'indicador del Pla. ","")&amp;IF($R447="","Falta el gestor. ","")&amp;IF($S447="","Falta indicar si és recurrent. ",""))))</f>
        <v/>
      </c>
    </row>
    <row r="448">
      <c r="A448" s="10">
        <f>IF($D448="","","27_"&amp;IFERROR(INDEX(Objectius!$E$2:$E$183,MATCH($D448,Objectius!$A$2:$A$183,0)),"??")&amp;"_"&amp;TEXT(COUNTIF($I$6:$I448,$I448),"00"))</f>
        <v/>
      </c>
      <c r="B448" s="11" t="n"/>
      <c r="C448" s="11" t="n"/>
      <c r="D448" s="11" t="n"/>
      <c r="E448" s="10">
        <f>IF($D448="","",IFERROR(INDEX(Objectius!$C$2:$C$183,MATCH($D448,Objectius!$A$2:$A$183,0)),"Objectiu no trobat al Pla"))</f>
        <v/>
      </c>
      <c r="F448" s="11" t="n"/>
      <c r="G448" s="11" t="n"/>
      <c r="H448" s="11" t="n"/>
      <c r="I448" s="10">
        <f>IF($D448="","",IFERROR(INDEX(Objectius!$D$2:$D$183,MATCH($D448,Objectius!$A$2:$A$183,0)),""))</f>
        <v/>
      </c>
      <c r="J448" s="11" t="n"/>
      <c r="K448" s="11" t="n"/>
      <c r="L448" s="11" t="n"/>
      <c r="M448" s="12" t="n"/>
      <c r="N448" s="11" t="n"/>
      <c r="O448" s="10">
        <f>IF($N448="","",IFERROR(INDEX('PLA ESTRATÈGIC'!$G$4:$G$452,MATCH($N448,'PLA ESTRATÈGIC'!$Q$4:$Q$452,0)),""))</f>
        <v/>
      </c>
      <c r="P448" s="10">
        <f>IF($N448="","",IFERROR(INDEX('PLA ESTRATÈGIC'!$H$4:$H$452,MATCH($N448,'PLA ESTRATÈGIC'!$Q$4:$Q$452,0)),""))</f>
        <v/>
      </c>
      <c r="Q448" s="13" t="n"/>
      <c r="R448" s="11" t="n"/>
      <c r="S448" s="11" t="n"/>
      <c r="T448" s="11" t="n"/>
      <c r="U448" s="11" t="n"/>
      <c r="V448" s="10">
        <f>IF(COUNTA($C448,$D448,$J448,$M448)=0,"",IF(TRIM(IF($C448="","Falta l'actuació. ","")&amp;IF($D448="","Falta l'objectiu. ","")&amp;IF($J448="","Falta el tipus de despesa. ","")&amp;IF(AND($J448&lt;&gt;"",$J448&lt;&gt;"Mitjans propis",$J448&lt;&gt;"Altres",$M448=""),"Falta l'import. ","")&amp;IF(AND($J448="Contracte menor a càrrec del RAE",$K448=""),"Falta la partida RAE. ","")&amp;IF(AND($B448&lt;&gt;"",COUNTIF($B$6:$B$705,$B448)&gt;1),"Codi RAE repetit. ","")&amp;IF(AND($B448&lt;&gt;"",$J448&lt;&gt;"",$J448&lt;&gt;"Contracte menor a càrrec del RAE"),"Té codi RAE però no és de tipus RAE. ","")&amp;IF($N448="","Falta l'indicador del Pla. ","")&amp;IF($R448="","Falta el gestor. ","")&amp;IF($S448="","Falta indicar si és recurrent. ",""))="","✔",TRIM(IF($C448="","Falta l'actuació. ","")&amp;IF($D448="","Falta l'objectiu. ","")&amp;IF($J448="","Falta el tipus de despesa. ","")&amp;IF(AND($J448&lt;&gt;"",$J448&lt;&gt;"Mitjans propis",$J448&lt;&gt;"Altres",$M448=""),"Falta l'import. ","")&amp;IF(AND($J448="Contracte menor a càrrec del RAE",$K448=""),"Falta la partida RAE. ","")&amp;IF(AND($B448&lt;&gt;"",COUNTIF($B$6:$B$705,$B448)&gt;1),"Codi RAE repetit. ","")&amp;IF(AND($B448&lt;&gt;"",$J448&lt;&gt;"",$J448&lt;&gt;"Contracte menor a càrrec del RAE"),"Té codi RAE però no és de tipus RAE. ","")&amp;IF($N448="","Falta l'indicador del Pla. ","")&amp;IF($R448="","Falta el gestor. ","")&amp;IF($S448="","Falta indicar si és recurrent. ",""))))</f>
        <v/>
      </c>
    </row>
    <row r="449">
      <c r="A449" s="10">
        <f>IF($D449="","","27_"&amp;IFERROR(INDEX(Objectius!$E$2:$E$183,MATCH($D449,Objectius!$A$2:$A$183,0)),"??")&amp;"_"&amp;TEXT(COUNTIF($I$6:$I449,$I449),"00"))</f>
        <v/>
      </c>
      <c r="B449" s="11" t="n"/>
      <c r="C449" s="11" t="n"/>
      <c r="D449" s="11" t="n"/>
      <c r="E449" s="10">
        <f>IF($D449="","",IFERROR(INDEX(Objectius!$C$2:$C$183,MATCH($D449,Objectius!$A$2:$A$183,0)),"Objectiu no trobat al Pla"))</f>
        <v/>
      </c>
      <c r="F449" s="11" t="n"/>
      <c r="G449" s="11" t="n"/>
      <c r="H449" s="11" t="n"/>
      <c r="I449" s="10">
        <f>IF($D449="","",IFERROR(INDEX(Objectius!$D$2:$D$183,MATCH($D449,Objectius!$A$2:$A$183,0)),""))</f>
        <v/>
      </c>
      <c r="J449" s="11" t="n"/>
      <c r="K449" s="11" t="n"/>
      <c r="L449" s="11" t="n"/>
      <c r="M449" s="12" t="n"/>
      <c r="N449" s="11" t="n"/>
      <c r="O449" s="10">
        <f>IF($N449="","",IFERROR(INDEX('PLA ESTRATÈGIC'!$G$4:$G$452,MATCH($N449,'PLA ESTRATÈGIC'!$Q$4:$Q$452,0)),""))</f>
        <v/>
      </c>
      <c r="P449" s="10">
        <f>IF($N449="","",IFERROR(INDEX('PLA ESTRATÈGIC'!$H$4:$H$452,MATCH($N449,'PLA ESTRATÈGIC'!$Q$4:$Q$452,0)),""))</f>
        <v/>
      </c>
      <c r="Q449" s="13" t="n"/>
      <c r="R449" s="11" t="n"/>
      <c r="S449" s="11" t="n"/>
      <c r="T449" s="11" t="n"/>
      <c r="U449" s="11" t="n"/>
      <c r="V449" s="10">
        <f>IF(COUNTA($C449,$D449,$J449,$M449)=0,"",IF(TRIM(IF($C449="","Falta l'actuació. ","")&amp;IF($D449="","Falta l'objectiu. ","")&amp;IF($J449="","Falta el tipus de despesa. ","")&amp;IF(AND($J449&lt;&gt;"",$J449&lt;&gt;"Mitjans propis",$J449&lt;&gt;"Altres",$M449=""),"Falta l'import. ","")&amp;IF(AND($J449="Contracte menor a càrrec del RAE",$K449=""),"Falta la partida RAE. ","")&amp;IF(AND($B449&lt;&gt;"",COUNTIF($B$6:$B$705,$B449)&gt;1),"Codi RAE repetit. ","")&amp;IF(AND($B449&lt;&gt;"",$J449&lt;&gt;"",$J449&lt;&gt;"Contracte menor a càrrec del RAE"),"Té codi RAE però no és de tipus RAE. ","")&amp;IF($N449="","Falta l'indicador del Pla. ","")&amp;IF($R449="","Falta el gestor. ","")&amp;IF($S449="","Falta indicar si és recurrent. ",""))="","✔",TRIM(IF($C449="","Falta l'actuació. ","")&amp;IF($D449="","Falta l'objectiu. ","")&amp;IF($J449="","Falta el tipus de despesa. ","")&amp;IF(AND($J449&lt;&gt;"",$J449&lt;&gt;"Mitjans propis",$J449&lt;&gt;"Altres",$M449=""),"Falta l'import. ","")&amp;IF(AND($J449="Contracte menor a càrrec del RAE",$K449=""),"Falta la partida RAE. ","")&amp;IF(AND($B449&lt;&gt;"",COUNTIF($B$6:$B$705,$B449)&gt;1),"Codi RAE repetit. ","")&amp;IF(AND($B449&lt;&gt;"",$J449&lt;&gt;"",$J449&lt;&gt;"Contracte menor a càrrec del RAE"),"Té codi RAE però no és de tipus RAE. ","")&amp;IF($N449="","Falta l'indicador del Pla. ","")&amp;IF($R449="","Falta el gestor. ","")&amp;IF($S449="","Falta indicar si és recurrent. ",""))))</f>
        <v/>
      </c>
    </row>
    <row r="450">
      <c r="A450" s="10">
        <f>IF($D450="","","27_"&amp;IFERROR(INDEX(Objectius!$E$2:$E$183,MATCH($D450,Objectius!$A$2:$A$183,0)),"??")&amp;"_"&amp;TEXT(COUNTIF($I$6:$I450,$I450),"00"))</f>
        <v/>
      </c>
      <c r="B450" s="11" t="n"/>
      <c r="C450" s="11" t="n"/>
      <c r="D450" s="11" t="n"/>
      <c r="E450" s="10">
        <f>IF($D450="","",IFERROR(INDEX(Objectius!$C$2:$C$183,MATCH($D450,Objectius!$A$2:$A$183,0)),"Objectiu no trobat al Pla"))</f>
        <v/>
      </c>
      <c r="F450" s="11" t="n"/>
      <c r="G450" s="11" t="n"/>
      <c r="H450" s="11" t="n"/>
      <c r="I450" s="10">
        <f>IF($D450="","",IFERROR(INDEX(Objectius!$D$2:$D$183,MATCH($D450,Objectius!$A$2:$A$183,0)),""))</f>
        <v/>
      </c>
      <c r="J450" s="11" t="n"/>
      <c r="K450" s="11" t="n"/>
      <c r="L450" s="11" t="n"/>
      <c r="M450" s="12" t="n"/>
      <c r="N450" s="11" t="n"/>
      <c r="O450" s="10">
        <f>IF($N450="","",IFERROR(INDEX('PLA ESTRATÈGIC'!$G$4:$G$452,MATCH($N450,'PLA ESTRATÈGIC'!$Q$4:$Q$452,0)),""))</f>
        <v/>
      </c>
      <c r="P450" s="10">
        <f>IF($N450="","",IFERROR(INDEX('PLA ESTRATÈGIC'!$H$4:$H$452,MATCH($N450,'PLA ESTRATÈGIC'!$Q$4:$Q$452,0)),""))</f>
        <v/>
      </c>
      <c r="Q450" s="13" t="n"/>
      <c r="R450" s="11" t="n"/>
      <c r="S450" s="11" t="n"/>
      <c r="T450" s="11" t="n"/>
      <c r="U450" s="11" t="n"/>
      <c r="V450" s="10">
        <f>IF(COUNTA($C450,$D450,$J450,$M450)=0,"",IF(TRIM(IF($C450="","Falta l'actuació. ","")&amp;IF($D450="","Falta l'objectiu. ","")&amp;IF($J450="","Falta el tipus de despesa. ","")&amp;IF(AND($J450&lt;&gt;"",$J450&lt;&gt;"Mitjans propis",$J450&lt;&gt;"Altres",$M450=""),"Falta l'import. ","")&amp;IF(AND($J450="Contracte menor a càrrec del RAE",$K450=""),"Falta la partida RAE. ","")&amp;IF(AND($B450&lt;&gt;"",COUNTIF($B$6:$B$705,$B450)&gt;1),"Codi RAE repetit. ","")&amp;IF(AND($B450&lt;&gt;"",$J450&lt;&gt;"",$J450&lt;&gt;"Contracte menor a càrrec del RAE"),"Té codi RAE però no és de tipus RAE. ","")&amp;IF($N450="","Falta l'indicador del Pla. ","")&amp;IF($R450="","Falta el gestor. ","")&amp;IF($S450="","Falta indicar si és recurrent. ",""))="","✔",TRIM(IF($C450="","Falta l'actuació. ","")&amp;IF($D450="","Falta l'objectiu. ","")&amp;IF($J450="","Falta el tipus de despesa. ","")&amp;IF(AND($J450&lt;&gt;"",$J450&lt;&gt;"Mitjans propis",$J450&lt;&gt;"Altres",$M450=""),"Falta l'import. ","")&amp;IF(AND($J450="Contracte menor a càrrec del RAE",$K450=""),"Falta la partida RAE. ","")&amp;IF(AND($B450&lt;&gt;"",COUNTIF($B$6:$B$705,$B450)&gt;1),"Codi RAE repetit. ","")&amp;IF(AND($B450&lt;&gt;"",$J450&lt;&gt;"",$J450&lt;&gt;"Contracte menor a càrrec del RAE"),"Té codi RAE però no és de tipus RAE. ","")&amp;IF($N450="","Falta l'indicador del Pla. ","")&amp;IF($R450="","Falta el gestor. ","")&amp;IF($S450="","Falta indicar si és recurrent. ",""))))</f>
        <v/>
      </c>
    </row>
    <row r="451">
      <c r="A451" s="10">
        <f>IF($D451="","","27_"&amp;IFERROR(INDEX(Objectius!$E$2:$E$183,MATCH($D451,Objectius!$A$2:$A$183,0)),"??")&amp;"_"&amp;TEXT(COUNTIF($I$6:$I451,$I451),"00"))</f>
        <v/>
      </c>
      <c r="B451" s="11" t="n"/>
      <c r="C451" s="11" t="n"/>
      <c r="D451" s="11" t="n"/>
      <c r="E451" s="10">
        <f>IF($D451="","",IFERROR(INDEX(Objectius!$C$2:$C$183,MATCH($D451,Objectius!$A$2:$A$183,0)),"Objectiu no trobat al Pla"))</f>
        <v/>
      </c>
      <c r="F451" s="11" t="n"/>
      <c r="G451" s="11" t="n"/>
      <c r="H451" s="11" t="n"/>
      <c r="I451" s="10">
        <f>IF($D451="","",IFERROR(INDEX(Objectius!$D$2:$D$183,MATCH($D451,Objectius!$A$2:$A$183,0)),""))</f>
        <v/>
      </c>
      <c r="J451" s="11" t="n"/>
      <c r="K451" s="11" t="n"/>
      <c r="L451" s="11" t="n"/>
      <c r="M451" s="12" t="n"/>
      <c r="N451" s="11" t="n"/>
      <c r="O451" s="10">
        <f>IF($N451="","",IFERROR(INDEX('PLA ESTRATÈGIC'!$G$4:$G$452,MATCH($N451,'PLA ESTRATÈGIC'!$Q$4:$Q$452,0)),""))</f>
        <v/>
      </c>
      <c r="P451" s="10">
        <f>IF($N451="","",IFERROR(INDEX('PLA ESTRATÈGIC'!$H$4:$H$452,MATCH($N451,'PLA ESTRATÈGIC'!$Q$4:$Q$452,0)),""))</f>
        <v/>
      </c>
      <c r="Q451" s="13" t="n"/>
      <c r="R451" s="11" t="n"/>
      <c r="S451" s="11" t="n"/>
      <c r="T451" s="11" t="n"/>
      <c r="U451" s="11" t="n"/>
      <c r="V451" s="10">
        <f>IF(COUNTA($C451,$D451,$J451,$M451)=0,"",IF(TRIM(IF($C451="","Falta l'actuació. ","")&amp;IF($D451="","Falta l'objectiu. ","")&amp;IF($J451="","Falta el tipus de despesa. ","")&amp;IF(AND($J451&lt;&gt;"",$J451&lt;&gt;"Mitjans propis",$J451&lt;&gt;"Altres",$M451=""),"Falta l'import. ","")&amp;IF(AND($J451="Contracte menor a càrrec del RAE",$K451=""),"Falta la partida RAE. ","")&amp;IF(AND($B451&lt;&gt;"",COUNTIF($B$6:$B$705,$B451)&gt;1),"Codi RAE repetit. ","")&amp;IF(AND($B451&lt;&gt;"",$J451&lt;&gt;"",$J451&lt;&gt;"Contracte menor a càrrec del RAE"),"Té codi RAE però no és de tipus RAE. ","")&amp;IF($N451="","Falta l'indicador del Pla. ","")&amp;IF($R451="","Falta el gestor. ","")&amp;IF($S451="","Falta indicar si és recurrent. ",""))="","✔",TRIM(IF($C451="","Falta l'actuació. ","")&amp;IF($D451="","Falta l'objectiu. ","")&amp;IF($J451="","Falta el tipus de despesa. ","")&amp;IF(AND($J451&lt;&gt;"",$J451&lt;&gt;"Mitjans propis",$J451&lt;&gt;"Altres",$M451=""),"Falta l'import. ","")&amp;IF(AND($J451="Contracte menor a càrrec del RAE",$K451=""),"Falta la partida RAE. ","")&amp;IF(AND($B451&lt;&gt;"",COUNTIF($B$6:$B$705,$B451)&gt;1),"Codi RAE repetit. ","")&amp;IF(AND($B451&lt;&gt;"",$J451&lt;&gt;"",$J451&lt;&gt;"Contracte menor a càrrec del RAE"),"Té codi RAE però no és de tipus RAE. ","")&amp;IF($N451="","Falta l'indicador del Pla. ","")&amp;IF($R451="","Falta el gestor. ","")&amp;IF($S451="","Falta indicar si és recurrent. ",""))))</f>
        <v/>
      </c>
    </row>
    <row r="452">
      <c r="A452" s="10">
        <f>IF($D452="","","27_"&amp;IFERROR(INDEX(Objectius!$E$2:$E$183,MATCH($D452,Objectius!$A$2:$A$183,0)),"??")&amp;"_"&amp;TEXT(COUNTIF($I$6:$I452,$I452),"00"))</f>
        <v/>
      </c>
      <c r="B452" s="11" t="n"/>
      <c r="C452" s="11" t="n"/>
      <c r="D452" s="11" t="n"/>
      <c r="E452" s="10">
        <f>IF($D452="","",IFERROR(INDEX(Objectius!$C$2:$C$183,MATCH($D452,Objectius!$A$2:$A$183,0)),"Objectiu no trobat al Pla"))</f>
        <v/>
      </c>
      <c r="F452" s="11" t="n"/>
      <c r="G452" s="11" t="n"/>
      <c r="H452" s="11" t="n"/>
      <c r="I452" s="10">
        <f>IF($D452="","",IFERROR(INDEX(Objectius!$D$2:$D$183,MATCH($D452,Objectius!$A$2:$A$183,0)),""))</f>
        <v/>
      </c>
      <c r="J452" s="11" t="n"/>
      <c r="K452" s="11" t="n"/>
      <c r="L452" s="11" t="n"/>
      <c r="M452" s="12" t="n"/>
      <c r="N452" s="11" t="n"/>
      <c r="O452" s="10">
        <f>IF($N452="","",IFERROR(INDEX('PLA ESTRATÈGIC'!$G$4:$G$452,MATCH($N452,'PLA ESTRATÈGIC'!$Q$4:$Q$452,0)),""))</f>
        <v/>
      </c>
      <c r="P452" s="10">
        <f>IF($N452="","",IFERROR(INDEX('PLA ESTRATÈGIC'!$H$4:$H$452,MATCH($N452,'PLA ESTRATÈGIC'!$Q$4:$Q$452,0)),""))</f>
        <v/>
      </c>
      <c r="Q452" s="13" t="n"/>
      <c r="R452" s="11" t="n"/>
      <c r="S452" s="11" t="n"/>
      <c r="T452" s="11" t="n"/>
      <c r="U452" s="11" t="n"/>
      <c r="V452" s="10">
        <f>IF(COUNTA($C452,$D452,$J452,$M452)=0,"",IF(TRIM(IF($C452="","Falta l'actuació. ","")&amp;IF($D452="","Falta l'objectiu. ","")&amp;IF($J452="","Falta el tipus de despesa. ","")&amp;IF(AND($J452&lt;&gt;"",$J452&lt;&gt;"Mitjans propis",$J452&lt;&gt;"Altres",$M452=""),"Falta l'import. ","")&amp;IF(AND($J452="Contracte menor a càrrec del RAE",$K452=""),"Falta la partida RAE. ","")&amp;IF(AND($B452&lt;&gt;"",COUNTIF($B$6:$B$705,$B452)&gt;1),"Codi RAE repetit. ","")&amp;IF(AND($B452&lt;&gt;"",$J452&lt;&gt;"",$J452&lt;&gt;"Contracte menor a càrrec del RAE"),"Té codi RAE però no és de tipus RAE. ","")&amp;IF($N452="","Falta l'indicador del Pla. ","")&amp;IF($R452="","Falta el gestor. ","")&amp;IF($S452="","Falta indicar si és recurrent. ",""))="","✔",TRIM(IF($C452="","Falta l'actuació. ","")&amp;IF($D452="","Falta l'objectiu. ","")&amp;IF($J452="","Falta el tipus de despesa. ","")&amp;IF(AND($J452&lt;&gt;"",$J452&lt;&gt;"Mitjans propis",$J452&lt;&gt;"Altres",$M452=""),"Falta l'import. ","")&amp;IF(AND($J452="Contracte menor a càrrec del RAE",$K452=""),"Falta la partida RAE. ","")&amp;IF(AND($B452&lt;&gt;"",COUNTIF($B$6:$B$705,$B452)&gt;1),"Codi RAE repetit. ","")&amp;IF(AND($B452&lt;&gt;"",$J452&lt;&gt;"",$J452&lt;&gt;"Contracte menor a càrrec del RAE"),"Té codi RAE però no és de tipus RAE. ","")&amp;IF($N452="","Falta l'indicador del Pla. ","")&amp;IF($R452="","Falta el gestor. ","")&amp;IF($S452="","Falta indicar si és recurrent. ",""))))</f>
        <v/>
      </c>
    </row>
    <row r="453">
      <c r="A453" s="10">
        <f>IF($D453="","","27_"&amp;IFERROR(INDEX(Objectius!$E$2:$E$183,MATCH($D453,Objectius!$A$2:$A$183,0)),"??")&amp;"_"&amp;TEXT(COUNTIF($I$6:$I453,$I453),"00"))</f>
        <v/>
      </c>
      <c r="B453" s="11" t="n"/>
      <c r="C453" s="11" t="n"/>
      <c r="D453" s="11" t="n"/>
      <c r="E453" s="10">
        <f>IF($D453="","",IFERROR(INDEX(Objectius!$C$2:$C$183,MATCH($D453,Objectius!$A$2:$A$183,0)),"Objectiu no trobat al Pla"))</f>
        <v/>
      </c>
      <c r="F453" s="11" t="n"/>
      <c r="G453" s="11" t="n"/>
      <c r="H453" s="11" t="n"/>
      <c r="I453" s="10">
        <f>IF($D453="","",IFERROR(INDEX(Objectius!$D$2:$D$183,MATCH($D453,Objectius!$A$2:$A$183,0)),""))</f>
        <v/>
      </c>
      <c r="J453" s="11" t="n"/>
      <c r="K453" s="11" t="n"/>
      <c r="L453" s="11" t="n"/>
      <c r="M453" s="12" t="n"/>
      <c r="N453" s="11" t="n"/>
      <c r="O453" s="10">
        <f>IF($N453="","",IFERROR(INDEX('PLA ESTRATÈGIC'!$G$4:$G$452,MATCH($N453,'PLA ESTRATÈGIC'!$Q$4:$Q$452,0)),""))</f>
        <v/>
      </c>
      <c r="P453" s="10">
        <f>IF($N453="","",IFERROR(INDEX('PLA ESTRATÈGIC'!$H$4:$H$452,MATCH($N453,'PLA ESTRATÈGIC'!$Q$4:$Q$452,0)),""))</f>
        <v/>
      </c>
      <c r="Q453" s="13" t="n"/>
      <c r="R453" s="11" t="n"/>
      <c r="S453" s="11" t="n"/>
      <c r="T453" s="11" t="n"/>
      <c r="U453" s="11" t="n"/>
      <c r="V453" s="10">
        <f>IF(COUNTA($C453,$D453,$J453,$M453)=0,"",IF(TRIM(IF($C453="","Falta l'actuació. ","")&amp;IF($D453="","Falta l'objectiu. ","")&amp;IF($J453="","Falta el tipus de despesa. ","")&amp;IF(AND($J453&lt;&gt;"",$J453&lt;&gt;"Mitjans propis",$J453&lt;&gt;"Altres",$M453=""),"Falta l'import. ","")&amp;IF(AND($J453="Contracte menor a càrrec del RAE",$K453=""),"Falta la partida RAE. ","")&amp;IF(AND($B453&lt;&gt;"",COUNTIF($B$6:$B$705,$B453)&gt;1),"Codi RAE repetit. ","")&amp;IF(AND($B453&lt;&gt;"",$J453&lt;&gt;"",$J453&lt;&gt;"Contracte menor a càrrec del RAE"),"Té codi RAE però no és de tipus RAE. ","")&amp;IF($N453="","Falta l'indicador del Pla. ","")&amp;IF($R453="","Falta el gestor. ","")&amp;IF($S453="","Falta indicar si és recurrent. ",""))="","✔",TRIM(IF($C453="","Falta l'actuació. ","")&amp;IF($D453="","Falta l'objectiu. ","")&amp;IF($J453="","Falta el tipus de despesa. ","")&amp;IF(AND($J453&lt;&gt;"",$J453&lt;&gt;"Mitjans propis",$J453&lt;&gt;"Altres",$M453=""),"Falta l'import. ","")&amp;IF(AND($J453="Contracte menor a càrrec del RAE",$K453=""),"Falta la partida RAE. ","")&amp;IF(AND($B453&lt;&gt;"",COUNTIF($B$6:$B$705,$B453)&gt;1),"Codi RAE repetit. ","")&amp;IF(AND($B453&lt;&gt;"",$J453&lt;&gt;"",$J453&lt;&gt;"Contracte menor a càrrec del RAE"),"Té codi RAE però no és de tipus RAE. ","")&amp;IF($N453="","Falta l'indicador del Pla. ","")&amp;IF($R453="","Falta el gestor. ","")&amp;IF($S453="","Falta indicar si és recurrent. ",""))))</f>
        <v/>
      </c>
    </row>
    <row r="454">
      <c r="A454" s="10">
        <f>IF($D454="","","27_"&amp;IFERROR(INDEX(Objectius!$E$2:$E$183,MATCH($D454,Objectius!$A$2:$A$183,0)),"??")&amp;"_"&amp;TEXT(COUNTIF($I$6:$I454,$I454),"00"))</f>
        <v/>
      </c>
      <c r="B454" s="11" t="n"/>
      <c r="C454" s="11" t="n"/>
      <c r="D454" s="11" t="n"/>
      <c r="E454" s="10">
        <f>IF($D454="","",IFERROR(INDEX(Objectius!$C$2:$C$183,MATCH($D454,Objectius!$A$2:$A$183,0)),"Objectiu no trobat al Pla"))</f>
        <v/>
      </c>
      <c r="F454" s="11" t="n"/>
      <c r="G454" s="11" t="n"/>
      <c r="H454" s="11" t="n"/>
      <c r="I454" s="10">
        <f>IF($D454="","",IFERROR(INDEX(Objectius!$D$2:$D$183,MATCH($D454,Objectius!$A$2:$A$183,0)),""))</f>
        <v/>
      </c>
      <c r="J454" s="11" t="n"/>
      <c r="K454" s="11" t="n"/>
      <c r="L454" s="11" t="n"/>
      <c r="M454" s="12" t="n"/>
      <c r="N454" s="11" t="n"/>
      <c r="O454" s="10">
        <f>IF($N454="","",IFERROR(INDEX('PLA ESTRATÈGIC'!$G$4:$G$452,MATCH($N454,'PLA ESTRATÈGIC'!$Q$4:$Q$452,0)),""))</f>
        <v/>
      </c>
      <c r="P454" s="10">
        <f>IF($N454="","",IFERROR(INDEX('PLA ESTRATÈGIC'!$H$4:$H$452,MATCH($N454,'PLA ESTRATÈGIC'!$Q$4:$Q$452,0)),""))</f>
        <v/>
      </c>
      <c r="Q454" s="13" t="n"/>
      <c r="R454" s="11" t="n"/>
      <c r="S454" s="11" t="n"/>
      <c r="T454" s="11" t="n"/>
      <c r="U454" s="11" t="n"/>
      <c r="V454" s="10">
        <f>IF(COUNTA($C454,$D454,$J454,$M454)=0,"",IF(TRIM(IF($C454="","Falta l'actuació. ","")&amp;IF($D454="","Falta l'objectiu. ","")&amp;IF($J454="","Falta el tipus de despesa. ","")&amp;IF(AND($J454&lt;&gt;"",$J454&lt;&gt;"Mitjans propis",$J454&lt;&gt;"Altres",$M454=""),"Falta l'import. ","")&amp;IF(AND($J454="Contracte menor a càrrec del RAE",$K454=""),"Falta la partida RAE. ","")&amp;IF(AND($B454&lt;&gt;"",COUNTIF($B$6:$B$705,$B454)&gt;1),"Codi RAE repetit. ","")&amp;IF(AND($B454&lt;&gt;"",$J454&lt;&gt;"",$J454&lt;&gt;"Contracte menor a càrrec del RAE"),"Té codi RAE però no és de tipus RAE. ","")&amp;IF($N454="","Falta l'indicador del Pla. ","")&amp;IF($R454="","Falta el gestor. ","")&amp;IF($S454="","Falta indicar si és recurrent. ",""))="","✔",TRIM(IF($C454="","Falta l'actuació. ","")&amp;IF($D454="","Falta l'objectiu. ","")&amp;IF($J454="","Falta el tipus de despesa. ","")&amp;IF(AND($J454&lt;&gt;"",$J454&lt;&gt;"Mitjans propis",$J454&lt;&gt;"Altres",$M454=""),"Falta l'import. ","")&amp;IF(AND($J454="Contracte menor a càrrec del RAE",$K454=""),"Falta la partida RAE. ","")&amp;IF(AND($B454&lt;&gt;"",COUNTIF($B$6:$B$705,$B454)&gt;1),"Codi RAE repetit. ","")&amp;IF(AND($B454&lt;&gt;"",$J454&lt;&gt;"",$J454&lt;&gt;"Contracte menor a càrrec del RAE"),"Té codi RAE però no és de tipus RAE. ","")&amp;IF($N454="","Falta l'indicador del Pla. ","")&amp;IF($R454="","Falta el gestor. ","")&amp;IF($S454="","Falta indicar si és recurrent. ",""))))</f>
        <v/>
      </c>
    </row>
    <row r="455">
      <c r="A455" s="10">
        <f>IF($D455="","","27_"&amp;IFERROR(INDEX(Objectius!$E$2:$E$183,MATCH($D455,Objectius!$A$2:$A$183,0)),"??")&amp;"_"&amp;TEXT(COUNTIF($I$6:$I455,$I455),"00"))</f>
        <v/>
      </c>
      <c r="B455" s="11" t="n"/>
      <c r="C455" s="11" t="n"/>
      <c r="D455" s="11" t="n"/>
      <c r="E455" s="10">
        <f>IF($D455="","",IFERROR(INDEX(Objectius!$C$2:$C$183,MATCH($D455,Objectius!$A$2:$A$183,0)),"Objectiu no trobat al Pla"))</f>
        <v/>
      </c>
      <c r="F455" s="11" t="n"/>
      <c r="G455" s="11" t="n"/>
      <c r="H455" s="11" t="n"/>
      <c r="I455" s="10">
        <f>IF($D455="","",IFERROR(INDEX(Objectius!$D$2:$D$183,MATCH($D455,Objectius!$A$2:$A$183,0)),""))</f>
        <v/>
      </c>
      <c r="J455" s="11" t="n"/>
      <c r="K455" s="11" t="n"/>
      <c r="L455" s="11" t="n"/>
      <c r="M455" s="12" t="n"/>
      <c r="N455" s="11" t="n"/>
      <c r="O455" s="10">
        <f>IF($N455="","",IFERROR(INDEX('PLA ESTRATÈGIC'!$G$4:$G$452,MATCH($N455,'PLA ESTRATÈGIC'!$Q$4:$Q$452,0)),""))</f>
        <v/>
      </c>
      <c r="P455" s="10">
        <f>IF($N455="","",IFERROR(INDEX('PLA ESTRATÈGIC'!$H$4:$H$452,MATCH($N455,'PLA ESTRATÈGIC'!$Q$4:$Q$452,0)),""))</f>
        <v/>
      </c>
      <c r="Q455" s="13" t="n"/>
      <c r="R455" s="11" t="n"/>
      <c r="S455" s="11" t="n"/>
      <c r="T455" s="11" t="n"/>
      <c r="U455" s="11" t="n"/>
      <c r="V455" s="10">
        <f>IF(COUNTA($C455,$D455,$J455,$M455)=0,"",IF(TRIM(IF($C455="","Falta l'actuació. ","")&amp;IF($D455="","Falta l'objectiu. ","")&amp;IF($J455="","Falta el tipus de despesa. ","")&amp;IF(AND($J455&lt;&gt;"",$J455&lt;&gt;"Mitjans propis",$J455&lt;&gt;"Altres",$M455=""),"Falta l'import. ","")&amp;IF(AND($J455="Contracte menor a càrrec del RAE",$K455=""),"Falta la partida RAE. ","")&amp;IF(AND($B455&lt;&gt;"",COUNTIF($B$6:$B$705,$B455)&gt;1),"Codi RAE repetit. ","")&amp;IF(AND($B455&lt;&gt;"",$J455&lt;&gt;"",$J455&lt;&gt;"Contracte menor a càrrec del RAE"),"Té codi RAE però no és de tipus RAE. ","")&amp;IF($N455="","Falta l'indicador del Pla. ","")&amp;IF($R455="","Falta el gestor. ","")&amp;IF($S455="","Falta indicar si és recurrent. ",""))="","✔",TRIM(IF($C455="","Falta l'actuació. ","")&amp;IF($D455="","Falta l'objectiu. ","")&amp;IF($J455="","Falta el tipus de despesa. ","")&amp;IF(AND($J455&lt;&gt;"",$J455&lt;&gt;"Mitjans propis",$J455&lt;&gt;"Altres",$M455=""),"Falta l'import. ","")&amp;IF(AND($J455="Contracte menor a càrrec del RAE",$K455=""),"Falta la partida RAE. ","")&amp;IF(AND($B455&lt;&gt;"",COUNTIF($B$6:$B$705,$B455)&gt;1),"Codi RAE repetit. ","")&amp;IF(AND($B455&lt;&gt;"",$J455&lt;&gt;"",$J455&lt;&gt;"Contracte menor a càrrec del RAE"),"Té codi RAE però no és de tipus RAE. ","")&amp;IF($N455="","Falta l'indicador del Pla. ","")&amp;IF($R455="","Falta el gestor. ","")&amp;IF($S455="","Falta indicar si és recurrent. ",""))))</f>
        <v/>
      </c>
    </row>
    <row r="456">
      <c r="A456" s="10">
        <f>IF($D456="","","27_"&amp;IFERROR(INDEX(Objectius!$E$2:$E$183,MATCH($D456,Objectius!$A$2:$A$183,0)),"??")&amp;"_"&amp;TEXT(COUNTIF($I$6:$I456,$I456),"00"))</f>
        <v/>
      </c>
      <c r="B456" s="11" t="n"/>
      <c r="C456" s="11" t="n"/>
      <c r="D456" s="11" t="n"/>
      <c r="E456" s="10">
        <f>IF($D456="","",IFERROR(INDEX(Objectius!$C$2:$C$183,MATCH($D456,Objectius!$A$2:$A$183,0)),"Objectiu no trobat al Pla"))</f>
        <v/>
      </c>
      <c r="F456" s="11" t="n"/>
      <c r="G456" s="11" t="n"/>
      <c r="H456" s="11" t="n"/>
      <c r="I456" s="10">
        <f>IF($D456="","",IFERROR(INDEX(Objectius!$D$2:$D$183,MATCH($D456,Objectius!$A$2:$A$183,0)),""))</f>
        <v/>
      </c>
      <c r="J456" s="11" t="n"/>
      <c r="K456" s="11" t="n"/>
      <c r="L456" s="11" t="n"/>
      <c r="M456" s="12" t="n"/>
      <c r="N456" s="11" t="n"/>
      <c r="O456" s="10">
        <f>IF($N456="","",IFERROR(INDEX('PLA ESTRATÈGIC'!$G$4:$G$452,MATCH($N456,'PLA ESTRATÈGIC'!$Q$4:$Q$452,0)),""))</f>
        <v/>
      </c>
      <c r="P456" s="10">
        <f>IF($N456="","",IFERROR(INDEX('PLA ESTRATÈGIC'!$H$4:$H$452,MATCH($N456,'PLA ESTRATÈGIC'!$Q$4:$Q$452,0)),""))</f>
        <v/>
      </c>
      <c r="Q456" s="13" t="n"/>
      <c r="R456" s="11" t="n"/>
      <c r="S456" s="11" t="n"/>
      <c r="T456" s="11" t="n"/>
      <c r="U456" s="11" t="n"/>
      <c r="V456" s="10">
        <f>IF(COUNTA($C456,$D456,$J456,$M456)=0,"",IF(TRIM(IF($C456="","Falta l'actuació. ","")&amp;IF($D456="","Falta l'objectiu. ","")&amp;IF($J456="","Falta el tipus de despesa. ","")&amp;IF(AND($J456&lt;&gt;"",$J456&lt;&gt;"Mitjans propis",$J456&lt;&gt;"Altres",$M456=""),"Falta l'import. ","")&amp;IF(AND($J456="Contracte menor a càrrec del RAE",$K456=""),"Falta la partida RAE. ","")&amp;IF(AND($B456&lt;&gt;"",COUNTIF($B$6:$B$705,$B456)&gt;1),"Codi RAE repetit. ","")&amp;IF(AND($B456&lt;&gt;"",$J456&lt;&gt;"",$J456&lt;&gt;"Contracte menor a càrrec del RAE"),"Té codi RAE però no és de tipus RAE. ","")&amp;IF($N456="","Falta l'indicador del Pla. ","")&amp;IF($R456="","Falta el gestor. ","")&amp;IF($S456="","Falta indicar si és recurrent. ",""))="","✔",TRIM(IF($C456="","Falta l'actuació. ","")&amp;IF($D456="","Falta l'objectiu. ","")&amp;IF($J456="","Falta el tipus de despesa. ","")&amp;IF(AND($J456&lt;&gt;"",$J456&lt;&gt;"Mitjans propis",$J456&lt;&gt;"Altres",$M456=""),"Falta l'import. ","")&amp;IF(AND($J456="Contracte menor a càrrec del RAE",$K456=""),"Falta la partida RAE. ","")&amp;IF(AND($B456&lt;&gt;"",COUNTIF($B$6:$B$705,$B456)&gt;1),"Codi RAE repetit. ","")&amp;IF(AND($B456&lt;&gt;"",$J456&lt;&gt;"",$J456&lt;&gt;"Contracte menor a càrrec del RAE"),"Té codi RAE però no és de tipus RAE. ","")&amp;IF($N456="","Falta l'indicador del Pla. ","")&amp;IF($R456="","Falta el gestor. ","")&amp;IF($S456="","Falta indicar si és recurrent. ",""))))</f>
        <v/>
      </c>
    </row>
    <row r="457">
      <c r="A457" s="10">
        <f>IF($D457="","","27_"&amp;IFERROR(INDEX(Objectius!$E$2:$E$183,MATCH($D457,Objectius!$A$2:$A$183,0)),"??")&amp;"_"&amp;TEXT(COUNTIF($I$6:$I457,$I457),"00"))</f>
        <v/>
      </c>
      <c r="B457" s="11" t="n"/>
      <c r="C457" s="11" t="n"/>
      <c r="D457" s="11" t="n"/>
      <c r="E457" s="10">
        <f>IF($D457="","",IFERROR(INDEX(Objectius!$C$2:$C$183,MATCH($D457,Objectius!$A$2:$A$183,0)),"Objectiu no trobat al Pla"))</f>
        <v/>
      </c>
      <c r="F457" s="11" t="n"/>
      <c r="G457" s="11" t="n"/>
      <c r="H457" s="11" t="n"/>
      <c r="I457" s="10">
        <f>IF($D457="","",IFERROR(INDEX(Objectius!$D$2:$D$183,MATCH($D457,Objectius!$A$2:$A$183,0)),""))</f>
        <v/>
      </c>
      <c r="J457" s="11" t="n"/>
      <c r="K457" s="11" t="n"/>
      <c r="L457" s="11" t="n"/>
      <c r="M457" s="12" t="n"/>
      <c r="N457" s="11" t="n"/>
      <c r="O457" s="10">
        <f>IF($N457="","",IFERROR(INDEX('PLA ESTRATÈGIC'!$G$4:$G$452,MATCH($N457,'PLA ESTRATÈGIC'!$Q$4:$Q$452,0)),""))</f>
        <v/>
      </c>
      <c r="P457" s="10">
        <f>IF($N457="","",IFERROR(INDEX('PLA ESTRATÈGIC'!$H$4:$H$452,MATCH($N457,'PLA ESTRATÈGIC'!$Q$4:$Q$452,0)),""))</f>
        <v/>
      </c>
      <c r="Q457" s="13" t="n"/>
      <c r="R457" s="11" t="n"/>
      <c r="S457" s="11" t="n"/>
      <c r="T457" s="11" t="n"/>
      <c r="U457" s="11" t="n"/>
      <c r="V457" s="10">
        <f>IF(COUNTA($C457,$D457,$J457,$M457)=0,"",IF(TRIM(IF($C457="","Falta l'actuació. ","")&amp;IF($D457="","Falta l'objectiu. ","")&amp;IF($J457="","Falta el tipus de despesa. ","")&amp;IF(AND($J457&lt;&gt;"",$J457&lt;&gt;"Mitjans propis",$J457&lt;&gt;"Altres",$M457=""),"Falta l'import. ","")&amp;IF(AND($J457="Contracte menor a càrrec del RAE",$K457=""),"Falta la partida RAE. ","")&amp;IF(AND($B457&lt;&gt;"",COUNTIF($B$6:$B$705,$B457)&gt;1),"Codi RAE repetit. ","")&amp;IF(AND($B457&lt;&gt;"",$J457&lt;&gt;"",$J457&lt;&gt;"Contracte menor a càrrec del RAE"),"Té codi RAE però no és de tipus RAE. ","")&amp;IF($N457="","Falta l'indicador del Pla. ","")&amp;IF($R457="","Falta el gestor. ","")&amp;IF($S457="","Falta indicar si és recurrent. ",""))="","✔",TRIM(IF($C457="","Falta l'actuació. ","")&amp;IF($D457="","Falta l'objectiu. ","")&amp;IF($J457="","Falta el tipus de despesa. ","")&amp;IF(AND($J457&lt;&gt;"",$J457&lt;&gt;"Mitjans propis",$J457&lt;&gt;"Altres",$M457=""),"Falta l'import. ","")&amp;IF(AND($J457="Contracte menor a càrrec del RAE",$K457=""),"Falta la partida RAE. ","")&amp;IF(AND($B457&lt;&gt;"",COUNTIF($B$6:$B$705,$B457)&gt;1),"Codi RAE repetit. ","")&amp;IF(AND($B457&lt;&gt;"",$J457&lt;&gt;"",$J457&lt;&gt;"Contracte menor a càrrec del RAE"),"Té codi RAE però no és de tipus RAE. ","")&amp;IF($N457="","Falta l'indicador del Pla. ","")&amp;IF($R457="","Falta el gestor. ","")&amp;IF($S457="","Falta indicar si és recurrent. ",""))))</f>
        <v/>
      </c>
    </row>
    <row r="458">
      <c r="A458" s="10">
        <f>IF($D458="","","27_"&amp;IFERROR(INDEX(Objectius!$E$2:$E$183,MATCH($D458,Objectius!$A$2:$A$183,0)),"??")&amp;"_"&amp;TEXT(COUNTIF($I$6:$I458,$I458),"00"))</f>
        <v/>
      </c>
      <c r="B458" s="11" t="n"/>
      <c r="C458" s="11" t="n"/>
      <c r="D458" s="11" t="n"/>
      <c r="E458" s="10">
        <f>IF($D458="","",IFERROR(INDEX(Objectius!$C$2:$C$183,MATCH($D458,Objectius!$A$2:$A$183,0)),"Objectiu no trobat al Pla"))</f>
        <v/>
      </c>
      <c r="F458" s="11" t="n"/>
      <c r="G458" s="11" t="n"/>
      <c r="H458" s="11" t="n"/>
      <c r="I458" s="10">
        <f>IF($D458="","",IFERROR(INDEX(Objectius!$D$2:$D$183,MATCH($D458,Objectius!$A$2:$A$183,0)),""))</f>
        <v/>
      </c>
      <c r="J458" s="11" t="n"/>
      <c r="K458" s="11" t="n"/>
      <c r="L458" s="11" t="n"/>
      <c r="M458" s="12" t="n"/>
      <c r="N458" s="11" t="n"/>
      <c r="O458" s="10">
        <f>IF($N458="","",IFERROR(INDEX('PLA ESTRATÈGIC'!$G$4:$G$452,MATCH($N458,'PLA ESTRATÈGIC'!$Q$4:$Q$452,0)),""))</f>
        <v/>
      </c>
      <c r="P458" s="10">
        <f>IF($N458="","",IFERROR(INDEX('PLA ESTRATÈGIC'!$H$4:$H$452,MATCH($N458,'PLA ESTRATÈGIC'!$Q$4:$Q$452,0)),""))</f>
        <v/>
      </c>
      <c r="Q458" s="13" t="n"/>
      <c r="R458" s="11" t="n"/>
      <c r="S458" s="11" t="n"/>
      <c r="T458" s="11" t="n"/>
      <c r="U458" s="11" t="n"/>
      <c r="V458" s="10">
        <f>IF(COUNTA($C458,$D458,$J458,$M458)=0,"",IF(TRIM(IF($C458="","Falta l'actuació. ","")&amp;IF($D458="","Falta l'objectiu. ","")&amp;IF($J458="","Falta el tipus de despesa. ","")&amp;IF(AND($J458&lt;&gt;"",$J458&lt;&gt;"Mitjans propis",$J458&lt;&gt;"Altres",$M458=""),"Falta l'import. ","")&amp;IF(AND($J458="Contracte menor a càrrec del RAE",$K458=""),"Falta la partida RAE. ","")&amp;IF(AND($B458&lt;&gt;"",COUNTIF($B$6:$B$705,$B458)&gt;1),"Codi RAE repetit. ","")&amp;IF(AND($B458&lt;&gt;"",$J458&lt;&gt;"",$J458&lt;&gt;"Contracte menor a càrrec del RAE"),"Té codi RAE però no és de tipus RAE. ","")&amp;IF($N458="","Falta l'indicador del Pla. ","")&amp;IF($R458="","Falta el gestor. ","")&amp;IF($S458="","Falta indicar si és recurrent. ",""))="","✔",TRIM(IF($C458="","Falta l'actuació. ","")&amp;IF($D458="","Falta l'objectiu. ","")&amp;IF($J458="","Falta el tipus de despesa. ","")&amp;IF(AND($J458&lt;&gt;"",$J458&lt;&gt;"Mitjans propis",$J458&lt;&gt;"Altres",$M458=""),"Falta l'import. ","")&amp;IF(AND($J458="Contracte menor a càrrec del RAE",$K458=""),"Falta la partida RAE. ","")&amp;IF(AND($B458&lt;&gt;"",COUNTIF($B$6:$B$705,$B458)&gt;1),"Codi RAE repetit. ","")&amp;IF(AND($B458&lt;&gt;"",$J458&lt;&gt;"",$J458&lt;&gt;"Contracte menor a càrrec del RAE"),"Té codi RAE però no és de tipus RAE. ","")&amp;IF($N458="","Falta l'indicador del Pla. ","")&amp;IF($R458="","Falta el gestor. ","")&amp;IF($S458="","Falta indicar si és recurrent. ",""))))</f>
        <v/>
      </c>
    </row>
    <row r="459">
      <c r="A459" s="10">
        <f>IF($D459="","","27_"&amp;IFERROR(INDEX(Objectius!$E$2:$E$183,MATCH($D459,Objectius!$A$2:$A$183,0)),"??")&amp;"_"&amp;TEXT(COUNTIF($I$6:$I459,$I459),"00"))</f>
        <v/>
      </c>
      <c r="B459" s="11" t="n"/>
      <c r="C459" s="11" t="n"/>
      <c r="D459" s="11" t="n"/>
      <c r="E459" s="10">
        <f>IF($D459="","",IFERROR(INDEX(Objectius!$C$2:$C$183,MATCH($D459,Objectius!$A$2:$A$183,0)),"Objectiu no trobat al Pla"))</f>
        <v/>
      </c>
      <c r="F459" s="11" t="n"/>
      <c r="G459" s="11" t="n"/>
      <c r="H459" s="11" t="n"/>
      <c r="I459" s="10">
        <f>IF($D459="","",IFERROR(INDEX(Objectius!$D$2:$D$183,MATCH($D459,Objectius!$A$2:$A$183,0)),""))</f>
        <v/>
      </c>
      <c r="J459" s="11" t="n"/>
      <c r="K459" s="11" t="n"/>
      <c r="L459" s="11" t="n"/>
      <c r="M459" s="12" t="n"/>
      <c r="N459" s="11" t="n"/>
      <c r="O459" s="10">
        <f>IF($N459="","",IFERROR(INDEX('PLA ESTRATÈGIC'!$G$4:$G$452,MATCH($N459,'PLA ESTRATÈGIC'!$Q$4:$Q$452,0)),""))</f>
        <v/>
      </c>
      <c r="P459" s="10">
        <f>IF($N459="","",IFERROR(INDEX('PLA ESTRATÈGIC'!$H$4:$H$452,MATCH($N459,'PLA ESTRATÈGIC'!$Q$4:$Q$452,0)),""))</f>
        <v/>
      </c>
      <c r="Q459" s="13" t="n"/>
      <c r="R459" s="11" t="n"/>
      <c r="S459" s="11" t="n"/>
      <c r="T459" s="11" t="n"/>
      <c r="U459" s="11" t="n"/>
      <c r="V459" s="10">
        <f>IF(COUNTA($C459,$D459,$J459,$M459)=0,"",IF(TRIM(IF($C459="","Falta l'actuació. ","")&amp;IF($D459="","Falta l'objectiu. ","")&amp;IF($J459="","Falta el tipus de despesa. ","")&amp;IF(AND($J459&lt;&gt;"",$J459&lt;&gt;"Mitjans propis",$J459&lt;&gt;"Altres",$M459=""),"Falta l'import. ","")&amp;IF(AND($J459="Contracte menor a càrrec del RAE",$K459=""),"Falta la partida RAE. ","")&amp;IF(AND($B459&lt;&gt;"",COUNTIF($B$6:$B$705,$B459)&gt;1),"Codi RAE repetit. ","")&amp;IF(AND($B459&lt;&gt;"",$J459&lt;&gt;"",$J459&lt;&gt;"Contracte menor a càrrec del RAE"),"Té codi RAE però no és de tipus RAE. ","")&amp;IF($N459="","Falta l'indicador del Pla. ","")&amp;IF($R459="","Falta el gestor. ","")&amp;IF($S459="","Falta indicar si és recurrent. ",""))="","✔",TRIM(IF($C459="","Falta l'actuació. ","")&amp;IF($D459="","Falta l'objectiu. ","")&amp;IF($J459="","Falta el tipus de despesa. ","")&amp;IF(AND($J459&lt;&gt;"",$J459&lt;&gt;"Mitjans propis",$J459&lt;&gt;"Altres",$M459=""),"Falta l'import. ","")&amp;IF(AND($J459="Contracte menor a càrrec del RAE",$K459=""),"Falta la partida RAE. ","")&amp;IF(AND($B459&lt;&gt;"",COUNTIF($B$6:$B$705,$B459)&gt;1),"Codi RAE repetit. ","")&amp;IF(AND($B459&lt;&gt;"",$J459&lt;&gt;"",$J459&lt;&gt;"Contracte menor a càrrec del RAE"),"Té codi RAE però no és de tipus RAE. ","")&amp;IF($N459="","Falta l'indicador del Pla. ","")&amp;IF($R459="","Falta el gestor. ","")&amp;IF($S459="","Falta indicar si és recurrent. ",""))))</f>
        <v/>
      </c>
    </row>
    <row r="460">
      <c r="A460" s="10">
        <f>IF($D460="","","27_"&amp;IFERROR(INDEX(Objectius!$E$2:$E$183,MATCH($D460,Objectius!$A$2:$A$183,0)),"??")&amp;"_"&amp;TEXT(COUNTIF($I$6:$I460,$I460),"00"))</f>
        <v/>
      </c>
      <c r="B460" s="11" t="n"/>
      <c r="C460" s="11" t="n"/>
      <c r="D460" s="11" t="n"/>
      <c r="E460" s="10">
        <f>IF($D460="","",IFERROR(INDEX(Objectius!$C$2:$C$183,MATCH($D460,Objectius!$A$2:$A$183,0)),"Objectiu no trobat al Pla"))</f>
        <v/>
      </c>
      <c r="F460" s="11" t="n"/>
      <c r="G460" s="11" t="n"/>
      <c r="H460" s="11" t="n"/>
      <c r="I460" s="10">
        <f>IF($D460="","",IFERROR(INDEX(Objectius!$D$2:$D$183,MATCH($D460,Objectius!$A$2:$A$183,0)),""))</f>
        <v/>
      </c>
      <c r="J460" s="11" t="n"/>
      <c r="K460" s="11" t="n"/>
      <c r="L460" s="11" t="n"/>
      <c r="M460" s="12" t="n"/>
      <c r="N460" s="11" t="n"/>
      <c r="O460" s="10">
        <f>IF($N460="","",IFERROR(INDEX('PLA ESTRATÈGIC'!$G$4:$G$452,MATCH($N460,'PLA ESTRATÈGIC'!$Q$4:$Q$452,0)),""))</f>
        <v/>
      </c>
      <c r="P460" s="10">
        <f>IF($N460="","",IFERROR(INDEX('PLA ESTRATÈGIC'!$H$4:$H$452,MATCH($N460,'PLA ESTRATÈGIC'!$Q$4:$Q$452,0)),""))</f>
        <v/>
      </c>
      <c r="Q460" s="13" t="n"/>
      <c r="R460" s="11" t="n"/>
      <c r="S460" s="11" t="n"/>
      <c r="T460" s="11" t="n"/>
      <c r="U460" s="11" t="n"/>
      <c r="V460" s="10">
        <f>IF(COUNTA($C460,$D460,$J460,$M460)=0,"",IF(TRIM(IF($C460="","Falta l'actuació. ","")&amp;IF($D460="","Falta l'objectiu. ","")&amp;IF($J460="","Falta el tipus de despesa. ","")&amp;IF(AND($J460&lt;&gt;"",$J460&lt;&gt;"Mitjans propis",$J460&lt;&gt;"Altres",$M460=""),"Falta l'import. ","")&amp;IF(AND($J460="Contracte menor a càrrec del RAE",$K460=""),"Falta la partida RAE. ","")&amp;IF(AND($B460&lt;&gt;"",COUNTIF($B$6:$B$705,$B460)&gt;1),"Codi RAE repetit. ","")&amp;IF(AND($B460&lt;&gt;"",$J460&lt;&gt;"",$J460&lt;&gt;"Contracte menor a càrrec del RAE"),"Té codi RAE però no és de tipus RAE. ","")&amp;IF($N460="","Falta l'indicador del Pla. ","")&amp;IF($R460="","Falta el gestor. ","")&amp;IF($S460="","Falta indicar si és recurrent. ",""))="","✔",TRIM(IF($C460="","Falta l'actuació. ","")&amp;IF($D460="","Falta l'objectiu. ","")&amp;IF($J460="","Falta el tipus de despesa. ","")&amp;IF(AND($J460&lt;&gt;"",$J460&lt;&gt;"Mitjans propis",$J460&lt;&gt;"Altres",$M460=""),"Falta l'import. ","")&amp;IF(AND($J460="Contracte menor a càrrec del RAE",$K460=""),"Falta la partida RAE. ","")&amp;IF(AND($B460&lt;&gt;"",COUNTIF($B$6:$B$705,$B460)&gt;1),"Codi RAE repetit. ","")&amp;IF(AND($B460&lt;&gt;"",$J460&lt;&gt;"",$J460&lt;&gt;"Contracte menor a càrrec del RAE"),"Té codi RAE però no és de tipus RAE. ","")&amp;IF($N460="","Falta l'indicador del Pla. ","")&amp;IF($R460="","Falta el gestor. ","")&amp;IF($S460="","Falta indicar si és recurrent. ",""))))</f>
        <v/>
      </c>
    </row>
    <row r="461">
      <c r="A461" s="10">
        <f>IF($D461="","","27_"&amp;IFERROR(INDEX(Objectius!$E$2:$E$183,MATCH($D461,Objectius!$A$2:$A$183,0)),"??")&amp;"_"&amp;TEXT(COUNTIF($I$6:$I461,$I461),"00"))</f>
        <v/>
      </c>
      <c r="B461" s="11" t="n"/>
      <c r="C461" s="11" t="n"/>
      <c r="D461" s="11" t="n"/>
      <c r="E461" s="10">
        <f>IF($D461="","",IFERROR(INDEX(Objectius!$C$2:$C$183,MATCH($D461,Objectius!$A$2:$A$183,0)),"Objectiu no trobat al Pla"))</f>
        <v/>
      </c>
      <c r="F461" s="11" t="n"/>
      <c r="G461" s="11" t="n"/>
      <c r="H461" s="11" t="n"/>
      <c r="I461" s="10">
        <f>IF($D461="","",IFERROR(INDEX(Objectius!$D$2:$D$183,MATCH($D461,Objectius!$A$2:$A$183,0)),""))</f>
        <v/>
      </c>
      <c r="J461" s="11" t="n"/>
      <c r="K461" s="11" t="n"/>
      <c r="L461" s="11" t="n"/>
      <c r="M461" s="12" t="n"/>
      <c r="N461" s="11" t="n"/>
      <c r="O461" s="10">
        <f>IF($N461="","",IFERROR(INDEX('PLA ESTRATÈGIC'!$G$4:$G$452,MATCH($N461,'PLA ESTRATÈGIC'!$Q$4:$Q$452,0)),""))</f>
        <v/>
      </c>
      <c r="P461" s="10">
        <f>IF($N461="","",IFERROR(INDEX('PLA ESTRATÈGIC'!$H$4:$H$452,MATCH($N461,'PLA ESTRATÈGIC'!$Q$4:$Q$452,0)),""))</f>
        <v/>
      </c>
      <c r="Q461" s="13" t="n"/>
      <c r="R461" s="11" t="n"/>
      <c r="S461" s="11" t="n"/>
      <c r="T461" s="11" t="n"/>
      <c r="U461" s="11" t="n"/>
      <c r="V461" s="10">
        <f>IF(COUNTA($C461,$D461,$J461,$M461)=0,"",IF(TRIM(IF($C461="","Falta l'actuació. ","")&amp;IF($D461="","Falta l'objectiu. ","")&amp;IF($J461="","Falta el tipus de despesa. ","")&amp;IF(AND($J461&lt;&gt;"",$J461&lt;&gt;"Mitjans propis",$J461&lt;&gt;"Altres",$M461=""),"Falta l'import. ","")&amp;IF(AND($J461="Contracte menor a càrrec del RAE",$K461=""),"Falta la partida RAE. ","")&amp;IF(AND($B461&lt;&gt;"",COUNTIF($B$6:$B$705,$B461)&gt;1),"Codi RAE repetit. ","")&amp;IF(AND($B461&lt;&gt;"",$J461&lt;&gt;"",$J461&lt;&gt;"Contracte menor a càrrec del RAE"),"Té codi RAE però no és de tipus RAE. ","")&amp;IF($N461="","Falta l'indicador del Pla. ","")&amp;IF($R461="","Falta el gestor. ","")&amp;IF($S461="","Falta indicar si és recurrent. ",""))="","✔",TRIM(IF($C461="","Falta l'actuació. ","")&amp;IF($D461="","Falta l'objectiu. ","")&amp;IF($J461="","Falta el tipus de despesa. ","")&amp;IF(AND($J461&lt;&gt;"",$J461&lt;&gt;"Mitjans propis",$J461&lt;&gt;"Altres",$M461=""),"Falta l'import. ","")&amp;IF(AND($J461="Contracte menor a càrrec del RAE",$K461=""),"Falta la partida RAE. ","")&amp;IF(AND($B461&lt;&gt;"",COUNTIF($B$6:$B$705,$B461)&gt;1),"Codi RAE repetit. ","")&amp;IF(AND($B461&lt;&gt;"",$J461&lt;&gt;"",$J461&lt;&gt;"Contracte menor a càrrec del RAE"),"Té codi RAE però no és de tipus RAE. ","")&amp;IF($N461="","Falta l'indicador del Pla. ","")&amp;IF($R461="","Falta el gestor. ","")&amp;IF($S461="","Falta indicar si és recurrent. ",""))))</f>
        <v/>
      </c>
    </row>
    <row r="462">
      <c r="A462" s="10">
        <f>IF($D462="","","27_"&amp;IFERROR(INDEX(Objectius!$E$2:$E$183,MATCH($D462,Objectius!$A$2:$A$183,0)),"??")&amp;"_"&amp;TEXT(COUNTIF($I$6:$I462,$I462),"00"))</f>
        <v/>
      </c>
      <c r="B462" s="11" t="n"/>
      <c r="C462" s="11" t="n"/>
      <c r="D462" s="11" t="n"/>
      <c r="E462" s="10">
        <f>IF($D462="","",IFERROR(INDEX(Objectius!$C$2:$C$183,MATCH($D462,Objectius!$A$2:$A$183,0)),"Objectiu no trobat al Pla"))</f>
        <v/>
      </c>
      <c r="F462" s="11" t="n"/>
      <c r="G462" s="11" t="n"/>
      <c r="H462" s="11" t="n"/>
      <c r="I462" s="10">
        <f>IF($D462="","",IFERROR(INDEX(Objectius!$D$2:$D$183,MATCH($D462,Objectius!$A$2:$A$183,0)),""))</f>
        <v/>
      </c>
      <c r="J462" s="11" t="n"/>
      <c r="K462" s="11" t="n"/>
      <c r="L462" s="11" t="n"/>
      <c r="M462" s="12" t="n"/>
      <c r="N462" s="11" t="n"/>
      <c r="O462" s="10">
        <f>IF($N462="","",IFERROR(INDEX('PLA ESTRATÈGIC'!$G$4:$G$452,MATCH($N462,'PLA ESTRATÈGIC'!$Q$4:$Q$452,0)),""))</f>
        <v/>
      </c>
      <c r="P462" s="10">
        <f>IF($N462="","",IFERROR(INDEX('PLA ESTRATÈGIC'!$H$4:$H$452,MATCH($N462,'PLA ESTRATÈGIC'!$Q$4:$Q$452,0)),""))</f>
        <v/>
      </c>
      <c r="Q462" s="13" t="n"/>
      <c r="R462" s="11" t="n"/>
      <c r="S462" s="11" t="n"/>
      <c r="T462" s="11" t="n"/>
      <c r="U462" s="11" t="n"/>
      <c r="V462" s="10">
        <f>IF(COUNTA($C462,$D462,$J462,$M462)=0,"",IF(TRIM(IF($C462="","Falta l'actuació. ","")&amp;IF($D462="","Falta l'objectiu. ","")&amp;IF($J462="","Falta el tipus de despesa. ","")&amp;IF(AND($J462&lt;&gt;"",$J462&lt;&gt;"Mitjans propis",$J462&lt;&gt;"Altres",$M462=""),"Falta l'import. ","")&amp;IF(AND($J462="Contracte menor a càrrec del RAE",$K462=""),"Falta la partida RAE. ","")&amp;IF(AND($B462&lt;&gt;"",COUNTIF($B$6:$B$705,$B462)&gt;1),"Codi RAE repetit. ","")&amp;IF(AND($B462&lt;&gt;"",$J462&lt;&gt;"",$J462&lt;&gt;"Contracte menor a càrrec del RAE"),"Té codi RAE però no és de tipus RAE. ","")&amp;IF($N462="","Falta l'indicador del Pla. ","")&amp;IF($R462="","Falta el gestor. ","")&amp;IF($S462="","Falta indicar si és recurrent. ",""))="","✔",TRIM(IF($C462="","Falta l'actuació. ","")&amp;IF($D462="","Falta l'objectiu. ","")&amp;IF($J462="","Falta el tipus de despesa. ","")&amp;IF(AND($J462&lt;&gt;"",$J462&lt;&gt;"Mitjans propis",$J462&lt;&gt;"Altres",$M462=""),"Falta l'import. ","")&amp;IF(AND($J462="Contracte menor a càrrec del RAE",$K462=""),"Falta la partida RAE. ","")&amp;IF(AND($B462&lt;&gt;"",COUNTIF($B$6:$B$705,$B462)&gt;1),"Codi RAE repetit. ","")&amp;IF(AND($B462&lt;&gt;"",$J462&lt;&gt;"",$J462&lt;&gt;"Contracte menor a càrrec del RAE"),"Té codi RAE però no és de tipus RAE. ","")&amp;IF($N462="","Falta l'indicador del Pla. ","")&amp;IF($R462="","Falta el gestor. ","")&amp;IF($S462="","Falta indicar si és recurrent. ",""))))</f>
        <v/>
      </c>
    </row>
    <row r="463">
      <c r="A463" s="10">
        <f>IF($D463="","","27_"&amp;IFERROR(INDEX(Objectius!$E$2:$E$183,MATCH($D463,Objectius!$A$2:$A$183,0)),"??")&amp;"_"&amp;TEXT(COUNTIF($I$6:$I463,$I463),"00"))</f>
        <v/>
      </c>
      <c r="B463" s="11" t="n"/>
      <c r="C463" s="11" t="n"/>
      <c r="D463" s="11" t="n"/>
      <c r="E463" s="10">
        <f>IF($D463="","",IFERROR(INDEX(Objectius!$C$2:$C$183,MATCH($D463,Objectius!$A$2:$A$183,0)),"Objectiu no trobat al Pla"))</f>
        <v/>
      </c>
      <c r="F463" s="11" t="n"/>
      <c r="G463" s="11" t="n"/>
      <c r="H463" s="11" t="n"/>
      <c r="I463" s="10">
        <f>IF($D463="","",IFERROR(INDEX(Objectius!$D$2:$D$183,MATCH($D463,Objectius!$A$2:$A$183,0)),""))</f>
        <v/>
      </c>
      <c r="J463" s="11" t="n"/>
      <c r="K463" s="11" t="n"/>
      <c r="L463" s="11" t="n"/>
      <c r="M463" s="12" t="n"/>
      <c r="N463" s="11" t="n"/>
      <c r="O463" s="10">
        <f>IF($N463="","",IFERROR(INDEX('PLA ESTRATÈGIC'!$G$4:$G$452,MATCH($N463,'PLA ESTRATÈGIC'!$Q$4:$Q$452,0)),""))</f>
        <v/>
      </c>
      <c r="P463" s="10">
        <f>IF($N463="","",IFERROR(INDEX('PLA ESTRATÈGIC'!$H$4:$H$452,MATCH($N463,'PLA ESTRATÈGIC'!$Q$4:$Q$452,0)),""))</f>
        <v/>
      </c>
      <c r="Q463" s="13" t="n"/>
      <c r="R463" s="11" t="n"/>
      <c r="S463" s="11" t="n"/>
      <c r="T463" s="11" t="n"/>
      <c r="U463" s="11" t="n"/>
      <c r="V463" s="10">
        <f>IF(COUNTA($C463,$D463,$J463,$M463)=0,"",IF(TRIM(IF($C463="","Falta l'actuació. ","")&amp;IF($D463="","Falta l'objectiu. ","")&amp;IF($J463="","Falta el tipus de despesa. ","")&amp;IF(AND($J463&lt;&gt;"",$J463&lt;&gt;"Mitjans propis",$J463&lt;&gt;"Altres",$M463=""),"Falta l'import. ","")&amp;IF(AND($J463="Contracte menor a càrrec del RAE",$K463=""),"Falta la partida RAE. ","")&amp;IF(AND($B463&lt;&gt;"",COUNTIF($B$6:$B$705,$B463)&gt;1),"Codi RAE repetit. ","")&amp;IF(AND($B463&lt;&gt;"",$J463&lt;&gt;"",$J463&lt;&gt;"Contracte menor a càrrec del RAE"),"Té codi RAE però no és de tipus RAE. ","")&amp;IF($N463="","Falta l'indicador del Pla. ","")&amp;IF($R463="","Falta el gestor. ","")&amp;IF($S463="","Falta indicar si és recurrent. ",""))="","✔",TRIM(IF($C463="","Falta l'actuació. ","")&amp;IF($D463="","Falta l'objectiu. ","")&amp;IF($J463="","Falta el tipus de despesa. ","")&amp;IF(AND($J463&lt;&gt;"",$J463&lt;&gt;"Mitjans propis",$J463&lt;&gt;"Altres",$M463=""),"Falta l'import. ","")&amp;IF(AND($J463="Contracte menor a càrrec del RAE",$K463=""),"Falta la partida RAE. ","")&amp;IF(AND($B463&lt;&gt;"",COUNTIF($B$6:$B$705,$B463)&gt;1),"Codi RAE repetit. ","")&amp;IF(AND($B463&lt;&gt;"",$J463&lt;&gt;"",$J463&lt;&gt;"Contracte menor a càrrec del RAE"),"Té codi RAE però no és de tipus RAE. ","")&amp;IF($N463="","Falta l'indicador del Pla. ","")&amp;IF($R463="","Falta el gestor. ","")&amp;IF($S463="","Falta indicar si és recurrent. ",""))))</f>
        <v/>
      </c>
    </row>
    <row r="464">
      <c r="A464" s="10">
        <f>IF($D464="","","27_"&amp;IFERROR(INDEX(Objectius!$E$2:$E$183,MATCH($D464,Objectius!$A$2:$A$183,0)),"??")&amp;"_"&amp;TEXT(COUNTIF($I$6:$I464,$I464),"00"))</f>
        <v/>
      </c>
      <c r="B464" s="11" t="n"/>
      <c r="C464" s="11" t="n"/>
      <c r="D464" s="11" t="n"/>
      <c r="E464" s="10">
        <f>IF($D464="","",IFERROR(INDEX(Objectius!$C$2:$C$183,MATCH($D464,Objectius!$A$2:$A$183,0)),"Objectiu no trobat al Pla"))</f>
        <v/>
      </c>
      <c r="F464" s="11" t="n"/>
      <c r="G464" s="11" t="n"/>
      <c r="H464" s="11" t="n"/>
      <c r="I464" s="10">
        <f>IF($D464="","",IFERROR(INDEX(Objectius!$D$2:$D$183,MATCH($D464,Objectius!$A$2:$A$183,0)),""))</f>
        <v/>
      </c>
      <c r="J464" s="11" t="n"/>
      <c r="K464" s="11" t="n"/>
      <c r="L464" s="11" t="n"/>
      <c r="M464" s="12" t="n"/>
      <c r="N464" s="11" t="n"/>
      <c r="O464" s="10">
        <f>IF($N464="","",IFERROR(INDEX('PLA ESTRATÈGIC'!$G$4:$G$452,MATCH($N464,'PLA ESTRATÈGIC'!$Q$4:$Q$452,0)),""))</f>
        <v/>
      </c>
      <c r="P464" s="10">
        <f>IF($N464="","",IFERROR(INDEX('PLA ESTRATÈGIC'!$H$4:$H$452,MATCH($N464,'PLA ESTRATÈGIC'!$Q$4:$Q$452,0)),""))</f>
        <v/>
      </c>
      <c r="Q464" s="13" t="n"/>
      <c r="R464" s="11" t="n"/>
      <c r="S464" s="11" t="n"/>
      <c r="T464" s="11" t="n"/>
      <c r="U464" s="11" t="n"/>
      <c r="V464" s="10">
        <f>IF(COUNTA($C464,$D464,$J464,$M464)=0,"",IF(TRIM(IF($C464="","Falta l'actuació. ","")&amp;IF($D464="","Falta l'objectiu. ","")&amp;IF($J464="","Falta el tipus de despesa. ","")&amp;IF(AND($J464&lt;&gt;"",$J464&lt;&gt;"Mitjans propis",$J464&lt;&gt;"Altres",$M464=""),"Falta l'import. ","")&amp;IF(AND($J464="Contracte menor a càrrec del RAE",$K464=""),"Falta la partida RAE. ","")&amp;IF(AND($B464&lt;&gt;"",COUNTIF($B$6:$B$705,$B464)&gt;1),"Codi RAE repetit. ","")&amp;IF(AND($B464&lt;&gt;"",$J464&lt;&gt;"",$J464&lt;&gt;"Contracte menor a càrrec del RAE"),"Té codi RAE però no és de tipus RAE. ","")&amp;IF($N464="","Falta l'indicador del Pla. ","")&amp;IF($R464="","Falta el gestor. ","")&amp;IF($S464="","Falta indicar si és recurrent. ",""))="","✔",TRIM(IF($C464="","Falta l'actuació. ","")&amp;IF($D464="","Falta l'objectiu. ","")&amp;IF($J464="","Falta el tipus de despesa. ","")&amp;IF(AND($J464&lt;&gt;"",$J464&lt;&gt;"Mitjans propis",$J464&lt;&gt;"Altres",$M464=""),"Falta l'import. ","")&amp;IF(AND($J464="Contracte menor a càrrec del RAE",$K464=""),"Falta la partida RAE. ","")&amp;IF(AND($B464&lt;&gt;"",COUNTIF($B$6:$B$705,$B464)&gt;1),"Codi RAE repetit. ","")&amp;IF(AND($B464&lt;&gt;"",$J464&lt;&gt;"",$J464&lt;&gt;"Contracte menor a càrrec del RAE"),"Té codi RAE però no és de tipus RAE. ","")&amp;IF($N464="","Falta l'indicador del Pla. ","")&amp;IF($R464="","Falta el gestor. ","")&amp;IF($S464="","Falta indicar si és recurrent. ",""))))</f>
        <v/>
      </c>
    </row>
    <row r="465">
      <c r="A465" s="10">
        <f>IF($D465="","","27_"&amp;IFERROR(INDEX(Objectius!$E$2:$E$183,MATCH($D465,Objectius!$A$2:$A$183,0)),"??")&amp;"_"&amp;TEXT(COUNTIF($I$6:$I465,$I465),"00"))</f>
        <v/>
      </c>
      <c r="B465" s="11" t="n"/>
      <c r="C465" s="11" t="n"/>
      <c r="D465" s="11" t="n"/>
      <c r="E465" s="10">
        <f>IF($D465="","",IFERROR(INDEX(Objectius!$C$2:$C$183,MATCH($D465,Objectius!$A$2:$A$183,0)),"Objectiu no trobat al Pla"))</f>
        <v/>
      </c>
      <c r="F465" s="11" t="n"/>
      <c r="G465" s="11" t="n"/>
      <c r="H465" s="11" t="n"/>
      <c r="I465" s="10">
        <f>IF($D465="","",IFERROR(INDEX(Objectius!$D$2:$D$183,MATCH($D465,Objectius!$A$2:$A$183,0)),""))</f>
        <v/>
      </c>
      <c r="J465" s="11" t="n"/>
      <c r="K465" s="11" t="n"/>
      <c r="L465" s="11" t="n"/>
      <c r="M465" s="12" t="n"/>
      <c r="N465" s="11" t="n"/>
      <c r="O465" s="10">
        <f>IF($N465="","",IFERROR(INDEX('PLA ESTRATÈGIC'!$G$4:$G$452,MATCH($N465,'PLA ESTRATÈGIC'!$Q$4:$Q$452,0)),""))</f>
        <v/>
      </c>
      <c r="P465" s="10">
        <f>IF($N465="","",IFERROR(INDEX('PLA ESTRATÈGIC'!$H$4:$H$452,MATCH($N465,'PLA ESTRATÈGIC'!$Q$4:$Q$452,0)),""))</f>
        <v/>
      </c>
      <c r="Q465" s="13" t="n"/>
      <c r="R465" s="11" t="n"/>
      <c r="S465" s="11" t="n"/>
      <c r="T465" s="11" t="n"/>
      <c r="U465" s="11" t="n"/>
      <c r="V465" s="10">
        <f>IF(COUNTA($C465,$D465,$J465,$M465)=0,"",IF(TRIM(IF($C465="","Falta l'actuació. ","")&amp;IF($D465="","Falta l'objectiu. ","")&amp;IF($J465="","Falta el tipus de despesa. ","")&amp;IF(AND($J465&lt;&gt;"",$J465&lt;&gt;"Mitjans propis",$J465&lt;&gt;"Altres",$M465=""),"Falta l'import. ","")&amp;IF(AND($J465="Contracte menor a càrrec del RAE",$K465=""),"Falta la partida RAE. ","")&amp;IF(AND($B465&lt;&gt;"",COUNTIF($B$6:$B$705,$B465)&gt;1),"Codi RAE repetit. ","")&amp;IF(AND($B465&lt;&gt;"",$J465&lt;&gt;"",$J465&lt;&gt;"Contracte menor a càrrec del RAE"),"Té codi RAE però no és de tipus RAE. ","")&amp;IF($N465="","Falta l'indicador del Pla. ","")&amp;IF($R465="","Falta el gestor. ","")&amp;IF($S465="","Falta indicar si és recurrent. ",""))="","✔",TRIM(IF($C465="","Falta l'actuació. ","")&amp;IF($D465="","Falta l'objectiu. ","")&amp;IF($J465="","Falta el tipus de despesa. ","")&amp;IF(AND($J465&lt;&gt;"",$J465&lt;&gt;"Mitjans propis",$J465&lt;&gt;"Altres",$M465=""),"Falta l'import. ","")&amp;IF(AND($J465="Contracte menor a càrrec del RAE",$K465=""),"Falta la partida RAE. ","")&amp;IF(AND($B465&lt;&gt;"",COUNTIF($B$6:$B$705,$B465)&gt;1),"Codi RAE repetit. ","")&amp;IF(AND($B465&lt;&gt;"",$J465&lt;&gt;"",$J465&lt;&gt;"Contracte menor a càrrec del RAE"),"Té codi RAE però no és de tipus RAE. ","")&amp;IF($N465="","Falta l'indicador del Pla. ","")&amp;IF($R465="","Falta el gestor. ","")&amp;IF($S465="","Falta indicar si és recurrent. ",""))))</f>
        <v/>
      </c>
    </row>
    <row r="466">
      <c r="A466" s="10">
        <f>IF($D466="","","27_"&amp;IFERROR(INDEX(Objectius!$E$2:$E$183,MATCH($D466,Objectius!$A$2:$A$183,0)),"??")&amp;"_"&amp;TEXT(COUNTIF($I$6:$I466,$I466),"00"))</f>
        <v/>
      </c>
      <c r="B466" s="11" t="n"/>
      <c r="C466" s="11" t="n"/>
      <c r="D466" s="11" t="n"/>
      <c r="E466" s="10">
        <f>IF($D466="","",IFERROR(INDEX(Objectius!$C$2:$C$183,MATCH($D466,Objectius!$A$2:$A$183,0)),"Objectiu no trobat al Pla"))</f>
        <v/>
      </c>
      <c r="F466" s="11" t="n"/>
      <c r="G466" s="11" t="n"/>
      <c r="H466" s="11" t="n"/>
      <c r="I466" s="10">
        <f>IF($D466="","",IFERROR(INDEX(Objectius!$D$2:$D$183,MATCH($D466,Objectius!$A$2:$A$183,0)),""))</f>
        <v/>
      </c>
      <c r="J466" s="11" t="n"/>
      <c r="K466" s="11" t="n"/>
      <c r="L466" s="11" t="n"/>
      <c r="M466" s="12" t="n"/>
      <c r="N466" s="11" t="n"/>
      <c r="O466" s="10">
        <f>IF($N466="","",IFERROR(INDEX('PLA ESTRATÈGIC'!$G$4:$G$452,MATCH($N466,'PLA ESTRATÈGIC'!$Q$4:$Q$452,0)),""))</f>
        <v/>
      </c>
      <c r="P466" s="10">
        <f>IF($N466="","",IFERROR(INDEX('PLA ESTRATÈGIC'!$H$4:$H$452,MATCH($N466,'PLA ESTRATÈGIC'!$Q$4:$Q$452,0)),""))</f>
        <v/>
      </c>
      <c r="Q466" s="13" t="n"/>
      <c r="R466" s="11" t="n"/>
      <c r="S466" s="11" t="n"/>
      <c r="T466" s="11" t="n"/>
      <c r="U466" s="11" t="n"/>
      <c r="V466" s="10">
        <f>IF(COUNTA($C466,$D466,$J466,$M466)=0,"",IF(TRIM(IF($C466="","Falta l'actuació. ","")&amp;IF($D466="","Falta l'objectiu. ","")&amp;IF($J466="","Falta el tipus de despesa. ","")&amp;IF(AND($J466&lt;&gt;"",$J466&lt;&gt;"Mitjans propis",$J466&lt;&gt;"Altres",$M466=""),"Falta l'import. ","")&amp;IF(AND($J466="Contracte menor a càrrec del RAE",$K466=""),"Falta la partida RAE. ","")&amp;IF(AND($B466&lt;&gt;"",COUNTIF($B$6:$B$705,$B466)&gt;1),"Codi RAE repetit. ","")&amp;IF(AND($B466&lt;&gt;"",$J466&lt;&gt;"",$J466&lt;&gt;"Contracte menor a càrrec del RAE"),"Té codi RAE però no és de tipus RAE. ","")&amp;IF($N466="","Falta l'indicador del Pla. ","")&amp;IF($R466="","Falta el gestor. ","")&amp;IF($S466="","Falta indicar si és recurrent. ",""))="","✔",TRIM(IF($C466="","Falta l'actuació. ","")&amp;IF($D466="","Falta l'objectiu. ","")&amp;IF($J466="","Falta el tipus de despesa. ","")&amp;IF(AND($J466&lt;&gt;"",$J466&lt;&gt;"Mitjans propis",$J466&lt;&gt;"Altres",$M466=""),"Falta l'import. ","")&amp;IF(AND($J466="Contracte menor a càrrec del RAE",$K466=""),"Falta la partida RAE. ","")&amp;IF(AND($B466&lt;&gt;"",COUNTIF($B$6:$B$705,$B466)&gt;1),"Codi RAE repetit. ","")&amp;IF(AND($B466&lt;&gt;"",$J466&lt;&gt;"",$J466&lt;&gt;"Contracte menor a càrrec del RAE"),"Té codi RAE però no és de tipus RAE. ","")&amp;IF($N466="","Falta l'indicador del Pla. ","")&amp;IF($R466="","Falta el gestor. ","")&amp;IF($S466="","Falta indicar si és recurrent. ",""))))</f>
        <v/>
      </c>
    </row>
    <row r="467">
      <c r="A467" s="10">
        <f>IF($D467="","","27_"&amp;IFERROR(INDEX(Objectius!$E$2:$E$183,MATCH($D467,Objectius!$A$2:$A$183,0)),"??")&amp;"_"&amp;TEXT(COUNTIF($I$6:$I467,$I467),"00"))</f>
        <v/>
      </c>
      <c r="B467" s="11" t="n"/>
      <c r="C467" s="11" t="n"/>
      <c r="D467" s="11" t="n"/>
      <c r="E467" s="10">
        <f>IF($D467="","",IFERROR(INDEX(Objectius!$C$2:$C$183,MATCH($D467,Objectius!$A$2:$A$183,0)),"Objectiu no trobat al Pla"))</f>
        <v/>
      </c>
      <c r="F467" s="11" t="n"/>
      <c r="G467" s="11" t="n"/>
      <c r="H467" s="11" t="n"/>
      <c r="I467" s="10">
        <f>IF($D467="","",IFERROR(INDEX(Objectius!$D$2:$D$183,MATCH($D467,Objectius!$A$2:$A$183,0)),""))</f>
        <v/>
      </c>
      <c r="J467" s="11" t="n"/>
      <c r="K467" s="11" t="n"/>
      <c r="L467" s="11" t="n"/>
      <c r="M467" s="12" t="n"/>
      <c r="N467" s="11" t="n"/>
      <c r="O467" s="10">
        <f>IF($N467="","",IFERROR(INDEX('PLA ESTRATÈGIC'!$G$4:$G$452,MATCH($N467,'PLA ESTRATÈGIC'!$Q$4:$Q$452,0)),""))</f>
        <v/>
      </c>
      <c r="P467" s="10">
        <f>IF($N467="","",IFERROR(INDEX('PLA ESTRATÈGIC'!$H$4:$H$452,MATCH($N467,'PLA ESTRATÈGIC'!$Q$4:$Q$452,0)),""))</f>
        <v/>
      </c>
      <c r="Q467" s="13" t="n"/>
      <c r="R467" s="11" t="n"/>
      <c r="S467" s="11" t="n"/>
      <c r="T467" s="11" t="n"/>
      <c r="U467" s="11" t="n"/>
      <c r="V467" s="10">
        <f>IF(COUNTA($C467,$D467,$J467,$M467)=0,"",IF(TRIM(IF($C467="","Falta l'actuació. ","")&amp;IF($D467="","Falta l'objectiu. ","")&amp;IF($J467="","Falta el tipus de despesa. ","")&amp;IF(AND($J467&lt;&gt;"",$J467&lt;&gt;"Mitjans propis",$J467&lt;&gt;"Altres",$M467=""),"Falta l'import. ","")&amp;IF(AND($J467="Contracte menor a càrrec del RAE",$K467=""),"Falta la partida RAE. ","")&amp;IF(AND($B467&lt;&gt;"",COUNTIF($B$6:$B$705,$B467)&gt;1),"Codi RAE repetit. ","")&amp;IF(AND($B467&lt;&gt;"",$J467&lt;&gt;"",$J467&lt;&gt;"Contracte menor a càrrec del RAE"),"Té codi RAE però no és de tipus RAE. ","")&amp;IF($N467="","Falta l'indicador del Pla. ","")&amp;IF($R467="","Falta el gestor. ","")&amp;IF($S467="","Falta indicar si és recurrent. ",""))="","✔",TRIM(IF($C467="","Falta l'actuació. ","")&amp;IF($D467="","Falta l'objectiu. ","")&amp;IF($J467="","Falta el tipus de despesa. ","")&amp;IF(AND($J467&lt;&gt;"",$J467&lt;&gt;"Mitjans propis",$J467&lt;&gt;"Altres",$M467=""),"Falta l'import. ","")&amp;IF(AND($J467="Contracte menor a càrrec del RAE",$K467=""),"Falta la partida RAE. ","")&amp;IF(AND($B467&lt;&gt;"",COUNTIF($B$6:$B$705,$B467)&gt;1),"Codi RAE repetit. ","")&amp;IF(AND($B467&lt;&gt;"",$J467&lt;&gt;"",$J467&lt;&gt;"Contracte menor a càrrec del RAE"),"Té codi RAE però no és de tipus RAE. ","")&amp;IF($N467="","Falta l'indicador del Pla. ","")&amp;IF($R467="","Falta el gestor. ","")&amp;IF($S467="","Falta indicar si és recurrent. ",""))))</f>
        <v/>
      </c>
    </row>
    <row r="468">
      <c r="A468" s="10">
        <f>IF($D468="","","27_"&amp;IFERROR(INDEX(Objectius!$E$2:$E$183,MATCH($D468,Objectius!$A$2:$A$183,0)),"??")&amp;"_"&amp;TEXT(COUNTIF($I$6:$I468,$I468),"00"))</f>
        <v/>
      </c>
      <c r="B468" s="11" t="n"/>
      <c r="C468" s="11" t="n"/>
      <c r="D468" s="11" t="n"/>
      <c r="E468" s="10">
        <f>IF($D468="","",IFERROR(INDEX(Objectius!$C$2:$C$183,MATCH($D468,Objectius!$A$2:$A$183,0)),"Objectiu no trobat al Pla"))</f>
        <v/>
      </c>
      <c r="F468" s="11" t="n"/>
      <c r="G468" s="11" t="n"/>
      <c r="H468" s="11" t="n"/>
      <c r="I468" s="10">
        <f>IF($D468="","",IFERROR(INDEX(Objectius!$D$2:$D$183,MATCH($D468,Objectius!$A$2:$A$183,0)),""))</f>
        <v/>
      </c>
      <c r="J468" s="11" t="n"/>
      <c r="K468" s="11" t="n"/>
      <c r="L468" s="11" t="n"/>
      <c r="M468" s="12" t="n"/>
      <c r="N468" s="11" t="n"/>
      <c r="O468" s="10">
        <f>IF($N468="","",IFERROR(INDEX('PLA ESTRATÈGIC'!$G$4:$G$452,MATCH($N468,'PLA ESTRATÈGIC'!$Q$4:$Q$452,0)),""))</f>
        <v/>
      </c>
      <c r="P468" s="10">
        <f>IF($N468="","",IFERROR(INDEX('PLA ESTRATÈGIC'!$H$4:$H$452,MATCH($N468,'PLA ESTRATÈGIC'!$Q$4:$Q$452,0)),""))</f>
        <v/>
      </c>
      <c r="Q468" s="13" t="n"/>
      <c r="R468" s="11" t="n"/>
      <c r="S468" s="11" t="n"/>
      <c r="T468" s="11" t="n"/>
      <c r="U468" s="11" t="n"/>
      <c r="V468" s="10">
        <f>IF(COUNTA($C468,$D468,$J468,$M468)=0,"",IF(TRIM(IF($C468="","Falta l'actuació. ","")&amp;IF($D468="","Falta l'objectiu. ","")&amp;IF($J468="","Falta el tipus de despesa. ","")&amp;IF(AND($J468&lt;&gt;"",$J468&lt;&gt;"Mitjans propis",$J468&lt;&gt;"Altres",$M468=""),"Falta l'import. ","")&amp;IF(AND($J468="Contracte menor a càrrec del RAE",$K468=""),"Falta la partida RAE. ","")&amp;IF(AND($B468&lt;&gt;"",COUNTIF($B$6:$B$705,$B468)&gt;1),"Codi RAE repetit. ","")&amp;IF(AND($B468&lt;&gt;"",$J468&lt;&gt;"",$J468&lt;&gt;"Contracte menor a càrrec del RAE"),"Té codi RAE però no és de tipus RAE. ","")&amp;IF($N468="","Falta l'indicador del Pla. ","")&amp;IF($R468="","Falta el gestor. ","")&amp;IF($S468="","Falta indicar si és recurrent. ",""))="","✔",TRIM(IF($C468="","Falta l'actuació. ","")&amp;IF($D468="","Falta l'objectiu. ","")&amp;IF($J468="","Falta el tipus de despesa. ","")&amp;IF(AND($J468&lt;&gt;"",$J468&lt;&gt;"Mitjans propis",$J468&lt;&gt;"Altres",$M468=""),"Falta l'import. ","")&amp;IF(AND($J468="Contracte menor a càrrec del RAE",$K468=""),"Falta la partida RAE. ","")&amp;IF(AND($B468&lt;&gt;"",COUNTIF($B$6:$B$705,$B468)&gt;1),"Codi RAE repetit. ","")&amp;IF(AND($B468&lt;&gt;"",$J468&lt;&gt;"",$J468&lt;&gt;"Contracte menor a càrrec del RAE"),"Té codi RAE però no és de tipus RAE. ","")&amp;IF($N468="","Falta l'indicador del Pla. ","")&amp;IF($R468="","Falta el gestor. ","")&amp;IF($S468="","Falta indicar si és recurrent. ",""))))</f>
        <v/>
      </c>
    </row>
    <row r="469">
      <c r="A469" s="10">
        <f>IF($D469="","","27_"&amp;IFERROR(INDEX(Objectius!$E$2:$E$183,MATCH($D469,Objectius!$A$2:$A$183,0)),"??")&amp;"_"&amp;TEXT(COUNTIF($I$6:$I469,$I469),"00"))</f>
        <v/>
      </c>
      <c r="B469" s="11" t="n"/>
      <c r="C469" s="11" t="n"/>
      <c r="D469" s="11" t="n"/>
      <c r="E469" s="10">
        <f>IF($D469="","",IFERROR(INDEX(Objectius!$C$2:$C$183,MATCH($D469,Objectius!$A$2:$A$183,0)),"Objectiu no trobat al Pla"))</f>
        <v/>
      </c>
      <c r="F469" s="11" t="n"/>
      <c r="G469" s="11" t="n"/>
      <c r="H469" s="11" t="n"/>
      <c r="I469" s="10">
        <f>IF($D469="","",IFERROR(INDEX(Objectius!$D$2:$D$183,MATCH($D469,Objectius!$A$2:$A$183,0)),""))</f>
        <v/>
      </c>
      <c r="J469" s="11" t="n"/>
      <c r="K469" s="11" t="n"/>
      <c r="L469" s="11" t="n"/>
      <c r="M469" s="12" t="n"/>
      <c r="N469" s="11" t="n"/>
      <c r="O469" s="10">
        <f>IF($N469="","",IFERROR(INDEX('PLA ESTRATÈGIC'!$G$4:$G$452,MATCH($N469,'PLA ESTRATÈGIC'!$Q$4:$Q$452,0)),""))</f>
        <v/>
      </c>
      <c r="P469" s="10">
        <f>IF($N469="","",IFERROR(INDEX('PLA ESTRATÈGIC'!$H$4:$H$452,MATCH($N469,'PLA ESTRATÈGIC'!$Q$4:$Q$452,0)),""))</f>
        <v/>
      </c>
      <c r="Q469" s="13" t="n"/>
      <c r="R469" s="11" t="n"/>
      <c r="S469" s="11" t="n"/>
      <c r="T469" s="11" t="n"/>
      <c r="U469" s="11" t="n"/>
      <c r="V469" s="10">
        <f>IF(COUNTA($C469,$D469,$J469,$M469)=0,"",IF(TRIM(IF($C469="","Falta l'actuació. ","")&amp;IF($D469="","Falta l'objectiu. ","")&amp;IF($J469="","Falta el tipus de despesa. ","")&amp;IF(AND($J469&lt;&gt;"",$J469&lt;&gt;"Mitjans propis",$J469&lt;&gt;"Altres",$M469=""),"Falta l'import. ","")&amp;IF(AND($J469="Contracte menor a càrrec del RAE",$K469=""),"Falta la partida RAE. ","")&amp;IF(AND($B469&lt;&gt;"",COUNTIF($B$6:$B$705,$B469)&gt;1),"Codi RAE repetit. ","")&amp;IF(AND($B469&lt;&gt;"",$J469&lt;&gt;"",$J469&lt;&gt;"Contracte menor a càrrec del RAE"),"Té codi RAE però no és de tipus RAE. ","")&amp;IF($N469="","Falta l'indicador del Pla. ","")&amp;IF($R469="","Falta el gestor. ","")&amp;IF($S469="","Falta indicar si és recurrent. ",""))="","✔",TRIM(IF($C469="","Falta l'actuació. ","")&amp;IF($D469="","Falta l'objectiu. ","")&amp;IF($J469="","Falta el tipus de despesa. ","")&amp;IF(AND($J469&lt;&gt;"",$J469&lt;&gt;"Mitjans propis",$J469&lt;&gt;"Altres",$M469=""),"Falta l'import. ","")&amp;IF(AND($J469="Contracte menor a càrrec del RAE",$K469=""),"Falta la partida RAE. ","")&amp;IF(AND($B469&lt;&gt;"",COUNTIF($B$6:$B$705,$B469)&gt;1),"Codi RAE repetit. ","")&amp;IF(AND($B469&lt;&gt;"",$J469&lt;&gt;"",$J469&lt;&gt;"Contracte menor a càrrec del RAE"),"Té codi RAE però no és de tipus RAE. ","")&amp;IF($N469="","Falta l'indicador del Pla. ","")&amp;IF($R469="","Falta el gestor. ","")&amp;IF($S469="","Falta indicar si és recurrent. ",""))))</f>
        <v/>
      </c>
    </row>
    <row r="470">
      <c r="A470" s="10">
        <f>IF($D470="","","27_"&amp;IFERROR(INDEX(Objectius!$E$2:$E$183,MATCH($D470,Objectius!$A$2:$A$183,0)),"??")&amp;"_"&amp;TEXT(COUNTIF($I$6:$I470,$I470),"00"))</f>
        <v/>
      </c>
      <c r="B470" s="11" t="n"/>
      <c r="C470" s="11" t="n"/>
      <c r="D470" s="11" t="n"/>
      <c r="E470" s="10">
        <f>IF($D470="","",IFERROR(INDEX(Objectius!$C$2:$C$183,MATCH($D470,Objectius!$A$2:$A$183,0)),"Objectiu no trobat al Pla"))</f>
        <v/>
      </c>
      <c r="F470" s="11" t="n"/>
      <c r="G470" s="11" t="n"/>
      <c r="H470" s="11" t="n"/>
      <c r="I470" s="10">
        <f>IF($D470="","",IFERROR(INDEX(Objectius!$D$2:$D$183,MATCH($D470,Objectius!$A$2:$A$183,0)),""))</f>
        <v/>
      </c>
      <c r="J470" s="11" t="n"/>
      <c r="K470" s="11" t="n"/>
      <c r="L470" s="11" t="n"/>
      <c r="M470" s="12" t="n"/>
      <c r="N470" s="11" t="n"/>
      <c r="O470" s="10">
        <f>IF($N470="","",IFERROR(INDEX('PLA ESTRATÈGIC'!$G$4:$G$452,MATCH($N470,'PLA ESTRATÈGIC'!$Q$4:$Q$452,0)),""))</f>
        <v/>
      </c>
      <c r="P470" s="10">
        <f>IF($N470="","",IFERROR(INDEX('PLA ESTRATÈGIC'!$H$4:$H$452,MATCH($N470,'PLA ESTRATÈGIC'!$Q$4:$Q$452,0)),""))</f>
        <v/>
      </c>
      <c r="Q470" s="13" t="n"/>
      <c r="R470" s="11" t="n"/>
      <c r="S470" s="11" t="n"/>
      <c r="T470" s="11" t="n"/>
      <c r="U470" s="11" t="n"/>
      <c r="V470" s="10">
        <f>IF(COUNTA($C470,$D470,$J470,$M470)=0,"",IF(TRIM(IF($C470="","Falta l'actuació. ","")&amp;IF($D470="","Falta l'objectiu. ","")&amp;IF($J470="","Falta el tipus de despesa. ","")&amp;IF(AND($J470&lt;&gt;"",$J470&lt;&gt;"Mitjans propis",$J470&lt;&gt;"Altres",$M470=""),"Falta l'import. ","")&amp;IF(AND($J470="Contracte menor a càrrec del RAE",$K470=""),"Falta la partida RAE. ","")&amp;IF(AND($B470&lt;&gt;"",COUNTIF($B$6:$B$705,$B470)&gt;1),"Codi RAE repetit. ","")&amp;IF(AND($B470&lt;&gt;"",$J470&lt;&gt;"",$J470&lt;&gt;"Contracte menor a càrrec del RAE"),"Té codi RAE però no és de tipus RAE. ","")&amp;IF($N470="","Falta l'indicador del Pla. ","")&amp;IF($R470="","Falta el gestor. ","")&amp;IF($S470="","Falta indicar si és recurrent. ",""))="","✔",TRIM(IF($C470="","Falta l'actuació. ","")&amp;IF($D470="","Falta l'objectiu. ","")&amp;IF($J470="","Falta el tipus de despesa. ","")&amp;IF(AND($J470&lt;&gt;"",$J470&lt;&gt;"Mitjans propis",$J470&lt;&gt;"Altres",$M470=""),"Falta l'import. ","")&amp;IF(AND($J470="Contracte menor a càrrec del RAE",$K470=""),"Falta la partida RAE. ","")&amp;IF(AND($B470&lt;&gt;"",COUNTIF($B$6:$B$705,$B470)&gt;1),"Codi RAE repetit. ","")&amp;IF(AND($B470&lt;&gt;"",$J470&lt;&gt;"",$J470&lt;&gt;"Contracte menor a càrrec del RAE"),"Té codi RAE però no és de tipus RAE. ","")&amp;IF($N470="","Falta l'indicador del Pla. ","")&amp;IF($R470="","Falta el gestor. ","")&amp;IF($S470="","Falta indicar si és recurrent. ",""))))</f>
        <v/>
      </c>
    </row>
    <row r="471">
      <c r="A471" s="10">
        <f>IF($D471="","","27_"&amp;IFERROR(INDEX(Objectius!$E$2:$E$183,MATCH($D471,Objectius!$A$2:$A$183,0)),"??")&amp;"_"&amp;TEXT(COUNTIF($I$6:$I471,$I471),"00"))</f>
        <v/>
      </c>
      <c r="B471" s="11" t="n"/>
      <c r="C471" s="11" t="n"/>
      <c r="D471" s="11" t="n"/>
      <c r="E471" s="10">
        <f>IF($D471="","",IFERROR(INDEX(Objectius!$C$2:$C$183,MATCH($D471,Objectius!$A$2:$A$183,0)),"Objectiu no trobat al Pla"))</f>
        <v/>
      </c>
      <c r="F471" s="11" t="n"/>
      <c r="G471" s="11" t="n"/>
      <c r="H471" s="11" t="n"/>
      <c r="I471" s="10">
        <f>IF($D471="","",IFERROR(INDEX(Objectius!$D$2:$D$183,MATCH($D471,Objectius!$A$2:$A$183,0)),""))</f>
        <v/>
      </c>
      <c r="J471" s="11" t="n"/>
      <c r="K471" s="11" t="n"/>
      <c r="L471" s="11" t="n"/>
      <c r="M471" s="12" t="n"/>
      <c r="N471" s="11" t="n"/>
      <c r="O471" s="10">
        <f>IF($N471="","",IFERROR(INDEX('PLA ESTRATÈGIC'!$G$4:$G$452,MATCH($N471,'PLA ESTRATÈGIC'!$Q$4:$Q$452,0)),""))</f>
        <v/>
      </c>
      <c r="P471" s="10">
        <f>IF($N471="","",IFERROR(INDEX('PLA ESTRATÈGIC'!$H$4:$H$452,MATCH($N471,'PLA ESTRATÈGIC'!$Q$4:$Q$452,0)),""))</f>
        <v/>
      </c>
      <c r="Q471" s="13" t="n"/>
      <c r="R471" s="11" t="n"/>
      <c r="S471" s="11" t="n"/>
      <c r="T471" s="11" t="n"/>
      <c r="U471" s="11" t="n"/>
      <c r="V471" s="10">
        <f>IF(COUNTA($C471,$D471,$J471,$M471)=0,"",IF(TRIM(IF($C471="","Falta l'actuació. ","")&amp;IF($D471="","Falta l'objectiu. ","")&amp;IF($J471="","Falta el tipus de despesa. ","")&amp;IF(AND($J471&lt;&gt;"",$J471&lt;&gt;"Mitjans propis",$J471&lt;&gt;"Altres",$M471=""),"Falta l'import. ","")&amp;IF(AND($J471="Contracte menor a càrrec del RAE",$K471=""),"Falta la partida RAE. ","")&amp;IF(AND($B471&lt;&gt;"",COUNTIF($B$6:$B$705,$B471)&gt;1),"Codi RAE repetit. ","")&amp;IF(AND($B471&lt;&gt;"",$J471&lt;&gt;"",$J471&lt;&gt;"Contracte menor a càrrec del RAE"),"Té codi RAE però no és de tipus RAE. ","")&amp;IF($N471="","Falta l'indicador del Pla. ","")&amp;IF($R471="","Falta el gestor. ","")&amp;IF($S471="","Falta indicar si és recurrent. ",""))="","✔",TRIM(IF($C471="","Falta l'actuació. ","")&amp;IF($D471="","Falta l'objectiu. ","")&amp;IF($J471="","Falta el tipus de despesa. ","")&amp;IF(AND($J471&lt;&gt;"",$J471&lt;&gt;"Mitjans propis",$J471&lt;&gt;"Altres",$M471=""),"Falta l'import. ","")&amp;IF(AND($J471="Contracte menor a càrrec del RAE",$K471=""),"Falta la partida RAE. ","")&amp;IF(AND($B471&lt;&gt;"",COUNTIF($B$6:$B$705,$B471)&gt;1),"Codi RAE repetit. ","")&amp;IF(AND($B471&lt;&gt;"",$J471&lt;&gt;"",$J471&lt;&gt;"Contracte menor a càrrec del RAE"),"Té codi RAE però no és de tipus RAE. ","")&amp;IF($N471="","Falta l'indicador del Pla. ","")&amp;IF($R471="","Falta el gestor. ","")&amp;IF($S471="","Falta indicar si és recurrent. ",""))))</f>
        <v/>
      </c>
    </row>
    <row r="472">
      <c r="A472" s="10">
        <f>IF($D472="","","27_"&amp;IFERROR(INDEX(Objectius!$E$2:$E$183,MATCH($D472,Objectius!$A$2:$A$183,0)),"??")&amp;"_"&amp;TEXT(COUNTIF($I$6:$I472,$I472),"00"))</f>
        <v/>
      </c>
      <c r="B472" s="11" t="n"/>
      <c r="C472" s="11" t="n"/>
      <c r="D472" s="11" t="n"/>
      <c r="E472" s="10">
        <f>IF($D472="","",IFERROR(INDEX(Objectius!$C$2:$C$183,MATCH($D472,Objectius!$A$2:$A$183,0)),"Objectiu no trobat al Pla"))</f>
        <v/>
      </c>
      <c r="F472" s="11" t="n"/>
      <c r="G472" s="11" t="n"/>
      <c r="H472" s="11" t="n"/>
      <c r="I472" s="10">
        <f>IF($D472="","",IFERROR(INDEX(Objectius!$D$2:$D$183,MATCH($D472,Objectius!$A$2:$A$183,0)),""))</f>
        <v/>
      </c>
      <c r="J472" s="11" t="n"/>
      <c r="K472" s="11" t="n"/>
      <c r="L472" s="11" t="n"/>
      <c r="M472" s="12" t="n"/>
      <c r="N472" s="11" t="n"/>
      <c r="O472" s="10">
        <f>IF($N472="","",IFERROR(INDEX('PLA ESTRATÈGIC'!$G$4:$G$452,MATCH($N472,'PLA ESTRATÈGIC'!$Q$4:$Q$452,0)),""))</f>
        <v/>
      </c>
      <c r="P472" s="10">
        <f>IF($N472="","",IFERROR(INDEX('PLA ESTRATÈGIC'!$H$4:$H$452,MATCH($N472,'PLA ESTRATÈGIC'!$Q$4:$Q$452,0)),""))</f>
        <v/>
      </c>
      <c r="Q472" s="13" t="n"/>
      <c r="R472" s="11" t="n"/>
      <c r="S472" s="11" t="n"/>
      <c r="T472" s="11" t="n"/>
      <c r="U472" s="11" t="n"/>
      <c r="V472" s="10">
        <f>IF(COUNTA($C472,$D472,$J472,$M472)=0,"",IF(TRIM(IF($C472="","Falta l'actuació. ","")&amp;IF($D472="","Falta l'objectiu. ","")&amp;IF($J472="","Falta el tipus de despesa. ","")&amp;IF(AND($J472&lt;&gt;"",$J472&lt;&gt;"Mitjans propis",$J472&lt;&gt;"Altres",$M472=""),"Falta l'import. ","")&amp;IF(AND($J472="Contracte menor a càrrec del RAE",$K472=""),"Falta la partida RAE. ","")&amp;IF(AND($B472&lt;&gt;"",COUNTIF($B$6:$B$705,$B472)&gt;1),"Codi RAE repetit. ","")&amp;IF(AND($B472&lt;&gt;"",$J472&lt;&gt;"",$J472&lt;&gt;"Contracte menor a càrrec del RAE"),"Té codi RAE però no és de tipus RAE. ","")&amp;IF($N472="","Falta l'indicador del Pla. ","")&amp;IF($R472="","Falta el gestor. ","")&amp;IF($S472="","Falta indicar si és recurrent. ",""))="","✔",TRIM(IF($C472="","Falta l'actuació. ","")&amp;IF($D472="","Falta l'objectiu. ","")&amp;IF($J472="","Falta el tipus de despesa. ","")&amp;IF(AND($J472&lt;&gt;"",$J472&lt;&gt;"Mitjans propis",$J472&lt;&gt;"Altres",$M472=""),"Falta l'import. ","")&amp;IF(AND($J472="Contracte menor a càrrec del RAE",$K472=""),"Falta la partida RAE. ","")&amp;IF(AND($B472&lt;&gt;"",COUNTIF($B$6:$B$705,$B472)&gt;1),"Codi RAE repetit. ","")&amp;IF(AND($B472&lt;&gt;"",$J472&lt;&gt;"",$J472&lt;&gt;"Contracte menor a càrrec del RAE"),"Té codi RAE però no és de tipus RAE. ","")&amp;IF($N472="","Falta l'indicador del Pla. ","")&amp;IF($R472="","Falta el gestor. ","")&amp;IF($S472="","Falta indicar si és recurrent. ",""))))</f>
        <v/>
      </c>
    </row>
    <row r="473">
      <c r="A473" s="10">
        <f>IF($D473="","","27_"&amp;IFERROR(INDEX(Objectius!$E$2:$E$183,MATCH($D473,Objectius!$A$2:$A$183,0)),"??")&amp;"_"&amp;TEXT(COUNTIF($I$6:$I473,$I473),"00"))</f>
        <v/>
      </c>
      <c r="B473" s="11" t="n"/>
      <c r="C473" s="11" t="n"/>
      <c r="D473" s="11" t="n"/>
      <c r="E473" s="10">
        <f>IF($D473="","",IFERROR(INDEX(Objectius!$C$2:$C$183,MATCH($D473,Objectius!$A$2:$A$183,0)),"Objectiu no trobat al Pla"))</f>
        <v/>
      </c>
      <c r="F473" s="11" t="n"/>
      <c r="G473" s="11" t="n"/>
      <c r="H473" s="11" t="n"/>
      <c r="I473" s="10">
        <f>IF($D473="","",IFERROR(INDEX(Objectius!$D$2:$D$183,MATCH($D473,Objectius!$A$2:$A$183,0)),""))</f>
        <v/>
      </c>
      <c r="J473" s="11" t="n"/>
      <c r="K473" s="11" t="n"/>
      <c r="L473" s="11" t="n"/>
      <c r="M473" s="12" t="n"/>
      <c r="N473" s="11" t="n"/>
      <c r="O473" s="10">
        <f>IF($N473="","",IFERROR(INDEX('PLA ESTRATÈGIC'!$G$4:$G$452,MATCH($N473,'PLA ESTRATÈGIC'!$Q$4:$Q$452,0)),""))</f>
        <v/>
      </c>
      <c r="P473" s="10">
        <f>IF($N473="","",IFERROR(INDEX('PLA ESTRATÈGIC'!$H$4:$H$452,MATCH($N473,'PLA ESTRATÈGIC'!$Q$4:$Q$452,0)),""))</f>
        <v/>
      </c>
      <c r="Q473" s="13" t="n"/>
      <c r="R473" s="11" t="n"/>
      <c r="S473" s="11" t="n"/>
      <c r="T473" s="11" t="n"/>
      <c r="U473" s="11" t="n"/>
      <c r="V473" s="10">
        <f>IF(COUNTA($C473,$D473,$J473,$M473)=0,"",IF(TRIM(IF($C473="","Falta l'actuació. ","")&amp;IF($D473="","Falta l'objectiu. ","")&amp;IF($J473="","Falta el tipus de despesa. ","")&amp;IF(AND($J473&lt;&gt;"",$J473&lt;&gt;"Mitjans propis",$J473&lt;&gt;"Altres",$M473=""),"Falta l'import. ","")&amp;IF(AND($J473="Contracte menor a càrrec del RAE",$K473=""),"Falta la partida RAE. ","")&amp;IF(AND($B473&lt;&gt;"",COUNTIF($B$6:$B$705,$B473)&gt;1),"Codi RAE repetit. ","")&amp;IF(AND($B473&lt;&gt;"",$J473&lt;&gt;"",$J473&lt;&gt;"Contracte menor a càrrec del RAE"),"Té codi RAE però no és de tipus RAE. ","")&amp;IF($N473="","Falta l'indicador del Pla. ","")&amp;IF($R473="","Falta el gestor. ","")&amp;IF($S473="","Falta indicar si és recurrent. ",""))="","✔",TRIM(IF($C473="","Falta l'actuació. ","")&amp;IF($D473="","Falta l'objectiu. ","")&amp;IF($J473="","Falta el tipus de despesa. ","")&amp;IF(AND($J473&lt;&gt;"",$J473&lt;&gt;"Mitjans propis",$J473&lt;&gt;"Altres",$M473=""),"Falta l'import. ","")&amp;IF(AND($J473="Contracte menor a càrrec del RAE",$K473=""),"Falta la partida RAE. ","")&amp;IF(AND($B473&lt;&gt;"",COUNTIF($B$6:$B$705,$B473)&gt;1),"Codi RAE repetit. ","")&amp;IF(AND($B473&lt;&gt;"",$J473&lt;&gt;"",$J473&lt;&gt;"Contracte menor a càrrec del RAE"),"Té codi RAE però no és de tipus RAE. ","")&amp;IF($N473="","Falta l'indicador del Pla. ","")&amp;IF($R473="","Falta el gestor. ","")&amp;IF($S473="","Falta indicar si és recurrent. ",""))))</f>
        <v/>
      </c>
    </row>
    <row r="474">
      <c r="A474" s="10">
        <f>IF($D474="","","27_"&amp;IFERROR(INDEX(Objectius!$E$2:$E$183,MATCH($D474,Objectius!$A$2:$A$183,0)),"??")&amp;"_"&amp;TEXT(COUNTIF($I$6:$I474,$I474),"00"))</f>
        <v/>
      </c>
      <c r="B474" s="11" t="n"/>
      <c r="C474" s="11" t="n"/>
      <c r="D474" s="11" t="n"/>
      <c r="E474" s="10">
        <f>IF($D474="","",IFERROR(INDEX(Objectius!$C$2:$C$183,MATCH($D474,Objectius!$A$2:$A$183,0)),"Objectiu no trobat al Pla"))</f>
        <v/>
      </c>
      <c r="F474" s="11" t="n"/>
      <c r="G474" s="11" t="n"/>
      <c r="H474" s="11" t="n"/>
      <c r="I474" s="10">
        <f>IF($D474="","",IFERROR(INDEX(Objectius!$D$2:$D$183,MATCH($D474,Objectius!$A$2:$A$183,0)),""))</f>
        <v/>
      </c>
      <c r="J474" s="11" t="n"/>
      <c r="K474" s="11" t="n"/>
      <c r="L474" s="11" t="n"/>
      <c r="M474" s="12" t="n"/>
      <c r="N474" s="11" t="n"/>
      <c r="O474" s="10">
        <f>IF($N474="","",IFERROR(INDEX('PLA ESTRATÈGIC'!$G$4:$G$452,MATCH($N474,'PLA ESTRATÈGIC'!$Q$4:$Q$452,0)),""))</f>
        <v/>
      </c>
      <c r="P474" s="10">
        <f>IF($N474="","",IFERROR(INDEX('PLA ESTRATÈGIC'!$H$4:$H$452,MATCH($N474,'PLA ESTRATÈGIC'!$Q$4:$Q$452,0)),""))</f>
        <v/>
      </c>
      <c r="Q474" s="13" t="n"/>
      <c r="R474" s="11" t="n"/>
      <c r="S474" s="11" t="n"/>
      <c r="T474" s="11" t="n"/>
      <c r="U474" s="11" t="n"/>
      <c r="V474" s="10">
        <f>IF(COUNTA($C474,$D474,$J474,$M474)=0,"",IF(TRIM(IF($C474="","Falta l'actuació. ","")&amp;IF($D474="","Falta l'objectiu. ","")&amp;IF($J474="","Falta el tipus de despesa. ","")&amp;IF(AND($J474&lt;&gt;"",$J474&lt;&gt;"Mitjans propis",$J474&lt;&gt;"Altres",$M474=""),"Falta l'import. ","")&amp;IF(AND($J474="Contracte menor a càrrec del RAE",$K474=""),"Falta la partida RAE. ","")&amp;IF(AND($B474&lt;&gt;"",COUNTIF($B$6:$B$705,$B474)&gt;1),"Codi RAE repetit. ","")&amp;IF(AND($B474&lt;&gt;"",$J474&lt;&gt;"",$J474&lt;&gt;"Contracte menor a càrrec del RAE"),"Té codi RAE però no és de tipus RAE. ","")&amp;IF($N474="","Falta l'indicador del Pla. ","")&amp;IF($R474="","Falta el gestor. ","")&amp;IF($S474="","Falta indicar si és recurrent. ",""))="","✔",TRIM(IF($C474="","Falta l'actuació. ","")&amp;IF($D474="","Falta l'objectiu. ","")&amp;IF($J474="","Falta el tipus de despesa. ","")&amp;IF(AND($J474&lt;&gt;"",$J474&lt;&gt;"Mitjans propis",$J474&lt;&gt;"Altres",$M474=""),"Falta l'import. ","")&amp;IF(AND($J474="Contracte menor a càrrec del RAE",$K474=""),"Falta la partida RAE. ","")&amp;IF(AND($B474&lt;&gt;"",COUNTIF($B$6:$B$705,$B474)&gt;1),"Codi RAE repetit. ","")&amp;IF(AND($B474&lt;&gt;"",$J474&lt;&gt;"",$J474&lt;&gt;"Contracte menor a càrrec del RAE"),"Té codi RAE però no és de tipus RAE. ","")&amp;IF($N474="","Falta l'indicador del Pla. ","")&amp;IF($R474="","Falta el gestor. ","")&amp;IF($S474="","Falta indicar si és recurrent. ",""))))</f>
        <v/>
      </c>
    </row>
    <row r="475">
      <c r="A475" s="10">
        <f>IF($D475="","","27_"&amp;IFERROR(INDEX(Objectius!$E$2:$E$183,MATCH($D475,Objectius!$A$2:$A$183,0)),"??")&amp;"_"&amp;TEXT(COUNTIF($I$6:$I475,$I475),"00"))</f>
        <v/>
      </c>
      <c r="B475" s="11" t="n"/>
      <c r="C475" s="11" t="n"/>
      <c r="D475" s="11" t="n"/>
      <c r="E475" s="10">
        <f>IF($D475="","",IFERROR(INDEX(Objectius!$C$2:$C$183,MATCH($D475,Objectius!$A$2:$A$183,0)),"Objectiu no trobat al Pla"))</f>
        <v/>
      </c>
      <c r="F475" s="11" t="n"/>
      <c r="G475" s="11" t="n"/>
      <c r="H475" s="11" t="n"/>
      <c r="I475" s="10">
        <f>IF($D475="","",IFERROR(INDEX(Objectius!$D$2:$D$183,MATCH($D475,Objectius!$A$2:$A$183,0)),""))</f>
        <v/>
      </c>
      <c r="J475" s="11" t="n"/>
      <c r="K475" s="11" t="n"/>
      <c r="L475" s="11" t="n"/>
      <c r="M475" s="12" t="n"/>
      <c r="N475" s="11" t="n"/>
      <c r="O475" s="10">
        <f>IF($N475="","",IFERROR(INDEX('PLA ESTRATÈGIC'!$G$4:$G$452,MATCH($N475,'PLA ESTRATÈGIC'!$Q$4:$Q$452,0)),""))</f>
        <v/>
      </c>
      <c r="P475" s="10">
        <f>IF($N475="","",IFERROR(INDEX('PLA ESTRATÈGIC'!$H$4:$H$452,MATCH($N475,'PLA ESTRATÈGIC'!$Q$4:$Q$452,0)),""))</f>
        <v/>
      </c>
      <c r="Q475" s="13" t="n"/>
      <c r="R475" s="11" t="n"/>
      <c r="S475" s="11" t="n"/>
      <c r="T475" s="11" t="n"/>
      <c r="U475" s="11" t="n"/>
      <c r="V475" s="10">
        <f>IF(COUNTA($C475,$D475,$J475,$M475)=0,"",IF(TRIM(IF($C475="","Falta l'actuació. ","")&amp;IF($D475="","Falta l'objectiu. ","")&amp;IF($J475="","Falta el tipus de despesa. ","")&amp;IF(AND($J475&lt;&gt;"",$J475&lt;&gt;"Mitjans propis",$J475&lt;&gt;"Altres",$M475=""),"Falta l'import. ","")&amp;IF(AND($J475="Contracte menor a càrrec del RAE",$K475=""),"Falta la partida RAE. ","")&amp;IF(AND($B475&lt;&gt;"",COUNTIF($B$6:$B$705,$B475)&gt;1),"Codi RAE repetit. ","")&amp;IF(AND($B475&lt;&gt;"",$J475&lt;&gt;"",$J475&lt;&gt;"Contracte menor a càrrec del RAE"),"Té codi RAE però no és de tipus RAE. ","")&amp;IF($N475="","Falta l'indicador del Pla. ","")&amp;IF($R475="","Falta el gestor. ","")&amp;IF($S475="","Falta indicar si és recurrent. ",""))="","✔",TRIM(IF($C475="","Falta l'actuació. ","")&amp;IF($D475="","Falta l'objectiu. ","")&amp;IF($J475="","Falta el tipus de despesa. ","")&amp;IF(AND($J475&lt;&gt;"",$J475&lt;&gt;"Mitjans propis",$J475&lt;&gt;"Altres",$M475=""),"Falta l'import. ","")&amp;IF(AND($J475="Contracte menor a càrrec del RAE",$K475=""),"Falta la partida RAE. ","")&amp;IF(AND($B475&lt;&gt;"",COUNTIF($B$6:$B$705,$B475)&gt;1),"Codi RAE repetit. ","")&amp;IF(AND($B475&lt;&gt;"",$J475&lt;&gt;"",$J475&lt;&gt;"Contracte menor a càrrec del RAE"),"Té codi RAE però no és de tipus RAE. ","")&amp;IF($N475="","Falta l'indicador del Pla. ","")&amp;IF($R475="","Falta el gestor. ","")&amp;IF($S475="","Falta indicar si és recurrent. ",""))))</f>
        <v/>
      </c>
    </row>
    <row r="476">
      <c r="A476" s="10">
        <f>IF($D476="","","27_"&amp;IFERROR(INDEX(Objectius!$E$2:$E$183,MATCH($D476,Objectius!$A$2:$A$183,0)),"??")&amp;"_"&amp;TEXT(COUNTIF($I$6:$I476,$I476),"00"))</f>
        <v/>
      </c>
      <c r="B476" s="11" t="n"/>
      <c r="C476" s="11" t="n"/>
      <c r="D476" s="11" t="n"/>
      <c r="E476" s="10">
        <f>IF($D476="","",IFERROR(INDEX(Objectius!$C$2:$C$183,MATCH($D476,Objectius!$A$2:$A$183,0)),"Objectiu no trobat al Pla"))</f>
        <v/>
      </c>
      <c r="F476" s="11" t="n"/>
      <c r="G476" s="11" t="n"/>
      <c r="H476" s="11" t="n"/>
      <c r="I476" s="10">
        <f>IF($D476="","",IFERROR(INDEX(Objectius!$D$2:$D$183,MATCH($D476,Objectius!$A$2:$A$183,0)),""))</f>
        <v/>
      </c>
      <c r="J476" s="11" t="n"/>
      <c r="K476" s="11" t="n"/>
      <c r="L476" s="11" t="n"/>
      <c r="M476" s="12" t="n"/>
      <c r="N476" s="11" t="n"/>
      <c r="O476" s="10">
        <f>IF($N476="","",IFERROR(INDEX('PLA ESTRATÈGIC'!$G$4:$G$452,MATCH($N476,'PLA ESTRATÈGIC'!$Q$4:$Q$452,0)),""))</f>
        <v/>
      </c>
      <c r="P476" s="10">
        <f>IF($N476="","",IFERROR(INDEX('PLA ESTRATÈGIC'!$H$4:$H$452,MATCH($N476,'PLA ESTRATÈGIC'!$Q$4:$Q$452,0)),""))</f>
        <v/>
      </c>
      <c r="Q476" s="13" t="n"/>
      <c r="R476" s="11" t="n"/>
      <c r="S476" s="11" t="n"/>
      <c r="T476" s="11" t="n"/>
      <c r="U476" s="11" t="n"/>
      <c r="V476" s="10">
        <f>IF(COUNTA($C476,$D476,$J476,$M476)=0,"",IF(TRIM(IF($C476="","Falta l'actuació. ","")&amp;IF($D476="","Falta l'objectiu. ","")&amp;IF($J476="","Falta el tipus de despesa. ","")&amp;IF(AND($J476&lt;&gt;"",$J476&lt;&gt;"Mitjans propis",$J476&lt;&gt;"Altres",$M476=""),"Falta l'import. ","")&amp;IF(AND($J476="Contracte menor a càrrec del RAE",$K476=""),"Falta la partida RAE. ","")&amp;IF(AND($B476&lt;&gt;"",COUNTIF($B$6:$B$705,$B476)&gt;1),"Codi RAE repetit. ","")&amp;IF(AND($B476&lt;&gt;"",$J476&lt;&gt;"",$J476&lt;&gt;"Contracte menor a càrrec del RAE"),"Té codi RAE però no és de tipus RAE. ","")&amp;IF($N476="","Falta l'indicador del Pla. ","")&amp;IF($R476="","Falta el gestor. ","")&amp;IF($S476="","Falta indicar si és recurrent. ",""))="","✔",TRIM(IF($C476="","Falta l'actuació. ","")&amp;IF($D476="","Falta l'objectiu. ","")&amp;IF($J476="","Falta el tipus de despesa. ","")&amp;IF(AND($J476&lt;&gt;"",$J476&lt;&gt;"Mitjans propis",$J476&lt;&gt;"Altres",$M476=""),"Falta l'import. ","")&amp;IF(AND($J476="Contracte menor a càrrec del RAE",$K476=""),"Falta la partida RAE. ","")&amp;IF(AND($B476&lt;&gt;"",COUNTIF($B$6:$B$705,$B476)&gt;1),"Codi RAE repetit. ","")&amp;IF(AND($B476&lt;&gt;"",$J476&lt;&gt;"",$J476&lt;&gt;"Contracte menor a càrrec del RAE"),"Té codi RAE però no és de tipus RAE. ","")&amp;IF($N476="","Falta l'indicador del Pla. ","")&amp;IF($R476="","Falta el gestor. ","")&amp;IF($S476="","Falta indicar si és recurrent. ",""))))</f>
        <v/>
      </c>
    </row>
    <row r="477">
      <c r="A477" s="10">
        <f>IF($D477="","","27_"&amp;IFERROR(INDEX(Objectius!$E$2:$E$183,MATCH($D477,Objectius!$A$2:$A$183,0)),"??")&amp;"_"&amp;TEXT(COUNTIF($I$6:$I477,$I477),"00"))</f>
        <v/>
      </c>
      <c r="B477" s="11" t="n"/>
      <c r="C477" s="11" t="n"/>
      <c r="D477" s="11" t="n"/>
      <c r="E477" s="10">
        <f>IF($D477="","",IFERROR(INDEX(Objectius!$C$2:$C$183,MATCH($D477,Objectius!$A$2:$A$183,0)),"Objectiu no trobat al Pla"))</f>
        <v/>
      </c>
      <c r="F477" s="11" t="n"/>
      <c r="G477" s="11" t="n"/>
      <c r="H477" s="11" t="n"/>
      <c r="I477" s="10">
        <f>IF($D477="","",IFERROR(INDEX(Objectius!$D$2:$D$183,MATCH($D477,Objectius!$A$2:$A$183,0)),""))</f>
        <v/>
      </c>
      <c r="J477" s="11" t="n"/>
      <c r="K477" s="11" t="n"/>
      <c r="L477" s="11" t="n"/>
      <c r="M477" s="12" t="n"/>
      <c r="N477" s="11" t="n"/>
      <c r="O477" s="10">
        <f>IF($N477="","",IFERROR(INDEX('PLA ESTRATÈGIC'!$G$4:$G$452,MATCH($N477,'PLA ESTRATÈGIC'!$Q$4:$Q$452,0)),""))</f>
        <v/>
      </c>
      <c r="P477" s="10">
        <f>IF($N477="","",IFERROR(INDEX('PLA ESTRATÈGIC'!$H$4:$H$452,MATCH($N477,'PLA ESTRATÈGIC'!$Q$4:$Q$452,0)),""))</f>
        <v/>
      </c>
      <c r="Q477" s="13" t="n"/>
      <c r="R477" s="11" t="n"/>
      <c r="S477" s="11" t="n"/>
      <c r="T477" s="11" t="n"/>
      <c r="U477" s="11" t="n"/>
      <c r="V477" s="10">
        <f>IF(COUNTA($C477,$D477,$J477,$M477)=0,"",IF(TRIM(IF($C477="","Falta l'actuació. ","")&amp;IF($D477="","Falta l'objectiu. ","")&amp;IF($J477="","Falta el tipus de despesa. ","")&amp;IF(AND($J477&lt;&gt;"",$J477&lt;&gt;"Mitjans propis",$J477&lt;&gt;"Altres",$M477=""),"Falta l'import. ","")&amp;IF(AND($J477="Contracte menor a càrrec del RAE",$K477=""),"Falta la partida RAE. ","")&amp;IF(AND($B477&lt;&gt;"",COUNTIF($B$6:$B$705,$B477)&gt;1),"Codi RAE repetit. ","")&amp;IF(AND($B477&lt;&gt;"",$J477&lt;&gt;"",$J477&lt;&gt;"Contracte menor a càrrec del RAE"),"Té codi RAE però no és de tipus RAE. ","")&amp;IF($N477="","Falta l'indicador del Pla. ","")&amp;IF($R477="","Falta el gestor. ","")&amp;IF($S477="","Falta indicar si és recurrent. ",""))="","✔",TRIM(IF($C477="","Falta l'actuació. ","")&amp;IF($D477="","Falta l'objectiu. ","")&amp;IF($J477="","Falta el tipus de despesa. ","")&amp;IF(AND($J477&lt;&gt;"",$J477&lt;&gt;"Mitjans propis",$J477&lt;&gt;"Altres",$M477=""),"Falta l'import. ","")&amp;IF(AND($J477="Contracte menor a càrrec del RAE",$K477=""),"Falta la partida RAE. ","")&amp;IF(AND($B477&lt;&gt;"",COUNTIF($B$6:$B$705,$B477)&gt;1),"Codi RAE repetit. ","")&amp;IF(AND($B477&lt;&gt;"",$J477&lt;&gt;"",$J477&lt;&gt;"Contracte menor a càrrec del RAE"),"Té codi RAE però no és de tipus RAE. ","")&amp;IF($N477="","Falta l'indicador del Pla. ","")&amp;IF($R477="","Falta el gestor. ","")&amp;IF($S477="","Falta indicar si és recurrent. ",""))))</f>
        <v/>
      </c>
    </row>
    <row r="478">
      <c r="A478" s="10">
        <f>IF($D478="","","27_"&amp;IFERROR(INDEX(Objectius!$E$2:$E$183,MATCH($D478,Objectius!$A$2:$A$183,0)),"??")&amp;"_"&amp;TEXT(COUNTIF($I$6:$I478,$I478),"00"))</f>
        <v/>
      </c>
      <c r="B478" s="11" t="n"/>
      <c r="C478" s="11" t="n"/>
      <c r="D478" s="11" t="n"/>
      <c r="E478" s="10">
        <f>IF($D478="","",IFERROR(INDEX(Objectius!$C$2:$C$183,MATCH($D478,Objectius!$A$2:$A$183,0)),"Objectiu no trobat al Pla"))</f>
        <v/>
      </c>
      <c r="F478" s="11" t="n"/>
      <c r="G478" s="11" t="n"/>
      <c r="H478" s="11" t="n"/>
      <c r="I478" s="10">
        <f>IF($D478="","",IFERROR(INDEX(Objectius!$D$2:$D$183,MATCH($D478,Objectius!$A$2:$A$183,0)),""))</f>
        <v/>
      </c>
      <c r="J478" s="11" t="n"/>
      <c r="K478" s="11" t="n"/>
      <c r="L478" s="11" t="n"/>
      <c r="M478" s="12" t="n"/>
      <c r="N478" s="11" t="n"/>
      <c r="O478" s="10">
        <f>IF($N478="","",IFERROR(INDEX('PLA ESTRATÈGIC'!$G$4:$G$452,MATCH($N478,'PLA ESTRATÈGIC'!$Q$4:$Q$452,0)),""))</f>
        <v/>
      </c>
      <c r="P478" s="10">
        <f>IF($N478="","",IFERROR(INDEX('PLA ESTRATÈGIC'!$H$4:$H$452,MATCH($N478,'PLA ESTRATÈGIC'!$Q$4:$Q$452,0)),""))</f>
        <v/>
      </c>
      <c r="Q478" s="13" t="n"/>
      <c r="R478" s="11" t="n"/>
      <c r="S478" s="11" t="n"/>
      <c r="T478" s="11" t="n"/>
      <c r="U478" s="11" t="n"/>
      <c r="V478" s="10">
        <f>IF(COUNTA($C478,$D478,$J478,$M478)=0,"",IF(TRIM(IF($C478="","Falta l'actuació. ","")&amp;IF($D478="","Falta l'objectiu. ","")&amp;IF($J478="","Falta el tipus de despesa. ","")&amp;IF(AND($J478&lt;&gt;"",$J478&lt;&gt;"Mitjans propis",$J478&lt;&gt;"Altres",$M478=""),"Falta l'import. ","")&amp;IF(AND($J478="Contracte menor a càrrec del RAE",$K478=""),"Falta la partida RAE. ","")&amp;IF(AND($B478&lt;&gt;"",COUNTIF($B$6:$B$705,$B478)&gt;1),"Codi RAE repetit. ","")&amp;IF(AND($B478&lt;&gt;"",$J478&lt;&gt;"",$J478&lt;&gt;"Contracte menor a càrrec del RAE"),"Té codi RAE però no és de tipus RAE. ","")&amp;IF($N478="","Falta l'indicador del Pla. ","")&amp;IF($R478="","Falta el gestor. ","")&amp;IF($S478="","Falta indicar si és recurrent. ",""))="","✔",TRIM(IF($C478="","Falta l'actuació. ","")&amp;IF($D478="","Falta l'objectiu. ","")&amp;IF($J478="","Falta el tipus de despesa. ","")&amp;IF(AND($J478&lt;&gt;"",$J478&lt;&gt;"Mitjans propis",$J478&lt;&gt;"Altres",$M478=""),"Falta l'import. ","")&amp;IF(AND($J478="Contracte menor a càrrec del RAE",$K478=""),"Falta la partida RAE. ","")&amp;IF(AND($B478&lt;&gt;"",COUNTIF($B$6:$B$705,$B478)&gt;1),"Codi RAE repetit. ","")&amp;IF(AND($B478&lt;&gt;"",$J478&lt;&gt;"",$J478&lt;&gt;"Contracte menor a càrrec del RAE"),"Té codi RAE però no és de tipus RAE. ","")&amp;IF($N478="","Falta l'indicador del Pla. ","")&amp;IF($R478="","Falta el gestor. ","")&amp;IF($S478="","Falta indicar si és recurrent. ",""))))</f>
        <v/>
      </c>
    </row>
    <row r="479">
      <c r="A479" s="10">
        <f>IF($D479="","","27_"&amp;IFERROR(INDEX(Objectius!$E$2:$E$183,MATCH($D479,Objectius!$A$2:$A$183,0)),"??")&amp;"_"&amp;TEXT(COUNTIF($I$6:$I479,$I479),"00"))</f>
        <v/>
      </c>
      <c r="B479" s="11" t="n"/>
      <c r="C479" s="11" t="n"/>
      <c r="D479" s="11" t="n"/>
      <c r="E479" s="10">
        <f>IF($D479="","",IFERROR(INDEX(Objectius!$C$2:$C$183,MATCH($D479,Objectius!$A$2:$A$183,0)),"Objectiu no trobat al Pla"))</f>
        <v/>
      </c>
      <c r="F479" s="11" t="n"/>
      <c r="G479" s="11" t="n"/>
      <c r="H479" s="11" t="n"/>
      <c r="I479" s="10">
        <f>IF($D479="","",IFERROR(INDEX(Objectius!$D$2:$D$183,MATCH($D479,Objectius!$A$2:$A$183,0)),""))</f>
        <v/>
      </c>
      <c r="J479" s="11" t="n"/>
      <c r="K479" s="11" t="n"/>
      <c r="L479" s="11" t="n"/>
      <c r="M479" s="12" t="n"/>
      <c r="N479" s="11" t="n"/>
      <c r="O479" s="10">
        <f>IF($N479="","",IFERROR(INDEX('PLA ESTRATÈGIC'!$G$4:$G$452,MATCH($N479,'PLA ESTRATÈGIC'!$Q$4:$Q$452,0)),""))</f>
        <v/>
      </c>
      <c r="P479" s="10">
        <f>IF($N479="","",IFERROR(INDEX('PLA ESTRATÈGIC'!$H$4:$H$452,MATCH($N479,'PLA ESTRATÈGIC'!$Q$4:$Q$452,0)),""))</f>
        <v/>
      </c>
      <c r="Q479" s="13" t="n"/>
      <c r="R479" s="11" t="n"/>
      <c r="S479" s="11" t="n"/>
      <c r="T479" s="11" t="n"/>
      <c r="U479" s="11" t="n"/>
      <c r="V479" s="10">
        <f>IF(COUNTA($C479,$D479,$J479,$M479)=0,"",IF(TRIM(IF($C479="","Falta l'actuació. ","")&amp;IF($D479="","Falta l'objectiu. ","")&amp;IF($J479="","Falta el tipus de despesa. ","")&amp;IF(AND($J479&lt;&gt;"",$J479&lt;&gt;"Mitjans propis",$J479&lt;&gt;"Altres",$M479=""),"Falta l'import. ","")&amp;IF(AND($J479="Contracte menor a càrrec del RAE",$K479=""),"Falta la partida RAE. ","")&amp;IF(AND($B479&lt;&gt;"",COUNTIF($B$6:$B$705,$B479)&gt;1),"Codi RAE repetit. ","")&amp;IF(AND($B479&lt;&gt;"",$J479&lt;&gt;"",$J479&lt;&gt;"Contracte menor a càrrec del RAE"),"Té codi RAE però no és de tipus RAE. ","")&amp;IF($N479="","Falta l'indicador del Pla. ","")&amp;IF($R479="","Falta el gestor. ","")&amp;IF($S479="","Falta indicar si és recurrent. ",""))="","✔",TRIM(IF($C479="","Falta l'actuació. ","")&amp;IF($D479="","Falta l'objectiu. ","")&amp;IF($J479="","Falta el tipus de despesa. ","")&amp;IF(AND($J479&lt;&gt;"",$J479&lt;&gt;"Mitjans propis",$J479&lt;&gt;"Altres",$M479=""),"Falta l'import. ","")&amp;IF(AND($J479="Contracte menor a càrrec del RAE",$K479=""),"Falta la partida RAE. ","")&amp;IF(AND($B479&lt;&gt;"",COUNTIF($B$6:$B$705,$B479)&gt;1),"Codi RAE repetit. ","")&amp;IF(AND($B479&lt;&gt;"",$J479&lt;&gt;"",$J479&lt;&gt;"Contracte menor a càrrec del RAE"),"Té codi RAE però no és de tipus RAE. ","")&amp;IF($N479="","Falta l'indicador del Pla. ","")&amp;IF($R479="","Falta el gestor. ","")&amp;IF($S479="","Falta indicar si és recurrent. ",""))))</f>
        <v/>
      </c>
    </row>
    <row r="480">
      <c r="A480" s="10">
        <f>IF($D480="","","27_"&amp;IFERROR(INDEX(Objectius!$E$2:$E$183,MATCH($D480,Objectius!$A$2:$A$183,0)),"??")&amp;"_"&amp;TEXT(COUNTIF($I$6:$I480,$I480),"00"))</f>
        <v/>
      </c>
      <c r="B480" s="11" t="n"/>
      <c r="C480" s="11" t="n"/>
      <c r="D480" s="11" t="n"/>
      <c r="E480" s="10">
        <f>IF($D480="","",IFERROR(INDEX(Objectius!$C$2:$C$183,MATCH($D480,Objectius!$A$2:$A$183,0)),"Objectiu no trobat al Pla"))</f>
        <v/>
      </c>
      <c r="F480" s="11" t="n"/>
      <c r="G480" s="11" t="n"/>
      <c r="H480" s="11" t="n"/>
      <c r="I480" s="10">
        <f>IF($D480="","",IFERROR(INDEX(Objectius!$D$2:$D$183,MATCH($D480,Objectius!$A$2:$A$183,0)),""))</f>
        <v/>
      </c>
      <c r="J480" s="11" t="n"/>
      <c r="K480" s="11" t="n"/>
      <c r="L480" s="11" t="n"/>
      <c r="M480" s="12" t="n"/>
      <c r="N480" s="11" t="n"/>
      <c r="O480" s="10">
        <f>IF($N480="","",IFERROR(INDEX('PLA ESTRATÈGIC'!$G$4:$G$452,MATCH($N480,'PLA ESTRATÈGIC'!$Q$4:$Q$452,0)),""))</f>
        <v/>
      </c>
      <c r="P480" s="10">
        <f>IF($N480="","",IFERROR(INDEX('PLA ESTRATÈGIC'!$H$4:$H$452,MATCH($N480,'PLA ESTRATÈGIC'!$Q$4:$Q$452,0)),""))</f>
        <v/>
      </c>
      <c r="Q480" s="13" t="n"/>
      <c r="R480" s="11" t="n"/>
      <c r="S480" s="11" t="n"/>
      <c r="T480" s="11" t="n"/>
      <c r="U480" s="11" t="n"/>
      <c r="V480" s="10">
        <f>IF(COUNTA($C480,$D480,$J480,$M480)=0,"",IF(TRIM(IF($C480="","Falta l'actuació. ","")&amp;IF($D480="","Falta l'objectiu. ","")&amp;IF($J480="","Falta el tipus de despesa. ","")&amp;IF(AND($J480&lt;&gt;"",$J480&lt;&gt;"Mitjans propis",$J480&lt;&gt;"Altres",$M480=""),"Falta l'import. ","")&amp;IF(AND($J480="Contracte menor a càrrec del RAE",$K480=""),"Falta la partida RAE. ","")&amp;IF(AND($B480&lt;&gt;"",COUNTIF($B$6:$B$705,$B480)&gt;1),"Codi RAE repetit. ","")&amp;IF(AND($B480&lt;&gt;"",$J480&lt;&gt;"",$J480&lt;&gt;"Contracte menor a càrrec del RAE"),"Té codi RAE però no és de tipus RAE. ","")&amp;IF($N480="","Falta l'indicador del Pla. ","")&amp;IF($R480="","Falta el gestor. ","")&amp;IF($S480="","Falta indicar si és recurrent. ",""))="","✔",TRIM(IF($C480="","Falta l'actuació. ","")&amp;IF($D480="","Falta l'objectiu. ","")&amp;IF($J480="","Falta el tipus de despesa. ","")&amp;IF(AND($J480&lt;&gt;"",$J480&lt;&gt;"Mitjans propis",$J480&lt;&gt;"Altres",$M480=""),"Falta l'import. ","")&amp;IF(AND($J480="Contracte menor a càrrec del RAE",$K480=""),"Falta la partida RAE. ","")&amp;IF(AND($B480&lt;&gt;"",COUNTIF($B$6:$B$705,$B480)&gt;1),"Codi RAE repetit. ","")&amp;IF(AND($B480&lt;&gt;"",$J480&lt;&gt;"",$J480&lt;&gt;"Contracte menor a càrrec del RAE"),"Té codi RAE però no és de tipus RAE. ","")&amp;IF($N480="","Falta l'indicador del Pla. ","")&amp;IF($R480="","Falta el gestor. ","")&amp;IF($S480="","Falta indicar si és recurrent. ",""))))</f>
        <v/>
      </c>
    </row>
    <row r="481">
      <c r="A481" s="10">
        <f>IF($D481="","","27_"&amp;IFERROR(INDEX(Objectius!$E$2:$E$183,MATCH($D481,Objectius!$A$2:$A$183,0)),"??")&amp;"_"&amp;TEXT(COUNTIF($I$6:$I481,$I481),"00"))</f>
        <v/>
      </c>
      <c r="B481" s="11" t="n"/>
      <c r="C481" s="11" t="n"/>
      <c r="D481" s="11" t="n"/>
      <c r="E481" s="10">
        <f>IF($D481="","",IFERROR(INDEX(Objectius!$C$2:$C$183,MATCH($D481,Objectius!$A$2:$A$183,0)),"Objectiu no trobat al Pla"))</f>
        <v/>
      </c>
      <c r="F481" s="11" t="n"/>
      <c r="G481" s="11" t="n"/>
      <c r="H481" s="11" t="n"/>
      <c r="I481" s="10">
        <f>IF($D481="","",IFERROR(INDEX(Objectius!$D$2:$D$183,MATCH($D481,Objectius!$A$2:$A$183,0)),""))</f>
        <v/>
      </c>
      <c r="J481" s="11" t="n"/>
      <c r="K481" s="11" t="n"/>
      <c r="L481" s="11" t="n"/>
      <c r="M481" s="12" t="n"/>
      <c r="N481" s="11" t="n"/>
      <c r="O481" s="10">
        <f>IF($N481="","",IFERROR(INDEX('PLA ESTRATÈGIC'!$G$4:$G$452,MATCH($N481,'PLA ESTRATÈGIC'!$Q$4:$Q$452,0)),""))</f>
        <v/>
      </c>
      <c r="P481" s="10">
        <f>IF($N481="","",IFERROR(INDEX('PLA ESTRATÈGIC'!$H$4:$H$452,MATCH($N481,'PLA ESTRATÈGIC'!$Q$4:$Q$452,0)),""))</f>
        <v/>
      </c>
      <c r="Q481" s="13" t="n"/>
      <c r="R481" s="11" t="n"/>
      <c r="S481" s="11" t="n"/>
      <c r="T481" s="11" t="n"/>
      <c r="U481" s="11" t="n"/>
      <c r="V481" s="10">
        <f>IF(COUNTA($C481,$D481,$J481,$M481)=0,"",IF(TRIM(IF($C481="","Falta l'actuació. ","")&amp;IF($D481="","Falta l'objectiu. ","")&amp;IF($J481="","Falta el tipus de despesa. ","")&amp;IF(AND($J481&lt;&gt;"",$J481&lt;&gt;"Mitjans propis",$J481&lt;&gt;"Altres",$M481=""),"Falta l'import. ","")&amp;IF(AND($J481="Contracte menor a càrrec del RAE",$K481=""),"Falta la partida RAE. ","")&amp;IF(AND($B481&lt;&gt;"",COUNTIF($B$6:$B$705,$B481)&gt;1),"Codi RAE repetit. ","")&amp;IF(AND($B481&lt;&gt;"",$J481&lt;&gt;"",$J481&lt;&gt;"Contracte menor a càrrec del RAE"),"Té codi RAE però no és de tipus RAE. ","")&amp;IF($N481="","Falta l'indicador del Pla. ","")&amp;IF($R481="","Falta el gestor. ","")&amp;IF($S481="","Falta indicar si és recurrent. ",""))="","✔",TRIM(IF($C481="","Falta l'actuació. ","")&amp;IF($D481="","Falta l'objectiu. ","")&amp;IF($J481="","Falta el tipus de despesa. ","")&amp;IF(AND($J481&lt;&gt;"",$J481&lt;&gt;"Mitjans propis",$J481&lt;&gt;"Altres",$M481=""),"Falta l'import. ","")&amp;IF(AND($J481="Contracte menor a càrrec del RAE",$K481=""),"Falta la partida RAE. ","")&amp;IF(AND($B481&lt;&gt;"",COUNTIF($B$6:$B$705,$B481)&gt;1),"Codi RAE repetit. ","")&amp;IF(AND($B481&lt;&gt;"",$J481&lt;&gt;"",$J481&lt;&gt;"Contracte menor a càrrec del RAE"),"Té codi RAE però no és de tipus RAE. ","")&amp;IF($N481="","Falta l'indicador del Pla. ","")&amp;IF($R481="","Falta el gestor. ","")&amp;IF($S481="","Falta indicar si és recurrent. ",""))))</f>
        <v/>
      </c>
    </row>
    <row r="482">
      <c r="A482" s="10">
        <f>IF($D482="","","27_"&amp;IFERROR(INDEX(Objectius!$E$2:$E$183,MATCH($D482,Objectius!$A$2:$A$183,0)),"??")&amp;"_"&amp;TEXT(COUNTIF($I$6:$I482,$I482),"00"))</f>
        <v/>
      </c>
      <c r="B482" s="11" t="n"/>
      <c r="C482" s="11" t="n"/>
      <c r="D482" s="11" t="n"/>
      <c r="E482" s="10">
        <f>IF($D482="","",IFERROR(INDEX(Objectius!$C$2:$C$183,MATCH($D482,Objectius!$A$2:$A$183,0)),"Objectiu no trobat al Pla"))</f>
        <v/>
      </c>
      <c r="F482" s="11" t="n"/>
      <c r="G482" s="11" t="n"/>
      <c r="H482" s="11" t="n"/>
      <c r="I482" s="10">
        <f>IF($D482="","",IFERROR(INDEX(Objectius!$D$2:$D$183,MATCH($D482,Objectius!$A$2:$A$183,0)),""))</f>
        <v/>
      </c>
      <c r="J482" s="11" t="n"/>
      <c r="K482" s="11" t="n"/>
      <c r="L482" s="11" t="n"/>
      <c r="M482" s="12" t="n"/>
      <c r="N482" s="11" t="n"/>
      <c r="O482" s="10">
        <f>IF($N482="","",IFERROR(INDEX('PLA ESTRATÈGIC'!$G$4:$G$452,MATCH($N482,'PLA ESTRATÈGIC'!$Q$4:$Q$452,0)),""))</f>
        <v/>
      </c>
      <c r="P482" s="10">
        <f>IF($N482="","",IFERROR(INDEX('PLA ESTRATÈGIC'!$H$4:$H$452,MATCH($N482,'PLA ESTRATÈGIC'!$Q$4:$Q$452,0)),""))</f>
        <v/>
      </c>
      <c r="Q482" s="13" t="n"/>
      <c r="R482" s="11" t="n"/>
      <c r="S482" s="11" t="n"/>
      <c r="T482" s="11" t="n"/>
      <c r="U482" s="11" t="n"/>
      <c r="V482" s="10">
        <f>IF(COUNTA($C482,$D482,$J482,$M482)=0,"",IF(TRIM(IF($C482="","Falta l'actuació. ","")&amp;IF($D482="","Falta l'objectiu. ","")&amp;IF($J482="","Falta el tipus de despesa. ","")&amp;IF(AND($J482&lt;&gt;"",$J482&lt;&gt;"Mitjans propis",$J482&lt;&gt;"Altres",$M482=""),"Falta l'import. ","")&amp;IF(AND($J482="Contracte menor a càrrec del RAE",$K482=""),"Falta la partida RAE. ","")&amp;IF(AND($B482&lt;&gt;"",COUNTIF($B$6:$B$705,$B482)&gt;1),"Codi RAE repetit. ","")&amp;IF(AND($B482&lt;&gt;"",$J482&lt;&gt;"",$J482&lt;&gt;"Contracte menor a càrrec del RAE"),"Té codi RAE però no és de tipus RAE. ","")&amp;IF($N482="","Falta l'indicador del Pla. ","")&amp;IF($R482="","Falta el gestor. ","")&amp;IF($S482="","Falta indicar si és recurrent. ",""))="","✔",TRIM(IF($C482="","Falta l'actuació. ","")&amp;IF($D482="","Falta l'objectiu. ","")&amp;IF($J482="","Falta el tipus de despesa. ","")&amp;IF(AND($J482&lt;&gt;"",$J482&lt;&gt;"Mitjans propis",$J482&lt;&gt;"Altres",$M482=""),"Falta l'import. ","")&amp;IF(AND($J482="Contracte menor a càrrec del RAE",$K482=""),"Falta la partida RAE. ","")&amp;IF(AND($B482&lt;&gt;"",COUNTIF($B$6:$B$705,$B482)&gt;1),"Codi RAE repetit. ","")&amp;IF(AND($B482&lt;&gt;"",$J482&lt;&gt;"",$J482&lt;&gt;"Contracte menor a càrrec del RAE"),"Té codi RAE però no és de tipus RAE. ","")&amp;IF($N482="","Falta l'indicador del Pla. ","")&amp;IF($R482="","Falta el gestor. ","")&amp;IF($S482="","Falta indicar si és recurrent. ",""))))</f>
        <v/>
      </c>
    </row>
    <row r="483">
      <c r="A483" s="10">
        <f>IF($D483="","","27_"&amp;IFERROR(INDEX(Objectius!$E$2:$E$183,MATCH($D483,Objectius!$A$2:$A$183,0)),"??")&amp;"_"&amp;TEXT(COUNTIF($I$6:$I483,$I483),"00"))</f>
        <v/>
      </c>
      <c r="B483" s="11" t="n"/>
      <c r="C483" s="11" t="n"/>
      <c r="D483" s="11" t="n"/>
      <c r="E483" s="10">
        <f>IF($D483="","",IFERROR(INDEX(Objectius!$C$2:$C$183,MATCH($D483,Objectius!$A$2:$A$183,0)),"Objectiu no trobat al Pla"))</f>
        <v/>
      </c>
      <c r="F483" s="11" t="n"/>
      <c r="G483" s="11" t="n"/>
      <c r="H483" s="11" t="n"/>
      <c r="I483" s="10">
        <f>IF($D483="","",IFERROR(INDEX(Objectius!$D$2:$D$183,MATCH($D483,Objectius!$A$2:$A$183,0)),""))</f>
        <v/>
      </c>
      <c r="J483" s="11" t="n"/>
      <c r="K483" s="11" t="n"/>
      <c r="L483" s="11" t="n"/>
      <c r="M483" s="12" t="n"/>
      <c r="N483" s="11" t="n"/>
      <c r="O483" s="10">
        <f>IF($N483="","",IFERROR(INDEX('PLA ESTRATÈGIC'!$G$4:$G$452,MATCH($N483,'PLA ESTRATÈGIC'!$Q$4:$Q$452,0)),""))</f>
        <v/>
      </c>
      <c r="P483" s="10">
        <f>IF($N483="","",IFERROR(INDEX('PLA ESTRATÈGIC'!$H$4:$H$452,MATCH($N483,'PLA ESTRATÈGIC'!$Q$4:$Q$452,0)),""))</f>
        <v/>
      </c>
      <c r="Q483" s="13" t="n"/>
      <c r="R483" s="11" t="n"/>
      <c r="S483" s="11" t="n"/>
      <c r="T483" s="11" t="n"/>
      <c r="U483" s="11" t="n"/>
      <c r="V483" s="10">
        <f>IF(COUNTA($C483,$D483,$J483,$M483)=0,"",IF(TRIM(IF($C483="","Falta l'actuació. ","")&amp;IF($D483="","Falta l'objectiu. ","")&amp;IF($J483="","Falta el tipus de despesa. ","")&amp;IF(AND($J483&lt;&gt;"",$J483&lt;&gt;"Mitjans propis",$J483&lt;&gt;"Altres",$M483=""),"Falta l'import. ","")&amp;IF(AND($J483="Contracte menor a càrrec del RAE",$K483=""),"Falta la partida RAE. ","")&amp;IF(AND($B483&lt;&gt;"",COUNTIF($B$6:$B$705,$B483)&gt;1),"Codi RAE repetit. ","")&amp;IF(AND($B483&lt;&gt;"",$J483&lt;&gt;"",$J483&lt;&gt;"Contracte menor a càrrec del RAE"),"Té codi RAE però no és de tipus RAE. ","")&amp;IF($N483="","Falta l'indicador del Pla. ","")&amp;IF($R483="","Falta el gestor. ","")&amp;IF($S483="","Falta indicar si és recurrent. ",""))="","✔",TRIM(IF($C483="","Falta l'actuació. ","")&amp;IF($D483="","Falta l'objectiu. ","")&amp;IF($J483="","Falta el tipus de despesa. ","")&amp;IF(AND($J483&lt;&gt;"",$J483&lt;&gt;"Mitjans propis",$J483&lt;&gt;"Altres",$M483=""),"Falta l'import. ","")&amp;IF(AND($J483="Contracte menor a càrrec del RAE",$K483=""),"Falta la partida RAE. ","")&amp;IF(AND($B483&lt;&gt;"",COUNTIF($B$6:$B$705,$B483)&gt;1),"Codi RAE repetit. ","")&amp;IF(AND($B483&lt;&gt;"",$J483&lt;&gt;"",$J483&lt;&gt;"Contracte menor a càrrec del RAE"),"Té codi RAE però no és de tipus RAE. ","")&amp;IF($N483="","Falta l'indicador del Pla. ","")&amp;IF($R483="","Falta el gestor. ","")&amp;IF($S483="","Falta indicar si és recurrent. ",""))))</f>
        <v/>
      </c>
    </row>
    <row r="484">
      <c r="A484" s="10">
        <f>IF($D484="","","27_"&amp;IFERROR(INDEX(Objectius!$E$2:$E$183,MATCH($D484,Objectius!$A$2:$A$183,0)),"??")&amp;"_"&amp;TEXT(COUNTIF($I$6:$I484,$I484),"00"))</f>
        <v/>
      </c>
      <c r="B484" s="11" t="n"/>
      <c r="C484" s="11" t="n"/>
      <c r="D484" s="11" t="n"/>
      <c r="E484" s="10">
        <f>IF($D484="","",IFERROR(INDEX(Objectius!$C$2:$C$183,MATCH($D484,Objectius!$A$2:$A$183,0)),"Objectiu no trobat al Pla"))</f>
        <v/>
      </c>
      <c r="F484" s="11" t="n"/>
      <c r="G484" s="11" t="n"/>
      <c r="H484" s="11" t="n"/>
      <c r="I484" s="10">
        <f>IF($D484="","",IFERROR(INDEX(Objectius!$D$2:$D$183,MATCH($D484,Objectius!$A$2:$A$183,0)),""))</f>
        <v/>
      </c>
      <c r="J484" s="11" t="n"/>
      <c r="K484" s="11" t="n"/>
      <c r="L484" s="11" t="n"/>
      <c r="M484" s="12" t="n"/>
      <c r="N484" s="11" t="n"/>
      <c r="O484" s="10">
        <f>IF($N484="","",IFERROR(INDEX('PLA ESTRATÈGIC'!$G$4:$G$452,MATCH($N484,'PLA ESTRATÈGIC'!$Q$4:$Q$452,0)),""))</f>
        <v/>
      </c>
      <c r="P484" s="10">
        <f>IF($N484="","",IFERROR(INDEX('PLA ESTRATÈGIC'!$H$4:$H$452,MATCH($N484,'PLA ESTRATÈGIC'!$Q$4:$Q$452,0)),""))</f>
        <v/>
      </c>
      <c r="Q484" s="13" t="n"/>
      <c r="R484" s="11" t="n"/>
      <c r="S484" s="11" t="n"/>
      <c r="T484" s="11" t="n"/>
      <c r="U484" s="11" t="n"/>
      <c r="V484" s="10">
        <f>IF(COUNTA($C484,$D484,$J484,$M484)=0,"",IF(TRIM(IF($C484="","Falta l'actuació. ","")&amp;IF($D484="","Falta l'objectiu. ","")&amp;IF($J484="","Falta el tipus de despesa. ","")&amp;IF(AND($J484&lt;&gt;"",$J484&lt;&gt;"Mitjans propis",$J484&lt;&gt;"Altres",$M484=""),"Falta l'import. ","")&amp;IF(AND($J484="Contracte menor a càrrec del RAE",$K484=""),"Falta la partida RAE. ","")&amp;IF(AND($B484&lt;&gt;"",COUNTIF($B$6:$B$705,$B484)&gt;1),"Codi RAE repetit. ","")&amp;IF(AND($B484&lt;&gt;"",$J484&lt;&gt;"",$J484&lt;&gt;"Contracte menor a càrrec del RAE"),"Té codi RAE però no és de tipus RAE. ","")&amp;IF($N484="","Falta l'indicador del Pla. ","")&amp;IF($R484="","Falta el gestor. ","")&amp;IF($S484="","Falta indicar si és recurrent. ",""))="","✔",TRIM(IF($C484="","Falta l'actuació. ","")&amp;IF($D484="","Falta l'objectiu. ","")&amp;IF($J484="","Falta el tipus de despesa. ","")&amp;IF(AND($J484&lt;&gt;"",$J484&lt;&gt;"Mitjans propis",$J484&lt;&gt;"Altres",$M484=""),"Falta l'import. ","")&amp;IF(AND($J484="Contracte menor a càrrec del RAE",$K484=""),"Falta la partida RAE. ","")&amp;IF(AND($B484&lt;&gt;"",COUNTIF($B$6:$B$705,$B484)&gt;1),"Codi RAE repetit. ","")&amp;IF(AND($B484&lt;&gt;"",$J484&lt;&gt;"",$J484&lt;&gt;"Contracte menor a càrrec del RAE"),"Té codi RAE però no és de tipus RAE. ","")&amp;IF($N484="","Falta l'indicador del Pla. ","")&amp;IF($R484="","Falta el gestor. ","")&amp;IF($S484="","Falta indicar si és recurrent. ",""))))</f>
        <v/>
      </c>
    </row>
    <row r="485">
      <c r="A485" s="10">
        <f>IF($D485="","","27_"&amp;IFERROR(INDEX(Objectius!$E$2:$E$183,MATCH($D485,Objectius!$A$2:$A$183,0)),"??")&amp;"_"&amp;TEXT(COUNTIF($I$6:$I485,$I485),"00"))</f>
        <v/>
      </c>
      <c r="B485" s="11" t="n"/>
      <c r="C485" s="11" t="n"/>
      <c r="D485" s="11" t="n"/>
      <c r="E485" s="10">
        <f>IF($D485="","",IFERROR(INDEX(Objectius!$C$2:$C$183,MATCH($D485,Objectius!$A$2:$A$183,0)),"Objectiu no trobat al Pla"))</f>
        <v/>
      </c>
      <c r="F485" s="11" t="n"/>
      <c r="G485" s="11" t="n"/>
      <c r="H485" s="11" t="n"/>
      <c r="I485" s="10">
        <f>IF($D485="","",IFERROR(INDEX(Objectius!$D$2:$D$183,MATCH($D485,Objectius!$A$2:$A$183,0)),""))</f>
        <v/>
      </c>
      <c r="J485" s="11" t="n"/>
      <c r="K485" s="11" t="n"/>
      <c r="L485" s="11" t="n"/>
      <c r="M485" s="12" t="n"/>
      <c r="N485" s="11" t="n"/>
      <c r="O485" s="10">
        <f>IF($N485="","",IFERROR(INDEX('PLA ESTRATÈGIC'!$G$4:$G$452,MATCH($N485,'PLA ESTRATÈGIC'!$Q$4:$Q$452,0)),""))</f>
        <v/>
      </c>
      <c r="P485" s="10">
        <f>IF($N485="","",IFERROR(INDEX('PLA ESTRATÈGIC'!$H$4:$H$452,MATCH($N485,'PLA ESTRATÈGIC'!$Q$4:$Q$452,0)),""))</f>
        <v/>
      </c>
      <c r="Q485" s="13" t="n"/>
      <c r="R485" s="11" t="n"/>
      <c r="S485" s="11" t="n"/>
      <c r="T485" s="11" t="n"/>
      <c r="U485" s="11" t="n"/>
      <c r="V485" s="10">
        <f>IF(COUNTA($C485,$D485,$J485,$M485)=0,"",IF(TRIM(IF($C485="","Falta l'actuació. ","")&amp;IF($D485="","Falta l'objectiu. ","")&amp;IF($J485="","Falta el tipus de despesa. ","")&amp;IF(AND($J485&lt;&gt;"",$J485&lt;&gt;"Mitjans propis",$J485&lt;&gt;"Altres",$M485=""),"Falta l'import. ","")&amp;IF(AND($J485="Contracte menor a càrrec del RAE",$K485=""),"Falta la partida RAE. ","")&amp;IF(AND($B485&lt;&gt;"",COUNTIF($B$6:$B$705,$B485)&gt;1),"Codi RAE repetit. ","")&amp;IF(AND($B485&lt;&gt;"",$J485&lt;&gt;"",$J485&lt;&gt;"Contracte menor a càrrec del RAE"),"Té codi RAE però no és de tipus RAE. ","")&amp;IF($N485="","Falta l'indicador del Pla. ","")&amp;IF($R485="","Falta el gestor. ","")&amp;IF($S485="","Falta indicar si és recurrent. ",""))="","✔",TRIM(IF($C485="","Falta l'actuació. ","")&amp;IF($D485="","Falta l'objectiu. ","")&amp;IF($J485="","Falta el tipus de despesa. ","")&amp;IF(AND($J485&lt;&gt;"",$J485&lt;&gt;"Mitjans propis",$J485&lt;&gt;"Altres",$M485=""),"Falta l'import. ","")&amp;IF(AND($J485="Contracte menor a càrrec del RAE",$K485=""),"Falta la partida RAE. ","")&amp;IF(AND($B485&lt;&gt;"",COUNTIF($B$6:$B$705,$B485)&gt;1),"Codi RAE repetit. ","")&amp;IF(AND($B485&lt;&gt;"",$J485&lt;&gt;"",$J485&lt;&gt;"Contracte menor a càrrec del RAE"),"Té codi RAE però no és de tipus RAE. ","")&amp;IF($N485="","Falta l'indicador del Pla. ","")&amp;IF($R485="","Falta el gestor. ","")&amp;IF($S485="","Falta indicar si és recurrent. ",""))))</f>
        <v/>
      </c>
    </row>
    <row r="486">
      <c r="A486" s="10">
        <f>IF($D486="","","27_"&amp;IFERROR(INDEX(Objectius!$E$2:$E$183,MATCH($D486,Objectius!$A$2:$A$183,0)),"??")&amp;"_"&amp;TEXT(COUNTIF($I$6:$I486,$I486),"00"))</f>
        <v/>
      </c>
      <c r="B486" s="11" t="n"/>
      <c r="C486" s="11" t="n"/>
      <c r="D486" s="11" t="n"/>
      <c r="E486" s="10">
        <f>IF($D486="","",IFERROR(INDEX(Objectius!$C$2:$C$183,MATCH($D486,Objectius!$A$2:$A$183,0)),"Objectiu no trobat al Pla"))</f>
        <v/>
      </c>
      <c r="F486" s="11" t="n"/>
      <c r="G486" s="11" t="n"/>
      <c r="H486" s="11" t="n"/>
      <c r="I486" s="10">
        <f>IF($D486="","",IFERROR(INDEX(Objectius!$D$2:$D$183,MATCH($D486,Objectius!$A$2:$A$183,0)),""))</f>
        <v/>
      </c>
      <c r="J486" s="11" t="n"/>
      <c r="K486" s="11" t="n"/>
      <c r="L486" s="11" t="n"/>
      <c r="M486" s="12" t="n"/>
      <c r="N486" s="11" t="n"/>
      <c r="O486" s="10">
        <f>IF($N486="","",IFERROR(INDEX('PLA ESTRATÈGIC'!$G$4:$G$452,MATCH($N486,'PLA ESTRATÈGIC'!$Q$4:$Q$452,0)),""))</f>
        <v/>
      </c>
      <c r="P486" s="10">
        <f>IF($N486="","",IFERROR(INDEX('PLA ESTRATÈGIC'!$H$4:$H$452,MATCH($N486,'PLA ESTRATÈGIC'!$Q$4:$Q$452,0)),""))</f>
        <v/>
      </c>
      <c r="Q486" s="13" t="n"/>
      <c r="R486" s="11" t="n"/>
      <c r="S486" s="11" t="n"/>
      <c r="T486" s="11" t="n"/>
      <c r="U486" s="11" t="n"/>
      <c r="V486" s="10">
        <f>IF(COUNTA($C486,$D486,$J486,$M486)=0,"",IF(TRIM(IF($C486="","Falta l'actuació. ","")&amp;IF($D486="","Falta l'objectiu. ","")&amp;IF($J486="","Falta el tipus de despesa. ","")&amp;IF(AND($J486&lt;&gt;"",$J486&lt;&gt;"Mitjans propis",$J486&lt;&gt;"Altres",$M486=""),"Falta l'import. ","")&amp;IF(AND($J486="Contracte menor a càrrec del RAE",$K486=""),"Falta la partida RAE. ","")&amp;IF(AND($B486&lt;&gt;"",COUNTIF($B$6:$B$705,$B486)&gt;1),"Codi RAE repetit. ","")&amp;IF(AND($B486&lt;&gt;"",$J486&lt;&gt;"",$J486&lt;&gt;"Contracte menor a càrrec del RAE"),"Té codi RAE però no és de tipus RAE. ","")&amp;IF($N486="","Falta l'indicador del Pla. ","")&amp;IF($R486="","Falta el gestor. ","")&amp;IF($S486="","Falta indicar si és recurrent. ",""))="","✔",TRIM(IF($C486="","Falta l'actuació. ","")&amp;IF($D486="","Falta l'objectiu. ","")&amp;IF($J486="","Falta el tipus de despesa. ","")&amp;IF(AND($J486&lt;&gt;"",$J486&lt;&gt;"Mitjans propis",$J486&lt;&gt;"Altres",$M486=""),"Falta l'import. ","")&amp;IF(AND($J486="Contracte menor a càrrec del RAE",$K486=""),"Falta la partida RAE. ","")&amp;IF(AND($B486&lt;&gt;"",COUNTIF($B$6:$B$705,$B486)&gt;1),"Codi RAE repetit. ","")&amp;IF(AND($B486&lt;&gt;"",$J486&lt;&gt;"",$J486&lt;&gt;"Contracte menor a càrrec del RAE"),"Té codi RAE però no és de tipus RAE. ","")&amp;IF($N486="","Falta l'indicador del Pla. ","")&amp;IF($R486="","Falta el gestor. ","")&amp;IF($S486="","Falta indicar si és recurrent. ",""))))</f>
        <v/>
      </c>
    </row>
    <row r="487">
      <c r="A487" s="10">
        <f>IF($D487="","","27_"&amp;IFERROR(INDEX(Objectius!$E$2:$E$183,MATCH($D487,Objectius!$A$2:$A$183,0)),"??")&amp;"_"&amp;TEXT(COUNTIF($I$6:$I487,$I487),"00"))</f>
        <v/>
      </c>
      <c r="B487" s="11" t="n"/>
      <c r="C487" s="11" t="n"/>
      <c r="D487" s="11" t="n"/>
      <c r="E487" s="10">
        <f>IF($D487="","",IFERROR(INDEX(Objectius!$C$2:$C$183,MATCH($D487,Objectius!$A$2:$A$183,0)),"Objectiu no trobat al Pla"))</f>
        <v/>
      </c>
      <c r="F487" s="11" t="n"/>
      <c r="G487" s="11" t="n"/>
      <c r="H487" s="11" t="n"/>
      <c r="I487" s="10">
        <f>IF($D487="","",IFERROR(INDEX(Objectius!$D$2:$D$183,MATCH($D487,Objectius!$A$2:$A$183,0)),""))</f>
        <v/>
      </c>
      <c r="J487" s="11" t="n"/>
      <c r="K487" s="11" t="n"/>
      <c r="L487" s="11" t="n"/>
      <c r="M487" s="12" t="n"/>
      <c r="N487" s="11" t="n"/>
      <c r="O487" s="10">
        <f>IF($N487="","",IFERROR(INDEX('PLA ESTRATÈGIC'!$G$4:$G$452,MATCH($N487,'PLA ESTRATÈGIC'!$Q$4:$Q$452,0)),""))</f>
        <v/>
      </c>
      <c r="P487" s="10">
        <f>IF($N487="","",IFERROR(INDEX('PLA ESTRATÈGIC'!$H$4:$H$452,MATCH($N487,'PLA ESTRATÈGIC'!$Q$4:$Q$452,0)),""))</f>
        <v/>
      </c>
      <c r="Q487" s="13" t="n"/>
      <c r="R487" s="11" t="n"/>
      <c r="S487" s="11" t="n"/>
      <c r="T487" s="11" t="n"/>
      <c r="U487" s="11" t="n"/>
      <c r="V487" s="10">
        <f>IF(COUNTA($C487,$D487,$J487,$M487)=0,"",IF(TRIM(IF($C487="","Falta l'actuació. ","")&amp;IF($D487="","Falta l'objectiu. ","")&amp;IF($J487="","Falta el tipus de despesa. ","")&amp;IF(AND($J487&lt;&gt;"",$J487&lt;&gt;"Mitjans propis",$J487&lt;&gt;"Altres",$M487=""),"Falta l'import. ","")&amp;IF(AND($J487="Contracte menor a càrrec del RAE",$K487=""),"Falta la partida RAE. ","")&amp;IF(AND($B487&lt;&gt;"",COUNTIF($B$6:$B$705,$B487)&gt;1),"Codi RAE repetit. ","")&amp;IF(AND($B487&lt;&gt;"",$J487&lt;&gt;"",$J487&lt;&gt;"Contracte menor a càrrec del RAE"),"Té codi RAE però no és de tipus RAE. ","")&amp;IF($N487="","Falta l'indicador del Pla. ","")&amp;IF($R487="","Falta el gestor. ","")&amp;IF($S487="","Falta indicar si és recurrent. ",""))="","✔",TRIM(IF($C487="","Falta l'actuació. ","")&amp;IF($D487="","Falta l'objectiu. ","")&amp;IF($J487="","Falta el tipus de despesa. ","")&amp;IF(AND($J487&lt;&gt;"",$J487&lt;&gt;"Mitjans propis",$J487&lt;&gt;"Altres",$M487=""),"Falta l'import. ","")&amp;IF(AND($J487="Contracte menor a càrrec del RAE",$K487=""),"Falta la partida RAE. ","")&amp;IF(AND($B487&lt;&gt;"",COUNTIF($B$6:$B$705,$B487)&gt;1),"Codi RAE repetit. ","")&amp;IF(AND($B487&lt;&gt;"",$J487&lt;&gt;"",$J487&lt;&gt;"Contracte menor a càrrec del RAE"),"Té codi RAE però no és de tipus RAE. ","")&amp;IF($N487="","Falta l'indicador del Pla. ","")&amp;IF($R487="","Falta el gestor. ","")&amp;IF($S487="","Falta indicar si és recurrent. ",""))))</f>
        <v/>
      </c>
    </row>
    <row r="488">
      <c r="A488" s="10">
        <f>IF($D488="","","27_"&amp;IFERROR(INDEX(Objectius!$E$2:$E$183,MATCH($D488,Objectius!$A$2:$A$183,0)),"??")&amp;"_"&amp;TEXT(COUNTIF($I$6:$I488,$I488),"00"))</f>
        <v/>
      </c>
      <c r="B488" s="11" t="n"/>
      <c r="C488" s="11" t="n"/>
      <c r="D488" s="11" t="n"/>
      <c r="E488" s="10">
        <f>IF($D488="","",IFERROR(INDEX(Objectius!$C$2:$C$183,MATCH($D488,Objectius!$A$2:$A$183,0)),"Objectiu no trobat al Pla"))</f>
        <v/>
      </c>
      <c r="F488" s="11" t="n"/>
      <c r="G488" s="11" t="n"/>
      <c r="H488" s="11" t="n"/>
      <c r="I488" s="10">
        <f>IF($D488="","",IFERROR(INDEX(Objectius!$D$2:$D$183,MATCH($D488,Objectius!$A$2:$A$183,0)),""))</f>
        <v/>
      </c>
      <c r="J488" s="11" t="n"/>
      <c r="K488" s="11" t="n"/>
      <c r="L488" s="11" t="n"/>
      <c r="M488" s="12" t="n"/>
      <c r="N488" s="11" t="n"/>
      <c r="O488" s="10">
        <f>IF($N488="","",IFERROR(INDEX('PLA ESTRATÈGIC'!$G$4:$G$452,MATCH($N488,'PLA ESTRATÈGIC'!$Q$4:$Q$452,0)),""))</f>
        <v/>
      </c>
      <c r="P488" s="10">
        <f>IF($N488="","",IFERROR(INDEX('PLA ESTRATÈGIC'!$H$4:$H$452,MATCH($N488,'PLA ESTRATÈGIC'!$Q$4:$Q$452,0)),""))</f>
        <v/>
      </c>
      <c r="Q488" s="13" t="n"/>
      <c r="R488" s="11" t="n"/>
      <c r="S488" s="11" t="n"/>
      <c r="T488" s="11" t="n"/>
      <c r="U488" s="11" t="n"/>
      <c r="V488" s="10">
        <f>IF(COUNTA($C488,$D488,$J488,$M488)=0,"",IF(TRIM(IF($C488="","Falta l'actuació. ","")&amp;IF($D488="","Falta l'objectiu. ","")&amp;IF($J488="","Falta el tipus de despesa. ","")&amp;IF(AND($J488&lt;&gt;"",$J488&lt;&gt;"Mitjans propis",$J488&lt;&gt;"Altres",$M488=""),"Falta l'import. ","")&amp;IF(AND($J488="Contracte menor a càrrec del RAE",$K488=""),"Falta la partida RAE. ","")&amp;IF(AND($B488&lt;&gt;"",COUNTIF($B$6:$B$705,$B488)&gt;1),"Codi RAE repetit. ","")&amp;IF(AND($B488&lt;&gt;"",$J488&lt;&gt;"",$J488&lt;&gt;"Contracte menor a càrrec del RAE"),"Té codi RAE però no és de tipus RAE. ","")&amp;IF($N488="","Falta l'indicador del Pla. ","")&amp;IF($R488="","Falta el gestor. ","")&amp;IF($S488="","Falta indicar si és recurrent. ",""))="","✔",TRIM(IF($C488="","Falta l'actuació. ","")&amp;IF($D488="","Falta l'objectiu. ","")&amp;IF($J488="","Falta el tipus de despesa. ","")&amp;IF(AND($J488&lt;&gt;"",$J488&lt;&gt;"Mitjans propis",$J488&lt;&gt;"Altres",$M488=""),"Falta l'import. ","")&amp;IF(AND($J488="Contracte menor a càrrec del RAE",$K488=""),"Falta la partida RAE. ","")&amp;IF(AND($B488&lt;&gt;"",COUNTIF($B$6:$B$705,$B488)&gt;1),"Codi RAE repetit. ","")&amp;IF(AND($B488&lt;&gt;"",$J488&lt;&gt;"",$J488&lt;&gt;"Contracte menor a càrrec del RAE"),"Té codi RAE però no és de tipus RAE. ","")&amp;IF($N488="","Falta l'indicador del Pla. ","")&amp;IF($R488="","Falta el gestor. ","")&amp;IF($S488="","Falta indicar si és recurrent. ",""))))</f>
        <v/>
      </c>
    </row>
    <row r="489">
      <c r="A489" s="10">
        <f>IF($D489="","","27_"&amp;IFERROR(INDEX(Objectius!$E$2:$E$183,MATCH($D489,Objectius!$A$2:$A$183,0)),"??")&amp;"_"&amp;TEXT(COUNTIF($I$6:$I489,$I489),"00"))</f>
        <v/>
      </c>
      <c r="B489" s="11" t="n"/>
      <c r="C489" s="11" t="n"/>
      <c r="D489" s="11" t="n"/>
      <c r="E489" s="10">
        <f>IF($D489="","",IFERROR(INDEX(Objectius!$C$2:$C$183,MATCH($D489,Objectius!$A$2:$A$183,0)),"Objectiu no trobat al Pla"))</f>
        <v/>
      </c>
      <c r="F489" s="11" t="n"/>
      <c r="G489" s="11" t="n"/>
      <c r="H489" s="11" t="n"/>
      <c r="I489" s="10">
        <f>IF($D489="","",IFERROR(INDEX(Objectius!$D$2:$D$183,MATCH($D489,Objectius!$A$2:$A$183,0)),""))</f>
        <v/>
      </c>
      <c r="J489" s="11" t="n"/>
      <c r="K489" s="11" t="n"/>
      <c r="L489" s="11" t="n"/>
      <c r="M489" s="12" t="n"/>
      <c r="N489" s="11" t="n"/>
      <c r="O489" s="10">
        <f>IF($N489="","",IFERROR(INDEX('PLA ESTRATÈGIC'!$G$4:$G$452,MATCH($N489,'PLA ESTRATÈGIC'!$Q$4:$Q$452,0)),""))</f>
        <v/>
      </c>
      <c r="P489" s="10">
        <f>IF($N489="","",IFERROR(INDEX('PLA ESTRATÈGIC'!$H$4:$H$452,MATCH($N489,'PLA ESTRATÈGIC'!$Q$4:$Q$452,0)),""))</f>
        <v/>
      </c>
      <c r="Q489" s="13" t="n"/>
      <c r="R489" s="11" t="n"/>
      <c r="S489" s="11" t="n"/>
      <c r="T489" s="11" t="n"/>
      <c r="U489" s="11" t="n"/>
      <c r="V489" s="10">
        <f>IF(COUNTA($C489,$D489,$J489,$M489)=0,"",IF(TRIM(IF($C489="","Falta l'actuació. ","")&amp;IF($D489="","Falta l'objectiu. ","")&amp;IF($J489="","Falta el tipus de despesa. ","")&amp;IF(AND($J489&lt;&gt;"",$J489&lt;&gt;"Mitjans propis",$J489&lt;&gt;"Altres",$M489=""),"Falta l'import. ","")&amp;IF(AND($J489="Contracte menor a càrrec del RAE",$K489=""),"Falta la partida RAE. ","")&amp;IF(AND($B489&lt;&gt;"",COUNTIF($B$6:$B$705,$B489)&gt;1),"Codi RAE repetit. ","")&amp;IF(AND($B489&lt;&gt;"",$J489&lt;&gt;"",$J489&lt;&gt;"Contracte menor a càrrec del RAE"),"Té codi RAE però no és de tipus RAE. ","")&amp;IF($N489="","Falta l'indicador del Pla. ","")&amp;IF($R489="","Falta el gestor. ","")&amp;IF($S489="","Falta indicar si és recurrent. ",""))="","✔",TRIM(IF($C489="","Falta l'actuació. ","")&amp;IF($D489="","Falta l'objectiu. ","")&amp;IF($J489="","Falta el tipus de despesa. ","")&amp;IF(AND($J489&lt;&gt;"",$J489&lt;&gt;"Mitjans propis",$J489&lt;&gt;"Altres",$M489=""),"Falta l'import. ","")&amp;IF(AND($J489="Contracte menor a càrrec del RAE",$K489=""),"Falta la partida RAE. ","")&amp;IF(AND($B489&lt;&gt;"",COUNTIF($B$6:$B$705,$B489)&gt;1),"Codi RAE repetit. ","")&amp;IF(AND($B489&lt;&gt;"",$J489&lt;&gt;"",$J489&lt;&gt;"Contracte menor a càrrec del RAE"),"Té codi RAE però no és de tipus RAE. ","")&amp;IF($N489="","Falta l'indicador del Pla. ","")&amp;IF($R489="","Falta el gestor. ","")&amp;IF($S489="","Falta indicar si és recurrent. ",""))))</f>
        <v/>
      </c>
    </row>
    <row r="490">
      <c r="A490" s="10">
        <f>IF($D490="","","27_"&amp;IFERROR(INDEX(Objectius!$E$2:$E$183,MATCH($D490,Objectius!$A$2:$A$183,0)),"??")&amp;"_"&amp;TEXT(COUNTIF($I$6:$I490,$I490),"00"))</f>
        <v/>
      </c>
      <c r="B490" s="11" t="n"/>
      <c r="C490" s="11" t="n"/>
      <c r="D490" s="11" t="n"/>
      <c r="E490" s="10">
        <f>IF($D490="","",IFERROR(INDEX(Objectius!$C$2:$C$183,MATCH($D490,Objectius!$A$2:$A$183,0)),"Objectiu no trobat al Pla"))</f>
        <v/>
      </c>
      <c r="F490" s="11" t="n"/>
      <c r="G490" s="11" t="n"/>
      <c r="H490" s="11" t="n"/>
      <c r="I490" s="10">
        <f>IF($D490="","",IFERROR(INDEX(Objectius!$D$2:$D$183,MATCH($D490,Objectius!$A$2:$A$183,0)),""))</f>
        <v/>
      </c>
      <c r="J490" s="11" t="n"/>
      <c r="K490" s="11" t="n"/>
      <c r="L490" s="11" t="n"/>
      <c r="M490" s="12" t="n"/>
      <c r="N490" s="11" t="n"/>
      <c r="O490" s="10">
        <f>IF($N490="","",IFERROR(INDEX('PLA ESTRATÈGIC'!$G$4:$G$452,MATCH($N490,'PLA ESTRATÈGIC'!$Q$4:$Q$452,0)),""))</f>
        <v/>
      </c>
      <c r="P490" s="10">
        <f>IF($N490="","",IFERROR(INDEX('PLA ESTRATÈGIC'!$H$4:$H$452,MATCH($N490,'PLA ESTRATÈGIC'!$Q$4:$Q$452,0)),""))</f>
        <v/>
      </c>
      <c r="Q490" s="13" t="n"/>
      <c r="R490" s="11" t="n"/>
      <c r="S490" s="11" t="n"/>
      <c r="T490" s="11" t="n"/>
      <c r="U490" s="11" t="n"/>
      <c r="V490" s="10">
        <f>IF(COUNTA($C490,$D490,$J490,$M490)=0,"",IF(TRIM(IF($C490="","Falta l'actuació. ","")&amp;IF($D490="","Falta l'objectiu. ","")&amp;IF($J490="","Falta el tipus de despesa. ","")&amp;IF(AND($J490&lt;&gt;"",$J490&lt;&gt;"Mitjans propis",$J490&lt;&gt;"Altres",$M490=""),"Falta l'import. ","")&amp;IF(AND($J490="Contracte menor a càrrec del RAE",$K490=""),"Falta la partida RAE. ","")&amp;IF(AND($B490&lt;&gt;"",COUNTIF($B$6:$B$705,$B490)&gt;1),"Codi RAE repetit. ","")&amp;IF(AND($B490&lt;&gt;"",$J490&lt;&gt;"",$J490&lt;&gt;"Contracte menor a càrrec del RAE"),"Té codi RAE però no és de tipus RAE. ","")&amp;IF($N490="","Falta l'indicador del Pla. ","")&amp;IF($R490="","Falta el gestor. ","")&amp;IF($S490="","Falta indicar si és recurrent. ",""))="","✔",TRIM(IF($C490="","Falta l'actuació. ","")&amp;IF($D490="","Falta l'objectiu. ","")&amp;IF($J490="","Falta el tipus de despesa. ","")&amp;IF(AND($J490&lt;&gt;"",$J490&lt;&gt;"Mitjans propis",$J490&lt;&gt;"Altres",$M490=""),"Falta l'import. ","")&amp;IF(AND($J490="Contracte menor a càrrec del RAE",$K490=""),"Falta la partida RAE. ","")&amp;IF(AND($B490&lt;&gt;"",COUNTIF($B$6:$B$705,$B490)&gt;1),"Codi RAE repetit. ","")&amp;IF(AND($B490&lt;&gt;"",$J490&lt;&gt;"",$J490&lt;&gt;"Contracte menor a càrrec del RAE"),"Té codi RAE però no és de tipus RAE. ","")&amp;IF($N490="","Falta l'indicador del Pla. ","")&amp;IF($R490="","Falta el gestor. ","")&amp;IF($S490="","Falta indicar si és recurrent. ",""))))</f>
        <v/>
      </c>
    </row>
    <row r="491">
      <c r="A491" s="10">
        <f>IF($D491="","","27_"&amp;IFERROR(INDEX(Objectius!$E$2:$E$183,MATCH($D491,Objectius!$A$2:$A$183,0)),"??")&amp;"_"&amp;TEXT(COUNTIF($I$6:$I491,$I491),"00"))</f>
        <v/>
      </c>
      <c r="B491" s="11" t="n"/>
      <c r="C491" s="11" t="n"/>
      <c r="D491" s="11" t="n"/>
      <c r="E491" s="10">
        <f>IF($D491="","",IFERROR(INDEX(Objectius!$C$2:$C$183,MATCH($D491,Objectius!$A$2:$A$183,0)),"Objectiu no trobat al Pla"))</f>
        <v/>
      </c>
      <c r="F491" s="11" t="n"/>
      <c r="G491" s="11" t="n"/>
      <c r="H491" s="11" t="n"/>
      <c r="I491" s="10">
        <f>IF($D491="","",IFERROR(INDEX(Objectius!$D$2:$D$183,MATCH($D491,Objectius!$A$2:$A$183,0)),""))</f>
        <v/>
      </c>
      <c r="J491" s="11" t="n"/>
      <c r="K491" s="11" t="n"/>
      <c r="L491" s="11" t="n"/>
      <c r="M491" s="12" t="n"/>
      <c r="N491" s="11" t="n"/>
      <c r="O491" s="10">
        <f>IF($N491="","",IFERROR(INDEX('PLA ESTRATÈGIC'!$G$4:$G$452,MATCH($N491,'PLA ESTRATÈGIC'!$Q$4:$Q$452,0)),""))</f>
        <v/>
      </c>
      <c r="P491" s="10">
        <f>IF($N491="","",IFERROR(INDEX('PLA ESTRATÈGIC'!$H$4:$H$452,MATCH($N491,'PLA ESTRATÈGIC'!$Q$4:$Q$452,0)),""))</f>
        <v/>
      </c>
      <c r="Q491" s="13" t="n"/>
      <c r="R491" s="11" t="n"/>
      <c r="S491" s="11" t="n"/>
      <c r="T491" s="11" t="n"/>
      <c r="U491" s="11" t="n"/>
      <c r="V491" s="10">
        <f>IF(COUNTA($C491,$D491,$J491,$M491)=0,"",IF(TRIM(IF($C491="","Falta l'actuació. ","")&amp;IF($D491="","Falta l'objectiu. ","")&amp;IF($J491="","Falta el tipus de despesa. ","")&amp;IF(AND($J491&lt;&gt;"",$J491&lt;&gt;"Mitjans propis",$J491&lt;&gt;"Altres",$M491=""),"Falta l'import. ","")&amp;IF(AND($J491="Contracte menor a càrrec del RAE",$K491=""),"Falta la partida RAE. ","")&amp;IF(AND($B491&lt;&gt;"",COUNTIF($B$6:$B$705,$B491)&gt;1),"Codi RAE repetit. ","")&amp;IF(AND($B491&lt;&gt;"",$J491&lt;&gt;"",$J491&lt;&gt;"Contracte menor a càrrec del RAE"),"Té codi RAE però no és de tipus RAE. ","")&amp;IF($N491="","Falta l'indicador del Pla. ","")&amp;IF($R491="","Falta el gestor. ","")&amp;IF($S491="","Falta indicar si és recurrent. ",""))="","✔",TRIM(IF($C491="","Falta l'actuació. ","")&amp;IF($D491="","Falta l'objectiu. ","")&amp;IF($J491="","Falta el tipus de despesa. ","")&amp;IF(AND($J491&lt;&gt;"",$J491&lt;&gt;"Mitjans propis",$J491&lt;&gt;"Altres",$M491=""),"Falta l'import. ","")&amp;IF(AND($J491="Contracte menor a càrrec del RAE",$K491=""),"Falta la partida RAE. ","")&amp;IF(AND($B491&lt;&gt;"",COUNTIF($B$6:$B$705,$B491)&gt;1),"Codi RAE repetit. ","")&amp;IF(AND($B491&lt;&gt;"",$J491&lt;&gt;"",$J491&lt;&gt;"Contracte menor a càrrec del RAE"),"Té codi RAE però no és de tipus RAE. ","")&amp;IF($N491="","Falta l'indicador del Pla. ","")&amp;IF($R491="","Falta el gestor. ","")&amp;IF($S491="","Falta indicar si és recurrent. ",""))))</f>
        <v/>
      </c>
    </row>
    <row r="492">
      <c r="A492" s="10">
        <f>IF($D492="","","27_"&amp;IFERROR(INDEX(Objectius!$E$2:$E$183,MATCH($D492,Objectius!$A$2:$A$183,0)),"??")&amp;"_"&amp;TEXT(COUNTIF($I$6:$I492,$I492),"00"))</f>
        <v/>
      </c>
      <c r="B492" s="11" t="n"/>
      <c r="C492" s="11" t="n"/>
      <c r="D492" s="11" t="n"/>
      <c r="E492" s="10">
        <f>IF($D492="","",IFERROR(INDEX(Objectius!$C$2:$C$183,MATCH($D492,Objectius!$A$2:$A$183,0)),"Objectiu no trobat al Pla"))</f>
        <v/>
      </c>
      <c r="F492" s="11" t="n"/>
      <c r="G492" s="11" t="n"/>
      <c r="H492" s="11" t="n"/>
      <c r="I492" s="10">
        <f>IF($D492="","",IFERROR(INDEX(Objectius!$D$2:$D$183,MATCH($D492,Objectius!$A$2:$A$183,0)),""))</f>
        <v/>
      </c>
      <c r="J492" s="11" t="n"/>
      <c r="K492" s="11" t="n"/>
      <c r="L492" s="11" t="n"/>
      <c r="M492" s="12" t="n"/>
      <c r="N492" s="11" t="n"/>
      <c r="O492" s="10">
        <f>IF($N492="","",IFERROR(INDEX('PLA ESTRATÈGIC'!$G$4:$G$452,MATCH($N492,'PLA ESTRATÈGIC'!$Q$4:$Q$452,0)),""))</f>
        <v/>
      </c>
      <c r="P492" s="10">
        <f>IF($N492="","",IFERROR(INDEX('PLA ESTRATÈGIC'!$H$4:$H$452,MATCH($N492,'PLA ESTRATÈGIC'!$Q$4:$Q$452,0)),""))</f>
        <v/>
      </c>
      <c r="Q492" s="13" t="n"/>
      <c r="R492" s="11" t="n"/>
      <c r="S492" s="11" t="n"/>
      <c r="T492" s="11" t="n"/>
      <c r="U492" s="11" t="n"/>
      <c r="V492" s="10">
        <f>IF(COUNTA($C492,$D492,$J492,$M492)=0,"",IF(TRIM(IF($C492="","Falta l'actuació. ","")&amp;IF($D492="","Falta l'objectiu. ","")&amp;IF($J492="","Falta el tipus de despesa. ","")&amp;IF(AND($J492&lt;&gt;"",$J492&lt;&gt;"Mitjans propis",$J492&lt;&gt;"Altres",$M492=""),"Falta l'import. ","")&amp;IF(AND($J492="Contracte menor a càrrec del RAE",$K492=""),"Falta la partida RAE. ","")&amp;IF(AND($B492&lt;&gt;"",COUNTIF($B$6:$B$705,$B492)&gt;1),"Codi RAE repetit. ","")&amp;IF(AND($B492&lt;&gt;"",$J492&lt;&gt;"",$J492&lt;&gt;"Contracte menor a càrrec del RAE"),"Té codi RAE però no és de tipus RAE. ","")&amp;IF($N492="","Falta l'indicador del Pla. ","")&amp;IF($R492="","Falta el gestor. ","")&amp;IF($S492="","Falta indicar si és recurrent. ",""))="","✔",TRIM(IF($C492="","Falta l'actuació. ","")&amp;IF($D492="","Falta l'objectiu. ","")&amp;IF($J492="","Falta el tipus de despesa. ","")&amp;IF(AND($J492&lt;&gt;"",$J492&lt;&gt;"Mitjans propis",$J492&lt;&gt;"Altres",$M492=""),"Falta l'import. ","")&amp;IF(AND($J492="Contracte menor a càrrec del RAE",$K492=""),"Falta la partida RAE. ","")&amp;IF(AND($B492&lt;&gt;"",COUNTIF($B$6:$B$705,$B492)&gt;1),"Codi RAE repetit. ","")&amp;IF(AND($B492&lt;&gt;"",$J492&lt;&gt;"",$J492&lt;&gt;"Contracte menor a càrrec del RAE"),"Té codi RAE però no és de tipus RAE. ","")&amp;IF($N492="","Falta l'indicador del Pla. ","")&amp;IF($R492="","Falta el gestor. ","")&amp;IF($S492="","Falta indicar si és recurrent. ",""))))</f>
        <v/>
      </c>
    </row>
    <row r="493">
      <c r="A493" s="10">
        <f>IF($D493="","","27_"&amp;IFERROR(INDEX(Objectius!$E$2:$E$183,MATCH($D493,Objectius!$A$2:$A$183,0)),"??")&amp;"_"&amp;TEXT(COUNTIF($I$6:$I493,$I493),"00"))</f>
        <v/>
      </c>
      <c r="B493" s="11" t="n"/>
      <c r="C493" s="11" t="n"/>
      <c r="D493" s="11" t="n"/>
      <c r="E493" s="10">
        <f>IF($D493="","",IFERROR(INDEX(Objectius!$C$2:$C$183,MATCH($D493,Objectius!$A$2:$A$183,0)),"Objectiu no trobat al Pla"))</f>
        <v/>
      </c>
      <c r="F493" s="11" t="n"/>
      <c r="G493" s="11" t="n"/>
      <c r="H493" s="11" t="n"/>
      <c r="I493" s="10">
        <f>IF($D493="","",IFERROR(INDEX(Objectius!$D$2:$D$183,MATCH($D493,Objectius!$A$2:$A$183,0)),""))</f>
        <v/>
      </c>
      <c r="J493" s="11" t="n"/>
      <c r="K493" s="11" t="n"/>
      <c r="L493" s="11" t="n"/>
      <c r="M493" s="12" t="n"/>
      <c r="N493" s="11" t="n"/>
      <c r="O493" s="10">
        <f>IF($N493="","",IFERROR(INDEX('PLA ESTRATÈGIC'!$G$4:$G$452,MATCH($N493,'PLA ESTRATÈGIC'!$Q$4:$Q$452,0)),""))</f>
        <v/>
      </c>
      <c r="P493" s="10">
        <f>IF($N493="","",IFERROR(INDEX('PLA ESTRATÈGIC'!$H$4:$H$452,MATCH($N493,'PLA ESTRATÈGIC'!$Q$4:$Q$452,0)),""))</f>
        <v/>
      </c>
      <c r="Q493" s="13" t="n"/>
      <c r="R493" s="11" t="n"/>
      <c r="S493" s="11" t="n"/>
      <c r="T493" s="11" t="n"/>
      <c r="U493" s="11" t="n"/>
      <c r="V493" s="10">
        <f>IF(COUNTA($C493,$D493,$J493,$M493)=0,"",IF(TRIM(IF($C493="","Falta l'actuació. ","")&amp;IF($D493="","Falta l'objectiu. ","")&amp;IF($J493="","Falta el tipus de despesa. ","")&amp;IF(AND($J493&lt;&gt;"",$J493&lt;&gt;"Mitjans propis",$J493&lt;&gt;"Altres",$M493=""),"Falta l'import. ","")&amp;IF(AND($J493="Contracte menor a càrrec del RAE",$K493=""),"Falta la partida RAE. ","")&amp;IF(AND($B493&lt;&gt;"",COUNTIF($B$6:$B$705,$B493)&gt;1),"Codi RAE repetit. ","")&amp;IF(AND($B493&lt;&gt;"",$J493&lt;&gt;"",$J493&lt;&gt;"Contracte menor a càrrec del RAE"),"Té codi RAE però no és de tipus RAE. ","")&amp;IF($N493="","Falta l'indicador del Pla. ","")&amp;IF($R493="","Falta el gestor. ","")&amp;IF($S493="","Falta indicar si és recurrent. ",""))="","✔",TRIM(IF($C493="","Falta l'actuació. ","")&amp;IF($D493="","Falta l'objectiu. ","")&amp;IF($J493="","Falta el tipus de despesa. ","")&amp;IF(AND($J493&lt;&gt;"",$J493&lt;&gt;"Mitjans propis",$J493&lt;&gt;"Altres",$M493=""),"Falta l'import. ","")&amp;IF(AND($J493="Contracte menor a càrrec del RAE",$K493=""),"Falta la partida RAE. ","")&amp;IF(AND($B493&lt;&gt;"",COUNTIF($B$6:$B$705,$B493)&gt;1),"Codi RAE repetit. ","")&amp;IF(AND($B493&lt;&gt;"",$J493&lt;&gt;"",$J493&lt;&gt;"Contracte menor a càrrec del RAE"),"Té codi RAE però no és de tipus RAE. ","")&amp;IF($N493="","Falta l'indicador del Pla. ","")&amp;IF($R493="","Falta el gestor. ","")&amp;IF($S493="","Falta indicar si és recurrent. ",""))))</f>
        <v/>
      </c>
    </row>
    <row r="494">
      <c r="A494" s="10">
        <f>IF($D494="","","27_"&amp;IFERROR(INDEX(Objectius!$E$2:$E$183,MATCH($D494,Objectius!$A$2:$A$183,0)),"??")&amp;"_"&amp;TEXT(COUNTIF($I$6:$I494,$I494),"00"))</f>
        <v/>
      </c>
      <c r="B494" s="11" t="n"/>
      <c r="C494" s="11" t="n"/>
      <c r="D494" s="11" t="n"/>
      <c r="E494" s="10">
        <f>IF($D494="","",IFERROR(INDEX(Objectius!$C$2:$C$183,MATCH($D494,Objectius!$A$2:$A$183,0)),"Objectiu no trobat al Pla"))</f>
        <v/>
      </c>
      <c r="F494" s="11" t="n"/>
      <c r="G494" s="11" t="n"/>
      <c r="H494" s="11" t="n"/>
      <c r="I494" s="10">
        <f>IF($D494="","",IFERROR(INDEX(Objectius!$D$2:$D$183,MATCH($D494,Objectius!$A$2:$A$183,0)),""))</f>
        <v/>
      </c>
      <c r="J494" s="11" t="n"/>
      <c r="K494" s="11" t="n"/>
      <c r="L494" s="11" t="n"/>
      <c r="M494" s="12" t="n"/>
      <c r="N494" s="11" t="n"/>
      <c r="O494" s="10">
        <f>IF($N494="","",IFERROR(INDEX('PLA ESTRATÈGIC'!$G$4:$G$452,MATCH($N494,'PLA ESTRATÈGIC'!$Q$4:$Q$452,0)),""))</f>
        <v/>
      </c>
      <c r="P494" s="10">
        <f>IF($N494="","",IFERROR(INDEX('PLA ESTRATÈGIC'!$H$4:$H$452,MATCH($N494,'PLA ESTRATÈGIC'!$Q$4:$Q$452,0)),""))</f>
        <v/>
      </c>
      <c r="Q494" s="13" t="n"/>
      <c r="R494" s="11" t="n"/>
      <c r="S494" s="11" t="n"/>
      <c r="T494" s="11" t="n"/>
      <c r="U494" s="11" t="n"/>
      <c r="V494" s="10">
        <f>IF(COUNTA($C494,$D494,$J494,$M494)=0,"",IF(TRIM(IF($C494="","Falta l'actuació. ","")&amp;IF($D494="","Falta l'objectiu. ","")&amp;IF($J494="","Falta el tipus de despesa. ","")&amp;IF(AND($J494&lt;&gt;"",$J494&lt;&gt;"Mitjans propis",$J494&lt;&gt;"Altres",$M494=""),"Falta l'import. ","")&amp;IF(AND($J494="Contracte menor a càrrec del RAE",$K494=""),"Falta la partida RAE. ","")&amp;IF(AND($B494&lt;&gt;"",COUNTIF($B$6:$B$705,$B494)&gt;1),"Codi RAE repetit. ","")&amp;IF(AND($B494&lt;&gt;"",$J494&lt;&gt;"",$J494&lt;&gt;"Contracte menor a càrrec del RAE"),"Té codi RAE però no és de tipus RAE. ","")&amp;IF($N494="","Falta l'indicador del Pla. ","")&amp;IF($R494="","Falta el gestor. ","")&amp;IF($S494="","Falta indicar si és recurrent. ",""))="","✔",TRIM(IF($C494="","Falta l'actuació. ","")&amp;IF($D494="","Falta l'objectiu. ","")&amp;IF($J494="","Falta el tipus de despesa. ","")&amp;IF(AND($J494&lt;&gt;"",$J494&lt;&gt;"Mitjans propis",$J494&lt;&gt;"Altres",$M494=""),"Falta l'import. ","")&amp;IF(AND($J494="Contracte menor a càrrec del RAE",$K494=""),"Falta la partida RAE. ","")&amp;IF(AND($B494&lt;&gt;"",COUNTIF($B$6:$B$705,$B494)&gt;1),"Codi RAE repetit. ","")&amp;IF(AND($B494&lt;&gt;"",$J494&lt;&gt;"",$J494&lt;&gt;"Contracte menor a càrrec del RAE"),"Té codi RAE però no és de tipus RAE. ","")&amp;IF($N494="","Falta l'indicador del Pla. ","")&amp;IF($R494="","Falta el gestor. ","")&amp;IF($S494="","Falta indicar si és recurrent. ",""))))</f>
        <v/>
      </c>
    </row>
    <row r="495">
      <c r="A495" s="10">
        <f>IF($D495="","","27_"&amp;IFERROR(INDEX(Objectius!$E$2:$E$183,MATCH($D495,Objectius!$A$2:$A$183,0)),"??")&amp;"_"&amp;TEXT(COUNTIF($I$6:$I495,$I495),"00"))</f>
        <v/>
      </c>
      <c r="B495" s="11" t="n"/>
      <c r="C495" s="11" t="n"/>
      <c r="D495" s="11" t="n"/>
      <c r="E495" s="10">
        <f>IF($D495="","",IFERROR(INDEX(Objectius!$C$2:$C$183,MATCH($D495,Objectius!$A$2:$A$183,0)),"Objectiu no trobat al Pla"))</f>
        <v/>
      </c>
      <c r="F495" s="11" t="n"/>
      <c r="G495" s="11" t="n"/>
      <c r="H495" s="11" t="n"/>
      <c r="I495" s="10">
        <f>IF($D495="","",IFERROR(INDEX(Objectius!$D$2:$D$183,MATCH($D495,Objectius!$A$2:$A$183,0)),""))</f>
        <v/>
      </c>
      <c r="J495" s="11" t="n"/>
      <c r="K495" s="11" t="n"/>
      <c r="L495" s="11" t="n"/>
      <c r="M495" s="12" t="n"/>
      <c r="N495" s="11" t="n"/>
      <c r="O495" s="10">
        <f>IF($N495="","",IFERROR(INDEX('PLA ESTRATÈGIC'!$G$4:$G$452,MATCH($N495,'PLA ESTRATÈGIC'!$Q$4:$Q$452,0)),""))</f>
        <v/>
      </c>
      <c r="P495" s="10">
        <f>IF($N495="","",IFERROR(INDEX('PLA ESTRATÈGIC'!$H$4:$H$452,MATCH($N495,'PLA ESTRATÈGIC'!$Q$4:$Q$452,0)),""))</f>
        <v/>
      </c>
      <c r="Q495" s="13" t="n"/>
      <c r="R495" s="11" t="n"/>
      <c r="S495" s="11" t="n"/>
      <c r="T495" s="11" t="n"/>
      <c r="U495" s="11" t="n"/>
      <c r="V495" s="10">
        <f>IF(COUNTA($C495,$D495,$J495,$M495)=0,"",IF(TRIM(IF($C495="","Falta l'actuació. ","")&amp;IF($D495="","Falta l'objectiu. ","")&amp;IF($J495="","Falta el tipus de despesa. ","")&amp;IF(AND($J495&lt;&gt;"",$J495&lt;&gt;"Mitjans propis",$J495&lt;&gt;"Altres",$M495=""),"Falta l'import. ","")&amp;IF(AND($J495="Contracte menor a càrrec del RAE",$K495=""),"Falta la partida RAE. ","")&amp;IF(AND($B495&lt;&gt;"",COUNTIF($B$6:$B$705,$B495)&gt;1),"Codi RAE repetit. ","")&amp;IF(AND($B495&lt;&gt;"",$J495&lt;&gt;"",$J495&lt;&gt;"Contracte menor a càrrec del RAE"),"Té codi RAE però no és de tipus RAE. ","")&amp;IF($N495="","Falta l'indicador del Pla. ","")&amp;IF($R495="","Falta el gestor. ","")&amp;IF($S495="","Falta indicar si és recurrent. ",""))="","✔",TRIM(IF($C495="","Falta l'actuació. ","")&amp;IF($D495="","Falta l'objectiu. ","")&amp;IF($J495="","Falta el tipus de despesa. ","")&amp;IF(AND($J495&lt;&gt;"",$J495&lt;&gt;"Mitjans propis",$J495&lt;&gt;"Altres",$M495=""),"Falta l'import. ","")&amp;IF(AND($J495="Contracte menor a càrrec del RAE",$K495=""),"Falta la partida RAE. ","")&amp;IF(AND($B495&lt;&gt;"",COUNTIF($B$6:$B$705,$B495)&gt;1),"Codi RAE repetit. ","")&amp;IF(AND($B495&lt;&gt;"",$J495&lt;&gt;"",$J495&lt;&gt;"Contracte menor a càrrec del RAE"),"Té codi RAE però no és de tipus RAE. ","")&amp;IF($N495="","Falta l'indicador del Pla. ","")&amp;IF($R495="","Falta el gestor. ","")&amp;IF($S495="","Falta indicar si és recurrent. ",""))))</f>
        <v/>
      </c>
    </row>
    <row r="496">
      <c r="A496" s="10">
        <f>IF($D496="","","27_"&amp;IFERROR(INDEX(Objectius!$E$2:$E$183,MATCH($D496,Objectius!$A$2:$A$183,0)),"??")&amp;"_"&amp;TEXT(COUNTIF($I$6:$I496,$I496),"00"))</f>
        <v/>
      </c>
      <c r="B496" s="11" t="n"/>
      <c r="C496" s="11" t="n"/>
      <c r="D496" s="11" t="n"/>
      <c r="E496" s="10">
        <f>IF($D496="","",IFERROR(INDEX(Objectius!$C$2:$C$183,MATCH($D496,Objectius!$A$2:$A$183,0)),"Objectiu no trobat al Pla"))</f>
        <v/>
      </c>
      <c r="F496" s="11" t="n"/>
      <c r="G496" s="11" t="n"/>
      <c r="H496" s="11" t="n"/>
      <c r="I496" s="10">
        <f>IF($D496="","",IFERROR(INDEX(Objectius!$D$2:$D$183,MATCH($D496,Objectius!$A$2:$A$183,0)),""))</f>
        <v/>
      </c>
      <c r="J496" s="11" t="n"/>
      <c r="K496" s="11" t="n"/>
      <c r="L496" s="11" t="n"/>
      <c r="M496" s="12" t="n"/>
      <c r="N496" s="11" t="n"/>
      <c r="O496" s="10">
        <f>IF($N496="","",IFERROR(INDEX('PLA ESTRATÈGIC'!$G$4:$G$452,MATCH($N496,'PLA ESTRATÈGIC'!$Q$4:$Q$452,0)),""))</f>
        <v/>
      </c>
      <c r="P496" s="10">
        <f>IF($N496="","",IFERROR(INDEX('PLA ESTRATÈGIC'!$H$4:$H$452,MATCH($N496,'PLA ESTRATÈGIC'!$Q$4:$Q$452,0)),""))</f>
        <v/>
      </c>
      <c r="Q496" s="13" t="n"/>
      <c r="R496" s="11" t="n"/>
      <c r="S496" s="11" t="n"/>
      <c r="T496" s="11" t="n"/>
      <c r="U496" s="11" t="n"/>
      <c r="V496" s="10">
        <f>IF(COUNTA($C496,$D496,$J496,$M496)=0,"",IF(TRIM(IF($C496="","Falta l'actuació. ","")&amp;IF($D496="","Falta l'objectiu. ","")&amp;IF($J496="","Falta el tipus de despesa. ","")&amp;IF(AND($J496&lt;&gt;"",$J496&lt;&gt;"Mitjans propis",$J496&lt;&gt;"Altres",$M496=""),"Falta l'import. ","")&amp;IF(AND($J496="Contracte menor a càrrec del RAE",$K496=""),"Falta la partida RAE. ","")&amp;IF(AND($B496&lt;&gt;"",COUNTIF($B$6:$B$705,$B496)&gt;1),"Codi RAE repetit. ","")&amp;IF(AND($B496&lt;&gt;"",$J496&lt;&gt;"",$J496&lt;&gt;"Contracte menor a càrrec del RAE"),"Té codi RAE però no és de tipus RAE. ","")&amp;IF($N496="","Falta l'indicador del Pla. ","")&amp;IF($R496="","Falta el gestor. ","")&amp;IF($S496="","Falta indicar si és recurrent. ",""))="","✔",TRIM(IF($C496="","Falta l'actuació. ","")&amp;IF($D496="","Falta l'objectiu. ","")&amp;IF($J496="","Falta el tipus de despesa. ","")&amp;IF(AND($J496&lt;&gt;"",$J496&lt;&gt;"Mitjans propis",$J496&lt;&gt;"Altres",$M496=""),"Falta l'import. ","")&amp;IF(AND($J496="Contracte menor a càrrec del RAE",$K496=""),"Falta la partida RAE. ","")&amp;IF(AND($B496&lt;&gt;"",COUNTIF($B$6:$B$705,$B496)&gt;1),"Codi RAE repetit. ","")&amp;IF(AND($B496&lt;&gt;"",$J496&lt;&gt;"",$J496&lt;&gt;"Contracte menor a càrrec del RAE"),"Té codi RAE però no és de tipus RAE. ","")&amp;IF($N496="","Falta l'indicador del Pla. ","")&amp;IF($R496="","Falta el gestor. ","")&amp;IF($S496="","Falta indicar si és recurrent. ",""))))</f>
        <v/>
      </c>
    </row>
    <row r="497">
      <c r="A497" s="10">
        <f>IF($D497="","","27_"&amp;IFERROR(INDEX(Objectius!$E$2:$E$183,MATCH($D497,Objectius!$A$2:$A$183,0)),"??")&amp;"_"&amp;TEXT(COUNTIF($I$6:$I497,$I497),"00"))</f>
        <v/>
      </c>
      <c r="B497" s="11" t="n"/>
      <c r="C497" s="11" t="n"/>
      <c r="D497" s="11" t="n"/>
      <c r="E497" s="10">
        <f>IF($D497="","",IFERROR(INDEX(Objectius!$C$2:$C$183,MATCH($D497,Objectius!$A$2:$A$183,0)),"Objectiu no trobat al Pla"))</f>
        <v/>
      </c>
      <c r="F497" s="11" t="n"/>
      <c r="G497" s="11" t="n"/>
      <c r="H497" s="11" t="n"/>
      <c r="I497" s="10">
        <f>IF($D497="","",IFERROR(INDEX(Objectius!$D$2:$D$183,MATCH($D497,Objectius!$A$2:$A$183,0)),""))</f>
        <v/>
      </c>
      <c r="J497" s="11" t="n"/>
      <c r="K497" s="11" t="n"/>
      <c r="L497" s="11" t="n"/>
      <c r="M497" s="12" t="n"/>
      <c r="N497" s="11" t="n"/>
      <c r="O497" s="10">
        <f>IF($N497="","",IFERROR(INDEX('PLA ESTRATÈGIC'!$G$4:$G$452,MATCH($N497,'PLA ESTRATÈGIC'!$Q$4:$Q$452,0)),""))</f>
        <v/>
      </c>
      <c r="P497" s="10">
        <f>IF($N497="","",IFERROR(INDEX('PLA ESTRATÈGIC'!$H$4:$H$452,MATCH($N497,'PLA ESTRATÈGIC'!$Q$4:$Q$452,0)),""))</f>
        <v/>
      </c>
      <c r="Q497" s="13" t="n"/>
      <c r="R497" s="11" t="n"/>
      <c r="S497" s="11" t="n"/>
      <c r="T497" s="11" t="n"/>
      <c r="U497" s="11" t="n"/>
      <c r="V497" s="10">
        <f>IF(COUNTA($C497,$D497,$J497,$M497)=0,"",IF(TRIM(IF($C497="","Falta l'actuació. ","")&amp;IF($D497="","Falta l'objectiu. ","")&amp;IF($J497="","Falta el tipus de despesa. ","")&amp;IF(AND($J497&lt;&gt;"",$J497&lt;&gt;"Mitjans propis",$J497&lt;&gt;"Altres",$M497=""),"Falta l'import. ","")&amp;IF(AND($J497="Contracte menor a càrrec del RAE",$K497=""),"Falta la partida RAE. ","")&amp;IF(AND($B497&lt;&gt;"",COUNTIF($B$6:$B$705,$B497)&gt;1),"Codi RAE repetit. ","")&amp;IF(AND($B497&lt;&gt;"",$J497&lt;&gt;"",$J497&lt;&gt;"Contracte menor a càrrec del RAE"),"Té codi RAE però no és de tipus RAE. ","")&amp;IF($N497="","Falta l'indicador del Pla. ","")&amp;IF($R497="","Falta el gestor. ","")&amp;IF($S497="","Falta indicar si és recurrent. ",""))="","✔",TRIM(IF($C497="","Falta l'actuació. ","")&amp;IF($D497="","Falta l'objectiu. ","")&amp;IF($J497="","Falta el tipus de despesa. ","")&amp;IF(AND($J497&lt;&gt;"",$J497&lt;&gt;"Mitjans propis",$J497&lt;&gt;"Altres",$M497=""),"Falta l'import. ","")&amp;IF(AND($J497="Contracte menor a càrrec del RAE",$K497=""),"Falta la partida RAE. ","")&amp;IF(AND($B497&lt;&gt;"",COUNTIF($B$6:$B$705,$B497)&gt;1),"Codi RAE repetit. ","")&amp;IF(AND($B497&lt;&gt;"",$J497&lt;&gt;"",$J497&lt;&gt;"Contracte menor a càrrec del RAE"),"Té codi RAE però no és de tipus RAE. ","")&amp;IF($N497="","Falta l'indicador del Pla. ","")&amp;IF($R497="","Falta el gestor. ","")&amp;IF($S497="","Falta indicar si és recurrent. ",""))))</f>
        <v/>
      </c>
    </row>
    <row r="498">
      <c r="A498" s="10">
        <f>IF($D498="","","27_"&amp;IFERROR(INDEX(Objectius!$E$2:$E$183,MATCH($D498,Objectius!$A$2:$A$183,0)),"??")&amp;"_"&amp;TEXT(COUNTIF($I$6:$I498,$I498),"00"))</f>
        <v/>
      </c>
      <c r="B498" s="11" t="n"/>
      <c r="C498" s="11" t="n"/>
      <c r="D498" s="11" t="n"/>
      <c r="E498" s="10">
        <f>IF($D498="","",IFERROR(INDEX(Objectius!$C$2:$C$183,MATCH($D498,Objectius!$A$2:$A$183,0)),"Objectiu no trobat al Pla"))</f>
        <v/>
      </c>
      <c r="F498" s="11" t="n"/>
      <c r="G498" s="11" t="n"/>
      <c r="H498" s="11" t="n"/>
      <c r="I498" s="10">
        <f>IF($D498="","",IFERROR(INDEX(Objectius!$D$2:$D$183,MATCH($D498,Objectius!$A$2:$A$183,0)),""))</f>
        <v/>
      </c>
      <c r="J498" s="11" t="n"/>
      <c r="K498" s="11" t="n"/>
      <c r="L498" s="11" t="n"/>
      <c r="M498" s="12" t="n"/>
      <c r="N498" s="11" t="n"/>
      <c r="O498" s="10">
        <f>IF($N498="","",IFERROR(INDEX('PLA ESTRATÈGIC'!$G$4:$G$452,MATCH($N498,'PLA ESTRATÈGIC'!$Q$4:$Q$452,0)),""))</f>
        <v/>
      </c>
      <c r="P498" s="10">
        <f>IF($N498="","",IFERROR(INDEX('PLA ESTRATÈGIC'!$H$4:$H$452,MATCH($N498,'PLA ESTRATÈGIC'!$Q$4:$Q$452,0)),""))</f>
        <v/>
      </c>
      <c r="Q498" s="13" t="n"/>
      <c r="R498" s="11" t="n"/>
      <c r="S498" s="11" t="n"/>
      <c r="T498" s="11" t="n"/>
      <c r="U498" s="11" t="n"/>
      <c r="V498" s="10">
        <f>IF(COUNTA($C498,$D498,$J498,$M498)=0,"",IF(TRIM(IF($C498="","Falta l'actuació. ","")&amp;IF($D498="","Falta l'objectiu. ","")&amp;IF($J498="","Falta el tipus de despesa. ","")&amp;IF(AND($J498&lt;&gt;"",$J498&lt;&gt;"Mitjans propis",$J498&lt;&gt;"Altres",$M498=""),"Falta l'import. ","")&amp;IF(AND($J498="Contracte menor a càrrec del RAE",$K498=""),"Falta la partida RAE. ","")&amp;IF(AND($B498&lt;&gt;"",COUNTIF($B$6:$B$705,$B498)&gt;1),"Codi RAE repetit. ","")&amp;IF(AND($B498&lt;&gt;"",$J498&lt;&gt;"",$J498&lt;&gt;"Contracte menor a càrrec del RAE"),"Té codi RAE però no és de tipus RAE. ","")&amp;IF($N498="","Falta l'indicador del Pla. ","")&amp;IF($R498="","Falta el gestor. ","")&amp;IF($S498="","Falta indicar si és recurrent. ",""))="","✔",TRIM(IF($C498="","Falta l'actuació. ","")&amp;IF($D498="","Falta l'objectiu. ","")&amp;IF($J498="","Falta el tipus de despesa. ","")&amp;IF(AND($J498&lt;&gt;"",$J498&lt;&gt;"Mitjans propis",$J498&lt;&gt;"Altres",$M498=""),"Falta l'import. ","")&amp;IF(AND($J498="Contracte menor a càrrec del RAE",$K498=""),"Falta la partida RAE. ","")&amp;IF(AND($B498&lt;&gt;"",COUNTIF($B$6:$B$705,$B498)&gt;1),"Codi RAE repetit. ","")&amp;IF(AND($B498&lt;&gt;"",$J498&lt;&gt;"",$J498&lt;&gt;"Contracte menor a càrrec del RAE"),"Té codi RAE però no és de tipus RAE. ","")&amp;IF($N498="","Falta l'indicador del Pla. ","")&amp;IF($R498="","Falta el gestor. ","")&amp;IF($S498="","Falta indicar si és recurrent. ",""))))</f>
        <v/>
      </c>
    </row>
    <row r="499">
      <c r="A499" s="10">
        <f>IF($D499="","","27_"&amp;IFERROR(INDEX(Objectius!$E$2:$E$183,MATCH($D499,Objectius!$A$2:$A$183,0)),"??")&amp;"_"&amp;TEXT(COUNTIF($I$6:$I499,$I499),"00"))</f>
        <v/>
      </c>
      <c r="B499" s="11" t="n"/>
      <c r="C499" s="11" t="n"/>
      <c r="D499" s="11" t="n"/>
      <c r="E499" s="10">
        <f>IF($D499="","",IFERROR(INDEX(Objectius!$C$2:$C$183,MATCH($D499,Objectius!$A$2:$A$183,0)),"Objectiu no trobat al Pla"))</f>
        <v/>
      </c>
      <c r="F499" s="11" t="n"/>
      <c r="G499" s="11" t="n"/>
      <c r="H499" s="11" t="n"/>
      <c r="I499" s="10">
        <f>IF($D499="","",IFERROR(INDEX(Objectius!$D$2:$D$183,MATCH($D499,Objectius!$A$2:$A$183,0)),""))</f>
        <v/>
      </c>
      <c r="J499" s="11" t="n"/>
      <c r="K499" s="11" t="n"/>
      <c r="L499" s="11" t="n"/>
      <c r="M499" s="12" t="n"/>
      <c r="N499" s="11" t="n"/>
      <c r="O499" s="10">
        <f>IF($N499="","",IFERROR(INDEX('PLA ESTRATÈGIC'!$G$4:$G$452,MATCH($N499,'PLA ESTRATÈGIC'!$Q$4:$Q$452,0)),""))</f>
        <v/>
      </c>
      <c r="P499" s="10">
        <f>IF($N499="","",IFERROR(INDEX('PLA ESTRATÈGIC'!$H$4:$H$452,MATCH($N499,'PLA ESTRATÈGIC'!$Q$4:$Q$452,0)),""))</f>
        <v/>
      </c>
      <c r="Q499" s="13" t="n"/>
      <c r="R499" s="11" t="n"/>
      <c r="S499" s="11" t="n"/>
      <c r="T499" s="11" t="n"/>
      <c r="U499" s="11" t="n"/>
      <c r="V499" s="10">
        <f>IF(COUNTA($C499,$D499,$J499,$M499)=0,"",IF(TRIM(IF($C499="","Falta l'actuació. ","")&amp;IF($D499="","Falta l'objectiu. ","")&amp;IF($J499="","Falta el tipus de despesa. ","")&amp;IF(AND($J499&lt;&gt;"",$J499&lt;&gt;"Mitjans propis",$J499&lt;&gt;"Altres",$M499=""),"Falta l'import. ","")&amp;IF(AND($J499="Contracte menor a càrrec del RAE",$K499=""),"Falta la partida RAE. ","")&amp;IF(AND($B499&lt;&gt;"",COUNTIF($B$6:$B$705,$B499)&gt;1),"Codi RAE repetit. ","")&amp;IF(AND($B499&lt;&gt;"",$J499&lt;&gt;"",$J499&lt;&gt;"Contracte menor a càrrec del RAE"),"Té codi RAE però no és de tipus RAE. ","")&amp;IF($N499="","Falta l'indicador del Pla. ","")&amp;IF($R499="","Falta el gestor. ","")&amp;IF($S499="","Falta indicar si és recurrent. ",""))="","✔",TRIM(IF($C499="","Falta l'actuació. ","")&amp;IF($D499="","Falta l'objectiu. ","")&amp;IF($J499="","Falta el tipus de despesa. ","")&amp;IF(AND($J499&lt;&gt;"",$J499&lt;&gt;"Mitjans propis",$J499&lt;&gt;"Altres",$M499=""),"Falta l'import. ","")&amp;IF(AND($J499="Contracte menor a càrrec del RAE",$K499=""),"Falta la partida RAE. ","")&amp;IF(AND($B499&lt;&gt;"",COUNTIF($B$6:$B$705,$B499)&gt;1),"Codi RAE repetit. ","")&amp;IF(AND($B499&lt;&gt;"",$J499&lt;&gt;"",$J499&lt;&gt;"Contracte menor a càrrec del RAE"),"Té codi RAE però no és de tipus RAE. ","")&amp;IF($N499="","Falta l'indicador del Pla. ","")&amp;IF($R499="","Falta el gestor. ","")&amp;IF($S499="","Falta indicar si és recurrent. ",""))))</f>
        <v/>
      </c>
    </row>
    <row r="500">
      <c r="A500" s="10">
        <f>IF($D500="","","27_"&amp;IFERROR(INDEX(Objectius!$E$2:$E$183,MATCH($D500,Objectius!$A$2:$A$183,0)),"??")&amp;"_"&amp;TEXT(COUNTIF($I$6:$I500,$I500),"00"))</f>
        <v/>
      </c>
      <c r="B500" s="11" t="n"/>
      <c r="C500" s="11" t="n"/>
      <c r="D500" s="11" t="n"/>
      <c r="E500" s="10">
        <f>IF($D500="","",IFERROR(INDEX(Objectius!$C$2:$C$183,MATCH($D500,Objectius!$A$2:$A$183,0)),"Objectiu no trobat al Pla"))</f>
        <v/>
      </c>
      <c r="F500" s="11" t="n"/>
      <c r="G500" s="11" t="n"/>
      <c r="H500" s="11" t="n"/>
      <c r="I500" s="10">
        <f>IF($D500="","",IFERROR(INDEX(Objectius!$D$2:$D$183,MATCH($D500,Objectius!$A$2:$A$183,0)),""))</f>
        <v/>
      </c>
      <c r="J500" s="11" t="n"/>
      <c r="K500" s="11" t="n"/>
      <c r="L500" s="11" t="n"/>
      <c r="M500" s="12" t="n"/>
      <c r="N500" s="11" t="n"/>
      <c r="O500" s="10">
        <f>IF($N500="","",IFERROR(INDEX('PLA ESTRATÈGIC'!$G$4:$G$452,MATCH($N500,'PLA ESTRATÈGIC'!$Q$4:$Q$452,0)),""))</f>
        <v/>
      </c>
      <c r="P500" s="10">
        <f>IF($N500="","",IFERROR(INDEX('PLA ESTRATÈGIC'!$H$4:$H$452,MATCH($N500,'PLA ESTRATÈGIC'!$Q$4:$Q$452,0)),""))</f>
        <v/>
      </c>
      <c r="Q500" s="13" t="n"/>
      <c r="R500" s="11" t="n"/>
      <c r="S500" s="11" t="n"/>
      <c r="T500" s="11" t="n"/>
      <c r="U500" s="11" t="n"/>
      <c r="V500" s="10">
        <f>IF(COUNTA($C500,$D500,$J500,$M500)=0,"",IF(TRIM(IF($C500="","Falta l'actuació. ","")&amp;IF($D500="","Falta l'objectiu. ","")&amp;IF($J500="","Falta el tipus de despesa. ","")&amp;IF(AND($J500&lt;&gt;"",$J500&lt;&gt;"Mitjans propis",$J500&lt;&gt;"Altres",$M500=""),"Falta l'import. ","")&amp;IF(AND($J500="Contracte menor a càrrec del RAE",$K500=""),"Falta la partida RAE. ","")&amp;IF(AND($B500&lt;&gt;"",COUNTIF($B$6:$B$705,$B500)&gt;1),"Codi RAE repetit. ","")&amp;IF(AND($B500&lt;&gt;"",$J500&lt;&gt;"",$J500&lt;&gt;"Contracte menor a càrrec del RAE"),"Té codi RAE però no és de tipus RAE. ","")&amp;IF($N500="","Falta l'indicador del Pla. ","")&amp;IF($R500="","Falta el gestor. ","")&amp;IF($S500="","Falta indicar si és recurrent. ",""))="","✔",TRIM(IF($C500="","Falta l'actuació. ","")&amp;IF($D500="","Falta l'objectiu. ","")&amp;IF($J500="","Falta el tipus de despesa. ","")&amp;IF(AND($J500&lt;&gt;"",$J500&lt;&gt;"Mitjans propis",$J500&lt;&gt;"Altres",$M500=""),"Falta l'import. ","")&amp;IF(AND($J500="Contracte menor a càrrec del RAE",$K500=""),"Falta la partida RAE. ","")&amp;IF(AND($B500&lt;&gt;"",COUNTIF($B$6:$B$705,$B500)&gt;1),"Codi RAE repetit. ","")&amp;IF(AND($B500&lt;&gt;"",$J500&lt;&gt;"",$J500&lt;&gt;"Contracte menor a càrrec del RAE"),"Té codi RAE però no és de tipus RAE. ","")&amp;IF($N500="","Falta l'indicador del Pla. ","")&amp;IF($R500="","Falta el gestor. ","")&amp;IF($S500="","Falta indicar si és recurrent. ",""))))</f>
        <v/>
      </c>
    </row>
    <row r="501">
      <c r="A501" s="10">
        <f>IF($D501="","","27_"&amp;IFERROR(INDEX(Objectius!$E$2:$E$183,MATCH($D501,Objectius!$A$2:$A$183,0)),"??")&amp;"_"&amp;TEXT(COUNTIF($I$6:$I501,$I501),"00"))</f>
        <v/>
      </c>
      <c r="B501" s="11" t="n"/>
      <c r="C501" s="11" t="n"/>
      <c r="D501" s="11" t="n"/>
      <c r="E501" s="10">
        <f>IF($D501="","",IFERROR(INDEX(Objectius!$C$2:$C$183,MATCH($D501,Objectius!$A$2:$A$183,0)),"Objectiu no trobat al Pla"))</f>
        <v/>
      </c>
      <c r="F501" s="11" t="n"/>
      <c r="G501" s="11" t="n"/>
      <c r="H501" s="11" t="n"/>
      <c r="I501" s="10">
        <f>IF($D501="","",IFERROR(INDEX(Objectius!$D$2:$D$183,MATCH($D501,Objectius!$A$2:$A$183,0)),""))</f>
        <v/>
      </c>
      <c r="J501" s="11" t="n"/>
      <c r="K501" s="11" t="n"/>
      <c r="L501" s="11" t="n"/>
      <c r="M501" s="12" t="n"/>
      <c r="N501" s="11" t="n"/>
      <c r="O501" s="10">
        <f>IF($N501="","",IFERROR(INDEX('PLA ESTRATÈGIC'!$G$4:$G$452,MATCH($N501,'PLA ESTRATÈGIC'!$Q$4:$Q$452,0)),""))</f>
        <v/>
      </c>
      <c r="P501" s="10">
        <f>IF($N501="","",IFERROR(INDEX('PLA ESTRATÈGIC'!$H$4:$H$452,MATCH($N501,'PLA ESTRATÈGIC'!$Q$4:$Q$452,0)),""))</f>
        <v/>
      </c>
      <c r="Q501" s="13" t="n"/>
      <c r="R501" s="11" t="n"/>
      <c r="S501" s="11" t="n"/>
      <c r="T501" s="11" t="n"/>
      <c r="U501" s="11" t="n"/>
      <c r="V501" s="10">
        <f>IF(COUNTA($C501,$D501,$J501,$M501)=0,"",IF(TRIM(IF($C501="","Falta l'actuació. ","")&amp;IF($D501="","Falta l'objectiu. ","")&amp;IF($J501="","Falta el tipus de despesa. ","")&amp;IF(AND($J501&lt;&gt;"",$J501&lt;&gt;"Mitjans propis",$J501&lt;&gt;"Altres",$M501=""),"Falta l'import. ","")&amp;IF(AND($J501="Contracte menor a càrrec del RAE",$K501=""),"Falta la partida RAE. ","")&amp;IF(AND($B501&lt;&gt;"",COUNTIF($B$6:$B$705,$B501)&gt;1),"Codi RAE repetit. ","")&amp;IF(AND($B501&lt;&gt;"",$J501&lt;&gt;"",$J501&lt;&gt;"Contracte menor a càrrec del RAE"),"Té codi RAE però no és de tipus RAE. ","")&amp;IF($N501="","Falta l'indicador del Pla. ","")&amp;IF($R501="","Falta el gestor. ","")&amp;IF($S501="","Falta indicar si és recurrent. ",""))="","✔",TRIM(IF($C501="","Falta l'actuació. ","")&amp;IF($D501="","Falta l'objectiu. ","")&amp;IF($J501="","Falta el tipus de despesa. ","")&amp;IF(AND($J501&lt;&gt;"",$J501&lt;&gt;"Mitjans propis",$J501&lt;&gt;"Altres",$M501=""),"Falta l'import. ","")&amp;IF(AND($J501="Contracte menor a càrrec del RAE",$K501=""),"Falta la partida RAE. ","")&amp;IF(AND($B501&lt;&gt;"",COUNTIF($B$6:$B$705,$B501)&gt;1),"Codi RAE repetit. ","")&amp;IF(AND($B501&lt;&gt;"",$J501&lt;&gt;"",$J501&lt;&gt;"Contracte menor a càrrec del RAE"),"Té codi RAE però no és de tipus RAE. ","")&amp;IF($N501="","Falta l'indicador del Pla. ","")&amp;IF($R501="","Falta el gestor. ","")&amp;IF($S501="","Falta indicar si és recurrent. ",""))))</f>
        <v/>
      </c>
    </row>
    <row r="502">
      <c r="A502" s="10">
        <f>IF($D502="","","27_"&amp;IFERROR(INDEX(Objectius!$E$2:$E$183,MATCH($D502,Objectius!$A$2:$A$183,0)),"??")&amp;"_"&amp;TEXT(COUNTIF($I$6:$I502,$I502),"00"))</f>
        <v/>
      </c>
      <c r="B502" s="11" t="n"/>
      <c r="C502" s="11" t="n"/>
      <c r="D502" s="11" t="n"/>
      <c r="E502" s="10">
        <f>IF($D502="","",IFERROR(INDEX(Objectius!$C$2:$C$183,MATCH($D502,Objectius!$A$2:$A$183,0)),"Objectiu no trobat al Pla"))</f>
        <v/>
      </c>
      <c r="F502" s="11" t="n"/>
      <c r="G502" s="11" t="n"/>
      <c r="H502" s="11" t="n"/>
      <c r="I502" s="10">
        <f>IF($D502="","",IFERROR(INDEX(Objectius!$D$2:$D$183,MATCH($D502,Objectius!$A$2:$A$183,0)),""))</f>
        <v/>
      </c>
      <c r="J502" s="11" t="n"/>
      <c r="K502" s="11" t="n"/>
      <c r="L502" s="11" t="n"/>
      <c r="M502" s="12" t="n"/>
      <c r="N502" s="11" t="n"/>
      <c r="O502" s="10">
        <f>IF($N502="","",IFERROR(INDEX('PLA ESTRATÈGIC'!$G$4:$G$452,MATCH($N502,'PLA ESTRATÈGIC'!$Q$4:$Q$452,0)),""))</f>
        <v/>
      </c>
      <c r="P502" s="10">
        <f>IF($N502="","",IFERROR(INDEX('PLA ESTRATÈGIC'!$H$4:$H$452,MATCH($N502,'PLA ESTRATÈGIC'!$Q$4:$Q$452,0)),""))</f>
        <v/>
      </c>
      <c r="Q502" s="13" t="n"/>
      <c r="R502" s="11" t="n"/>
      <c r="S502" s="11" t="n"/>
      <c r="T502" s="11" t="n"/>
      <c r="U502" s="11" t="n"/>
      <c r="V502" s="10">
        <f>IF(COUNTA($C502,$D502,$J502,$M502)=0,"",IF(TRIM(IF($C502="","Falta l'actuació. ","")&amp;IF($D502="","Falta l'objectiu. ","")&amp;IF($J502="","Falta el tipus de despesa. ","")&amp;IF(AND($J502&lt;&gt;"",$J502&lt;&gt;"Mitjans propis",$J502&lt;&gt;"Altres",$M502=""),"Falta l'import. ","")&amp;IF(AND($J502="Contracte menor a càrrec del RAE",$K502=""),"Falta la partida RAE. ","")&amp;IF(AND($B502&lt;&gt;"",COUNTIF($B$6:$B$705,$B502)&gt;1),"Codi RAE repetit. ","")&amp;IF(AND($B502&lt;&gt;"",$J502&lt;&gt;"",$J502&lt;&gt;"Contracte menor a càrrec del RAE"),"Té codi RAE però no és de tipus RAE. ","")&amp;IF($N502="","Falta l'indicador del Pla. ","")&amp;IF($R502="","Falta el gestor. ","")&amp;IF($S502="","Falta indicar si és recurrent. ",""))="","✔",TRIM(IF($C502="","Falta l'actuació. ","")&amp;IF($D502="","Falta l'objectiu. ","")&amp;IF($J502="","Falta el tipus de despesa. ","")&amp;IF(AND($J502&lt;&gt;"",$J502&lt;&gt;"Mitjans propis",$J502&lt;&gt;"Altres",$M502=""),"Falta l'import. ","")&amp;IF(AND($J502="Contracte menor a càrrec del RAE",$K502=""),"Falta la partida RAE. ","")&amp;IF(AND($B502&lt;&gt;"",COUNTIF($B$6:$B$705,$B502)&gt;1),"Codi RAE repetit. ","")&amp;IF(AND($B502&lt;&gt;"",$J502&lt;&gt;"",$J502&lt;&gt;"Contracte menor a càrrec del RAE"),"Té codi RAE però no és de tipus RAE. ","")&amp;IF($N502="","Falta l'indicador del Pla. ","")&amp;IF($R502="","Falta el gestor. ","")&amp;IF($S502="","Falta indicar si és recurrent. ",""))))</f>
        <v/>
      </c>
    </row>
    <row r="503">
      <c r="A503" s="10">
        <f>IF($D503="","","27_"&amp;IFERROR(INDEX(Objectius!$E$2:$E$183,MATCH($D503,Objectius!$A$2:$A$183,0)),"??")&amp;"_"&amp;TEXT(COUNTIF($I$6:$I503,$I503),"00"))</f>
        <v/>
      </c>
      <c r="B503" s="11" t="n"/>
      <c r="C503" s="11" t="n"/>
      <c r="D503" s="11" t="n"/>
      <c r="E503" s="10">
        <f>IF($D503="","",IFERROR(INDEX(Objectius!$C$2:$C$183,MATCH($D503,Objectius!$A$2:$A$183,0)),"Objectiu no trobat al Pla"))</f>
        <v/>
      </c>
      <c r="F503" s="11" t="n"/>
      <c r="G503" s="11" t="n"/>
      <c r="H503" s="11" t="n"/>
      <c r="I503" s="10">
        <f>IF($D503="","",IFERROR(INDEX(Objectius!$D$2:$D$183,MATCH($D503,Objectius!$A$2:$A$183,0)),""))</f>
        <v/>
      </c>
      <c r="J503" s="11" t="n"/>
      <c r="K503" s="11" t="n"/>
      <c r="L503" s="11" t="n"/>
      <c r="M503" s="12" t="n"/>
      <c r="N503" s="11" t="n"/>
      <c r="O503" s="10">
        <f>IF($N503="","",IFERROR(INDEX('PLA ESTRATÈGIC'!$G$4:$G$452,MATCH($N503,'PLA ESTRATÈGIC'!$Q$4:$Q$452,0)),""))</f>
        <v/>
      </c>
      <c r="P503" s="10">
        <f>IF($N503="","",IFERROR(INDEX('PLA ESTRATÈGIC'!$H$4:$H$452,MATCH($N503,'PLA ESTRATÈGIC'!$Q$4:$Q$452,0)),""))</f>
        <v/>
      </c>
      <c r="Q503" s="13" t="n"/>
      <c r="R503" s="11" t="n"/>
      <c r="S503" s="11" t="n"/>
      <c r="T503" s="11" t="n"/>
      <c r="U503" s="11" t="n"/>
      <c r="V503" s="10">
        <f>IF(COUNTA($C503,$D503,$J503,$M503)=0,"",IF(TRIM(IF($C503="","Falta l'actuació. ","")&amp;IF($D503="","Falta l'objectiu. ","")&amp;IF($J503="","Falta el tipus de despesa. ","")&amp;IF(AND($J503&lt;&gt;"",$J503&lt;&gt;"Mitjans propis",$J503&lt;&gt;"Altres",$M503=""),"Falta l'import. ","")&amp;IF(AND($J503="Contracte menor a càrrec del RAE",$K503=""),"Falta la partida RAE. ","")&amp;IF(AND($B503&lt;&gt;"",COUNTIF($B$6:$B$705,$B503)&gt;1),"Codi RAE repetit. ","")&amp;IF(AND($B503&lt;&gt;"",$J503&lt;&gt;"",$J503&lt;&gt;"Contracte menor a càrrec del RAE"),"Té codi RAE però no és de tipus RAE. ","")&amp;IF($N503="","Falta l'indicador del Pla. ","")&amp;IF($R503="","Falta el gestor. ","")&amp;IF($S503="","Falta indicar si és recurrent. ",""))="","✔",TRIM(IF($C503="","Falta l'actuació. ","")&amp;IF($D503="","Falta l'objectiu. ","")&amp;IF($J503="","Falta el tipus de despesa. ","")&amp;IF(AND($J503&lt;&gt;"",$J503&lt;&gt;"Mitjans propis",$J503&lt;&gt;"Altres",$M503=""),"Falta l'import. ","")&amp;IF(AND($J503="Contracte menor a càrrec del RAE",$K503=""),"Falta la partida RAE. ","")&amp;IF(AND($B503&lt;&gt;"",COUNTIF($B$6:$B$705,$B503)&gt;1),"Codi RAE repetit. ","")&amp;IF(AND($B503&lt;&gt;"",$J503&lt;&gt;"",$J503&lt;&gt;"Contracte menor a càrrec del RAE"),"Té codi RAE però no és de tipus RAE. ","")&amp;IF($N503="","Falta l'indicador del Pla. ","")&amp;IF($R503="","Falta el gestor. ","")&amp;IF($S503="","Falta indicar si és recurrent. ",""))))</f>
        <v/>
      </c>
    </row>
    <row r="504">
      <c r="A504" s="10">
        <f>IF($D504="","","27_"&amp;IFERROR(INDEX(Objectius!$E$2:$E$183,MATCH($D504,Objectius!$A$2:$A$183,0)),"??")&amp;"_"&amp;TEXT(COUNTIF($I$6:$I504,$I504),"00"))</f>
        <v/>
      </c>
      <c r="B504" s="11" t="n"/>
      <c r="C504" s="11" t="n"/>
      <c r="D504" s="11" t="n"/>
      <c r="E504" s="10">
        <f>IF($D504="","",IFERROR(INDEX(Objectius!$C$2:$C$183,MATCH($D504,Objectius!$A$2:$A$183,0)),"Objectiu no trobat al Pla"))</f>
        <v/>
      </c>
      <c r="F504" s="11" t="n"/>
      <c r="G504" s="11" t="n"/>
      <c r="H504" s="11" t="n"/>
      <c r="I504" s="10">
        <f>IF($D504="","",IFERROR(INDEX(Objectius!$D$2:$D$183,MATCH($D504,Objectius!$A$2:$A$183,0)),""))</f>
        <v/>
      </c>
      <c r="J504" s="11" t="n"/>
      <c r="K504" s="11" t="n"/>
      <c r="L504" s="11" t="n"/>
      <c r="M504" s="12" t="n"/>
      <c r="N504" s="11" t="n"/>
      <c r="O504" s="10">
        <f>IF($N504="","",IFERROR(INDEX('PLA ESTRATÈGIC'!$G$4:$G$452,MATCH($N504,'PLA ESTRATÈGIC'!$Q$4:$Q$452,0)),""))</f>
        <v/>
      </c>
      <c r="P504" s="10">
        <f>IF($N504="","",IFERROR(INDEX('PLA ESTRATÈGIC'!$H$4:$H$452,MATCH($N504,'PLA ESTRATÈGIC'!$Q$4:$Q$452,0)),""))</f>
        <v/>
      </c>
      <c r="Q504" s="13" t="n"/>
      <c r="R504" s="11" t="n"/>
      <c r="S504" s="11" t="n"/>
      <c r="T504" s="11" t="n"/>
      <c r="U504" s="11" t="n"/>
      <c r="V504" s="10">
        <f>IF(COUNTA($C504,$D504,$J504,$M504)=0,"",IF(TRIM(IF($C504="","Falta l'actuació. ","")&amp;IF($D504="","Falta l'objectiu. ","")&amp;IF($J504="","Falta el tipus de despesa. ","")&amp;IF(AND($J504&lt;&gt;"",$J504&lt;&gt;"Mitjans propis",$J504&lt;&gt;"Altres",$M504=""),"Falta l'import. ","")&amp;IF(AND($J504="Contracte menor a càrrec del RAE",$K504=""),"Falta la partida RAE. ","")&amp;IF(AND($B504&lt;&gt;"",COUNTIF($B$6:$B$705,$B504)&gt;1),"Codi RAE repetit. ","")&amp;IF(AND($B504&lt;&gt;"",$J504&lt;&gt;"",$J504&lt;&gt;"Contracte menor a càrrec del RAE"),"Té codi RAE però no és de tipus RAE. ","")&amp;IF($N504="","Falta l'indicador del Pla. ","")&amp;IF($R504="","Falta el gestor. ","")&amp;IF($S504="","Falta indicar si és recurrent. ",""))="","✔",TRIM(IF($C504="","Falta l'actuació. ","")&amp;IF($D504="","Falta l'objectiu. ","")&amp;IF($J504="","Falta el tipus de despesa. ","")&amp;IF(AND($J504&lt;&gt;"",$J504&lt;&gt;"Mitjans propis",$J504&lt;&gt;"Altres",$M504=""),"Falta l'import. ","")&amp;IF(AND($J504="Contracte menor a càrrec del RAE",$K504=""),"Falta la partida RAE. ","")&amp;IF(AND($B504&lt;&gt;"",COUNTIF($B$6:$B$705,$B504)&gt;1),"Codi RAE repetit. ","")&amp;IF(AND($B504&lt;&gt;"",$J504&lt;&gt;"",$J504&lt;&gt;"Contracte menor a càrrec del RAE"),"Té codi RAE però no és de tipus RAE. ","")&amp;IF($N504="","Falta l'indicador del Pla. ","")&amp;IF($R504="","Falta el gestor. ","")&amp;IF($S504="","Falta indicar si és recurrent. ",""))))</f>
        <v/>
      </c>
    </row>
    <row r="505">
      <c r="A505" s="10">
        <f>IF($D505="","","27_"&amp;IFERROR(INDEX(Objectius!$E$2:$E$183,MATCH($D505,Objectius!$A$2:$A$183,0)),"??")&amp;"_"&amp;TEXT(COUNTIF($I$6:$I505,$I505),"00"))</f>
        <v/>
      </c>
      <c r="B505" s="11" t="n"/>
      <c r="C505" s="11" t="n"/>
      <c r="D505" s="11" t="n"/>
      <c r="E505" s="10">
        <f>IF($D505="","",IFERROR(INDEX(Objectius!$C$2:$C$183,MATCH($D505,Objectius!$A$2:$A$183,0)),"Objectiu no trobat al Pla"))</f>
        <v/>
      </c>
      <c r="F505" s="11" t="n"/>
      <c r="G505" s="11" t="n"/>
      <c r="H505" s="11" t="n"/>
      <c r="I505" s="10">
        <f>IF($D505="","",IFERROR(INDEX(Objectius!$D$2:$D$183,MATCH($D505,Objectius!$A$2:$A$183,0)),""))</f>
        <v/>
      </c>
      <c r="J505" s="11" t="n"/>
      <c r="K505" s="11" t="n"/>
      <c r="L505" s="11" t="n"/>
      <c r="M505" s="12" t="n"/>
      <c r="N505" s="11" t="n"/>
      <c r="O505" s="10">
        <f>IF($N505="","",IFERROR(INDEX('PLA ESTRATÈGIC'!$G$4:$G$452,MATCH($N505,'PLA ESTRATÈGIC'!$Q$4:$Q$452,0)),""))</f>
        <v/>
      </c>
      <c r="P505" s="10">
        <f>IF($N505="","",IFERROR(INDEX('PLA ESTRATÈGIC'!$H$4:$H$452,MATCH($N505,'PLA ESTRATÈGIC'!$Q$4:$Q$452,0)),""))</f>
        <v/>
      </c>
      <c r="Q505" s="13" t="n"/>
      <c r="R505" s="11" t="n"/>
      <c r="S505" s="11" t="n"/>
      <c r="T505" s="11" t="n"/>
      <c r="U505" s="11" t="n"/>
      <c r="V505" s="10">
        <f>IF(COUNTA($C505,$D505,$J505,$M505)=0,"",IF(TRIM(IF($C505="","Falta l'actuació. ","")&amp;IF($D505="","Falta l'objectiu. ","")&amp;IF($J505="","Falta el tipus de despesa. ","")&amp;IF(AND($J505&lt;&gt;"",$J505&lt;&gt;"Mitjans propis",$J505&lt;&gt;"Altres",$M505=""),"Falta l'import. ","")&amp;IF(AND($J505="Contracte menor a càrrec del RAE",$K505=""),"Falta la partida RAE. ","")&amp;IF(AND($B505&lt;&gt;"",COUNTIF($B$6:$B$705,$B505)&gt;1),"Codi RAE repetit. ","")&amp;IF(AND($B505&lt;&gt;"",$J505&lt;&gt;"",$J505&lt;&gt;"Contracte menor a càrrec del RAE"),"Té codi RAE però no és de tipus RAE. ","")&amp;IF($N505="","Falta l'indicador del Pla. ","")&amp;IF($R505="","Falta el gestor. ","")&amp;IF($S505="","Falta indicar si és recurrent. ",""))="","✔",TRIM(IF($C505="","Falta l'actuació. ","")&amp;IF($D505="","Falta l'objectiu. ","")&amp;IF($J505="","Falta el tipus de despesa. ","")&amp;IF(AND($J505&lt;&gt;"",$J505&lt;&gt;"Mitjans propis",$J505&lt;&gt;"Altres",$M505=""),"Falta l'import. ","")&amp;IF(AND($J505="Contracte menor a càrrec del RAE",$K505=""),"Falta la partida RAE. ","")&amp;IF(AND($B505&lt;&gt;"",COUNTIF($B$6:$B$705,$B505)&gt;1),"Codi RAE repetit. ","")&amp;IF(AND($B505&lt;&gt;"",$J505&lt;&gt;"",$J505&lt;&gt;"Contracte menor a càrrec del RAE"),"Té codi RAE però no és de tipus RAE. ","")&amp;IF($N505="","Falta l'indicador del Pla. ","")&amp;IF($R505="","Falta el gestor. ","")&amp;IF($S505="","Falta indicar si és recurrent. ",""))))</f>
        <v/>
      </c>
    </row>
    <row r="506">
      <c r="A506" s="10">
        <f>IF($D506="","","27_"&amp;IFERROR(INDEX(Objectius!$E$2:$E$183,MATCH($D506,Objectius!$A$2:$A$183,0)),"??")&amp;"_"&amp;TEXT(COUNTIF($I$6:$I506,$I506),"00"))</f>
        <v/>
      </c>
      <c r="B506" s="11" t="n"/>
      <c r="C506" s="11" t="n"/>
      <c r="D506" s="11" t="n"/>
      <c r="E506" s="10">
        <f>IF($D506="","",IFERROR(INDEX(Objectius!$C$2:$C$183,MATCH($D506,Objectius!$A$2:$A$183,0)),"Objectiu no trobat al Pla"))</f>
        <v/>
      </c>
      <c r="F506" s="11" t="n"/>
      <c r="G506" s="11" t="n"/>
      <c r="H506" s="11" t="n"/>
      <c r="I506" s="10">
        <f>IF($D506="","",IFERROR(INDEX(Objectius!$D$2:$D$183,MATCH($D506,Objectius!$A$2:$A$183,0)),""))</f>
        <v/>
      </c>
      <c r="J506" s="11" t="n"/>
      <c r="K506" s="11" t="n"/>
      <c r="L506" s="11" t="n"/>
      <c r="M506" s="12" t="n"/>
      <c r="N506" s="11" t="n"/>
      <c r="O506" s="10">
        <f>IF($N506="","",IFERROR(INDEX('PLA ESTRATÈGIC'!$G$4:$G$452,MATCH($N506,'PLA ESTRATÈGIC'!$Q$4:$Q$452,0)),""))</f>
        <v/>
      </c>
      <c r="P506" s="10">
        <f>IF($N506="","",IFERROR(INDEX('PLA ESTRATÈGIC'!$H$4:$H$452,MATCH($N506,'PLA ESTRATÈGIC'!$Q$4:$Q$452,0)),""))</f>
        <v/>
      </c>
      <c r="Q506" s="13" t="n"/>
      <c r="R506" s="11" t="n"/>
      <c r="S506" s="11" t="n"/>
      <c r="T506" s="11" t="n"/>
      <c r="U506" s="11" t="n"/>
      <c r="V506" s="10">
        <f>IF(COUNTA($C506,$D506,$J506,$M506)=0,"",IF(TRIM(IF($C506="","Falta l'actuació. ","")&amp;IF($D506="","Falta l'objectiu. ","")&amp;IF($J506="","Falta el tipus de despesa. ","")&amp;IF(AND($J506&lt;&gt;"",$J506&lt;&gt;"Mitjans propis",$J506&lt;&gt;"Altres",$M506=""),"Falta l'import. ","")&amp;IF(AND($J506="Contracte menor a càrrec del RAE",$K506=""),"Falta la partida RAE. ","")&amp;IF(AND($B506&lt;&gt;"",COUNTIF($B$6:$B$705,$B506)&gt;1),"Codi RAE repetit. ","")&amp;IF(AND($B506&lt;&gt;"",$J506&lt;&gt;"",$J506&lt;&gt;"Contracte menor a càrrec del RAE"),"Té codi RAE però no és de tipus RAE. ","")&amp;IF($N506="","Falta l'indicador del Pla. ","")&amp;IF($R506="","Falta el gestor. ","")&amp;IF($S506="","Falta indicar si és recurrent. ",""))="","✔",TRIM(IF($C506="","Falta l'actuació. ","")&amp;IF($D506="","Falta l'objectiu. ","")&amp;IF($J506="","Falta el tipus de despesa. ","")&amp;IF(AND($J506&lt;&gt;"",$J506&lt;&gt;"Mitjans propis",$J506&lt;&gt;"Altres",$M506=""),"Falta l'import. ","")&amp;IF(AND($J506="Contracte menor a càrrec del RAE",$K506=""),"Falta la partida RAE. ","")&amp;IF(AND($B506&lt;&gt;"",COUNTIF($B$6:$B$705,$B506)&gt;1),"Codi RAE repetit. ","")&amp;IF(AND($B506&lt;&gt;"",$J506&lt;&gt;"",$J506&lt;&gt;"Contracte menor a càrrec del RAE"),"Té codi RAE però no és de tipus RAE. ","")&amp;IF($N506="","Falta l'indicador del Pla. ","")&amp;IF($R506="","Falta el gestor. ","")&amp;IF($S506="","Falta indicar si és recurrent. ",""))))</f>
        <v/>
      </c>
    </row>
    <row r="507">
      <c r="A507" s="10">
        <f>IF($D507="","","27_"&amp;IFERROR(INDEX(Objectius!$E$2:$E$183,MATCH($D507,Objectius!$A$2:$A$183,0)),"??")&amp;"_"&amp;TEXT(COUNTIF($I$6:$I507,$I507),"00"))</f>
        <v/>
      </c>
      <c r="B507" s="11" t="n"/>
      <c r="C507" s="11" t="n"/>
      <c r="D507" s="11" t="n"/>
      <c r="E507" s="10">
        <f>IF($D507="","",IFERROR(INDEX(Objectius!$C$2:$C$183,MATCH($D507,Objectius!$A$2:$A$183,0)),"Objectiu no trobat al Pla"))</f>
        <v/>
      </c>
      <c r="F507" s="11" t="n"/>
      <c r="G507" s="11" t="n"/>
      <c r="H507" s="11" t="n"/>
      <c r="I507" s="10">
        <f>IF($D507="","",IFERROR(INDEX(Objectius!$D$2:$D$183,MATCH($D507,Objectius!$A$2:$A$183,0)),""))</f>
        <v/>
      </c>
      <c r="J507" s="11" t="n"/>
      <c r="K507" s="11" t="n"/>
      <c r="L507" s="11" t="n"/>
      <c r="M507" s="12" t="n"/>
      <c r="N507" s="11" t="n"/>
      <c r="O507" s="10">
        <f>IF($N507="","",IFERROR(INDEX('PLA ESTRATÈGIC'!$G$4:$G$452,MATCH($N507,'PLA ESTRATÈGIC'!$Q$4:$Q$452,0)),""))</f>
        <v/>
      </c>
      <c r="P507" s="10">
        <f>IF($N507="","",IFERROR(INDEX('PLA ESTRATÈGIC'!$H$4:$H$452,MATCH($N507,'PLA ESTRATÈGIC'!$Q$4:$Q$452,0)),""))</f>
        <v/>
      </c>
      <c r="Q507" s="13" t="n"/>
      <c r="R507" s="11" t="n"/>
      <c r="S507" s="11" t="n"/>
      <c r="T507" s="11" t="n"/>
      <c r="U507" s="11" t="n"/>
      <c r="V507" s="10">
        <f>IF(COUNTA($C507,$D507,$J507,$M507)=0,"",IF(TRIM(IF($C507="","Falta l'actuació. ","")&amp;IF($D507="","Falta l'objectiu. ","")&amp;IF($J507="","Falta el tipus de despesa. ","")&amp;IF(AND($J507&lt;&gt;"",$J507&lt;&gt;"Mitjans propis",$J507&lt;&gt;"Altres",$M507=""),"Falta l'import. ","")&amp;IF(AND($J507="Contracte menor a càrrec del RAE",$K507=""),"Falta la partida RAE. ","")&amp;IF(AND($B507&lt;&gt;"",COUNTIF($B$6:$B$705,$B507)&gt;1),"Codi RAE repetit. ","")&amp;IF(AND($B507&lt;&gt;"",$J507&lt;&gt;"",$J507&lt;&gt;"Contracte menor a càrrec del RAE"),"Té codi RAE però no és de tipus RAE. ","")&amp;IF($N507="","Falta l'indicador del Pla. ","")&amp;IF($R507="","Falta el gestor. ","")&amp;IF($S507="","Falta indicar si és recurrent. ",""))="","✔",TRIM(IF($C507="","Falta l'actuació. ","")&amp;IF($D507="","Falta l'objectiu. ","")&amp;IF($J507="","Falta el tipus de despesa. ","")&amp;IF(AND($J507&lt;&gt;"",$J507&lt;&gt;"Mitjans propis",$J507&lt;&gt;"Altres",$M507=""),"Falta l'import. ","")&amp;IF(AND($J507="Contracte menor a càrrec del RAE",$K507=""),"Falta la partida RAE. ","")&amp;IF(AND($B507&lt;&gt;"",COUNTIF($B$6:$B$705,$B507)&gt;1),"Codi RAE repetit. ","")&amp;IF(AND($B507&lt;&gt;"",$J507&lt;&gt;"",$J507&lt;&gt;"Contracte menor a càrrec del RAE"),"Té codi RAE però no és de tipus RAE. ","")&amp;IF($N507="","Falta l'indicador del Pla. ","")&amp;IF($R507="","Falta el gestor. ","")&amp;IF($S507="","Falta indicar si és recurrent. ",""))))</f>
        <v/>
      </c>
    </row>
    <row r="508">
      <c r="A508" s="10">
        <f>IF($D508="","","27_"&amp;IFERROR(INDEX(Objectius!$E$2:$E$183,MATCH($D508,Objectius!$A$2:$A$183,0)),"??")&amp;"_"&amp;TEXT(COUNTIF($I$6:$I508,$I508),"00"))</f>
        <v/>
      </c>
      <c r="B508" s="11" t="n"/>
      <c r="C508" s="11" t="n"/>
      <c r="D508" s="11" t="n"/>
      <c r="E508" s="10">
        <f>IF($D508="","",IFERROR(INDEX(Objectius!$C$2:$C$183,MATCH($D508,Objectius!$A$2:$A$183,0)),"Objectiu no trobat al Pla"))</f>
        <v/>
      </c>
      <c r="F508" s="11" t="n"/>
      <c r="G508" s="11" t="n"/>
      <c r="H508" s="11" t="n"/>
      <c r="I508" s="10">
        <f>IF($D508="","",IFERROR(INDEX(Objectius!$D$2:$D$183,MATCH($D508,Objectius!$A$2:$A$183,0)),""))</f>
        <v/>
      </c>
      <c r="J508" s="11" t="n"/>
      <c r="K508" s="11" t="n"/>
      <c r="L508" s="11" t="n"/>
      <c r="M508" s="12" t="n"/>
      <c r="N508" s="11" t="n"/>
      <c r="O508" s="10">
        <f>IF($N508="","",IFERROR(INDEX('PLA ESTRATÈGIC'!$G$4:$G$452,MATCH($N508,'PLA ESTRATÈGIC'!$Q$4:$Q$452,0)),""))</f>
        <v/>
      </c>
      <c r="P508" s="10">
        <f>IF($N508="","",IFERROR(INDEX('PLA ESTRATÈGIC'!$H$4:$H$452,MATCH($N508,'PLA ESTRATÈGIC'!$Q$4:$Q$452,0)),""))</f>
        <v/>
      </c>
      <c r="Q508" s="13" t="n"/>
      <c r="R508" s="11" t="n"/>
      <c r="S508" s="11" t="n"/>
      <c r="T508" s="11" t="n"/>
      <c r="U508" s="11" t="n"/>
      <c r="V508" s="10">
        <f>IF(COUNTA($C508,$D508,$J508,$M508)=0,"",IF(TRIM(IF($C508="","Falta l'actuació. ","")&amp;IF($D508="","Falta l'objectiu. ","")&amp;IF($J508="","Falta el tipus de despesa. ","")&amp;IF(AND($J508&lt;&gt;"",$J508&lt;&gt;"Mitjans propis",$J508&lt;&gt;"Altres",$M508=""),"Falta l'import. ","")&amp;IF(AND($J508="Contracte menor a càrrec del RAE",$K508=""),"Falta la partida RAE. ","")&amp;IF(AND($B508&lt;&gt;"",COUNTIF($B$6:$B$705,$B508)&gt;1),"Codi RAE repetit. ","")&amp;IF(AND($B508&lt;&gt;"",$J508&lt;&gt;"",$J508&lt;&gt;"Contracte menor a càrrec del RAE"),"Té codi RAE però no és de tipus RAE. ","")&amp;IF($N508="","Falta l'indicador del Pla. ","")&amp;IF($R508="","Falta el gestor. ","")&amp;IF($S508="","Falta indicar si és recurrent. ",""))="","✔",TRIM(IF($C508="","Falta l'actuació. ","")&amp;IF($D508="","Falta l'objectiu. ","")&amp;IF($J508="","Falta el tipus de despesa. ","")&amp;IF(AND($J508&lt;&gt;"",$J508&lt;&gt;"Mitjans propis",$J508&lt;&gt;"Altres",$M508=""),"Falta l'import. ","")&amp;IF(AND($J508="Contracte menor a càrrec del RAE",$K508=""),"Falta la partida RAE. ","")&amp;IF(AND($B508&lt;&gt;"",COUNTIF($B$6:$B$705,$B508)&gt;1),"Codi RAE repetit. ","")&amp;IF(AND($B508&lt;&gt;"",$J508&lt;&gt;"",$J508&lt;&gt;"Contracte menor a càrrec del RAE"),"Té codi RAE però no és de tipus RAE. ","")&amp;IF($N508="","Falta l'indicador del Pla. ","")&amp;IF($R508="","Falta el gestor. ","")&amp;IF($S508="","Falta indicar si és recurrent. ",""))))</f>
        <v/>
      </c>
    </row>
    <row r="509">
      <c r="A509" s="10">
        <f>IF($D509="","","27_"&amp;IFERROR(INDEX(Objectius!$E$2:$E$183,MATCH($D509,Objectius!$A$2:$A$183,0)),"??")&amp;"_"&amp;TEXT(COUNTIF($I$6:$I509,$I509),"00"))</f>
        <v/>
      </c>
      <c r="B509" s="11" t="n"/>
      <c r="C509" s="11" t="n"/>
      <c r="D509" s="11" t="n"/>
      <c r="E509" s="10">
        <f>IF($D509="","",IFERROR(INDEX(Objectius!$C$2:$C$183,MATCH($D509,Objectius!$A$2:$A$183,0)),"Objectiu no trobat al Pla"))</f>
        <v/>
      </c>
      <c r="F509" s="11" t="n"/>
      <c r="G509" s="11" t="n"/>
      <c r="H509" s="11" t="n"/>
      <c r="I509" s="10">
        <f>IF($D509="","",IFERROR(INDEX(Objectius!$D$2:$D$183,MATCH($D509,Objectius!$A$2:$A$183,0)),""))</f>
        <v/>
      </c>
      <c r="J509" s="11" t="n"/>
      <c r="K509" s="11" t="n"/>
      <c r="L509" s="11" t="n"/>
      <c r="M509" s="12" t="n"/>
      <c r="N509" s="11" t="n"/>
      <c r="O509" s="10">
        <f>IF($N509="","",IFERROR(INDEX('PLA ESTRATÈGIC'!$G$4:$G$452,MATCH($N509,'PLA ESTRATÈGIC'!$Q$4:$Q$452,0)),""))</f>
        <v/>
      </c>
      <c r="P509" s="10">
        <f>IF($N509="","",IFERROR(INDEX('PLA ESTRATÈGIC'!$H$4:$H$452,MATCH($N509,'PLA ESTRATÈGIC'!$Q$4:$Q$452,0)),""))</f>
        <v/>
      </c>
      <c r="Q509" s="13" t="n"/>
      <c r="R509" s="11" t="n"/>
      <c r="S509" s="11" t="n"/>
      <c r="T509" s="11" t="n"/>
      <c r="U509" s="11" t="n"/>
      <c r="V509" s="10">
        <f>IF(COUNTA($C509,$D509,$J509,$M509)=0,"",IF(TRIM(IF($C509="","Falta l'actuació. ","")&amp;IF($D509="","Falta l'objectiu. ","")&amp;IF($J509="","Falta el tipus de despesa. ","")&amp;IF(AND($J509&lt;&gt;"",$J509&lt;&gt;"Mitjans propis",$J509&lt;&gt;"Altres",$M509=""),"Falta l'import. ","")&amp;IF(AND($J509="Contracte menor a càrrec del RAE",$K509=""),"Falta la partida RAE. ","")&amp;IF(AND($B509&lt;&gt;"",COUNTIF($B$6:$B$705,$B509)&gt;1),"Codi RAE repetit. ","")&amp;IF(AND($B509&lt;&gt;"",$J509&lt;&gt;"",$J509&lt;&gt;"Contracte menor a càrrec del RAE"),"Té codi RAE però no és de tipus RAE. ","")&amp;IF($N509="","Falta l'indicador del Pla. ","")&amp;IF($R509="","Falta el gestor. ","")&amp;IF($S509="","Falta indicar si és recurrent. ",""))="","✔",TRIM(IF($C509="","Falta l'actuació. ","")&amp;IF($D509="","Falta l'objectiu. ","")&amp;IF($J509="","Falta el tipus de despesa. ","")&amp;IF(AND($J509&lt;&gt;"",$J509&lt;&gt;"Mitjans propis",$J509&lt;&gt;"Altres",$M509=""),"Falta l'import. ","")&amp;IF(AND($J509="Contracte menor a càrrec del RAE",$K509=""),"Falta la partida RAE. ","")&amp;IF(AND($B509&lt;&gt;"",COUNTIF($B$6:$B$705,$B509)&gt;1),"Codi RAE repetit. ","")&amp;IF(AND($B509&lt;&gt;"",$J509&lt;&gt;"",$J509&lt;&gt;"Contracte menor a càrrec del RAE"),"Té codi RAE però no és de tipus RAE. ","")&amp;IF($N509="","Falta l'indicador del Pla. ","")&amp;IF($R509="","Falta el gestor. ","")&amp;IF($S509="","Falta indicar si és recurrent. ",""))))</f>
        <v/>
      </c>
    </row>
    <row r="510">
      <c r="A510" s="10">
        <f>IF($D510="","","27_"&amp;IFERROR(INDEX(Objectius!$E$2:$E$183,MATCH($D510,Objectius!$A$2:$A$183,0)),"??")&amp;"_"&amp;TEXT(COUNTIF($I$6:$I510,$I510),"00"))</f>
        <v/>
      </c>
      <c r="B510" s="11" t="n"/>
      <c r="C510" s="11" t="n"/>
      <c r="D510" s="11" t="n"/>
      <c r="E510" s="10">
        <f>IF($D510="","",IFERROR(INDEX(Objectius!$C$2:$C$183,MATCH($D510,Objectius!$A$2:$A$183,0)),"Objectiu no trobat al Pla"))</f>
        <v/>
      </c>
      <c r="F510" s="11" t="n"/>
      <c r="G510" s="11" t="n"/>
      <c r="H510" s="11" t="n"/>
      <c r="I510" s="10">
        <f>IF($D510="","",IFERROR(INDEX(Objectius!$D$2:$D$183,MATCH($D510,Objectius!$A$2:$A$183,0)),""))</f>
        <v/>
      </c>
      <c r="J510" s="11" t="n"/>
      <c r="K510" s="11" t="n"/>
      <c r="L510" s="11" t="n"/>
      <c r="M510" s="12" t="n"/>
      <c r="N510" s="11" t="n"/>
      <c r="O510" s="10">
        <f>IF($N510="","",IFERROR(INDEX('PLA ESTRATÈGIC'!$G$4:$G$452,MATCH($N510,'PLA ESTRATÈGIC'!$Q$4:$Q$452,0)),""))</f>
        <v/>
      </c>
      <c r="P510" s="10">
        <f>IF($N510="","",IFERROR(INDEX('PLA ESTRATÈGIC'!$H$4:$H$452,MATCH($N510,'PLA ESTRATÈGIC'!$Q$4:$Q$452,0)),""))</f>
        <v/>
      </c>
      <c r="Q510" s="13" t="n"/>
      <c r="R510" s="11" t="n"/>
      <c r="S510" s="11" t="n"/>
      <c r="T510" s="11" t="n"/>
      <c r="U510" s="11" t="n"/>
      <c r="V510" s="10">
        <f>IF(COUNTA($C510,$D510,$J510,$M510)=0,"",IF(TRIM(IF($C510="","Falta l'actuació. ","")&amp;IF($D510="","Falta l'objectiu. ","")&amp;IF($J510="","Falta el tipus de despesa. ","")&amp;IF(AND($J510&lt;&gt;"",$J510&lt;&gt;"Mitjans propis",$J510&lt;&gt;"Altres",$M510=""),"Falta l'import. ","")&amp;IF(AND($J510="Contracte menor a càrrec del RAE",$K510=""),"Falta la partida RAE. ","")&amp;IF(AND($B510&lt;&gt;"",COUNTIF($B$6:$B$705,$B510)&gt;1),"Codi RAE repetit. ","")&amp;IF(AND($B510&lt;&gt;"",$J510&lt;&gt;"",$J510&lt;&gt;"Contracte menor a càrrec del RAE"),"Té codi RAE però no és de tipus RAE. ","")&amp;IF($N510="","Falta l'indicador del Pla. ","")&amp;IF($R510="","Falta el gestor. ","")&amp;IF($S510="","Falta indicar si és recurrent. ",""))="","✔",TRIM(IF($C510="","Falta l'actuació. ","")&amp;IF($D510="","Falta l'objectiu. ","")&amp;IF($J510="","Falta el tipus de despesa. ","")&amp;IF(AND($J510&lt;&gt;"",$J510&lt;&gt;"Mitjans propis",$J510&lt;&gt;"Altres",$M510=""),"Falta l'import. ","")&amp;IF(AND($J510="Contracte menor a càrrec del RAE",$K510=""),"Falta la partida RAE. ","")&amp;IF(AND($B510&lt;&gt;"",COUNTIF($B$6:$B$705,$B510)&gt;1),"Codi RAE repetit. ","")&amp;IF(AND($B510&lt;&gt;"",$J510&lt;&gt;"",$J510&lt;&gt;"Contracte menor a càrrec del RAE"),"Té codi RAE però no és de tipus RAE. ","")&amp;IF($N510="","Falta l'indicador del Pla. ","")&amp;IF($R510="","Falta el gestor. ","")&amp;IF($S510="","Falta indicar si és recurrent. ",""))))</f>
        <v/>
      </c>
    </row>
    <row r="511">
      <c r="A511" s="10">
        <f>IF($D511="","","27_"&amp;IFERROR(INDEX(Objectius!$E$2:$E$183,MATCH($D511,Objectius!$A$2:$A$183,0)),"??")&amp;"_"&amp;TEXT(COUNTIF($I$6:$I511,$I511),"00"))</f>
        <v/>
      </c>
      <c r="B511" s="11" t="n"/>
      <c r="C511" s="11" t="n"/>
      <c r="D511" s="11" t="n"/>
      <c r="E511" s="10">
        <f>IF($D511="","",IFERROR(INDEX(Objectius!$C$2:$C$183,MATCH($D511,Objectius!$A$2:$A$183,0)),"Objectiu no trobat al Pla"))</f>
        <v/>
      </c>
      <c r="F511" s="11" t="n"/>
      <c r="G511" s="11" t="n"/>
      <c r="H511" s="11" t="n"/>
      <c r="I511" s="10">
        <f>IF($D511="","",IFERROR(INDEX(Objectius!$D$2:$D$183,MATCH($D511,Objectius!$A$2:$A$183,0)),""))</f>
        <v/>
      </c>
      <c r="J511" s="11" t="n"/>
      <c r="K511" s="11" t="n"/>
      <c r="L511" s="11" t="n"/>
      <c r="M511" s="12" t="n"/>
      <c r="N511" s="11" t="n"/>
      <c r="O511" s="10">
        <f>IF($N511="","",IFERROR(INDEX('PLA ESTRATÈGIC'!$G$4:$G$452,MATCH($N511,'PLA ESTRATÈGIC'!$Q$4:$Q$452,0)),""))</f>
        <v/>
      </c>
      <c r="P511" s="10">
        <f>IF($N511="","",IFERROR(INDEX('PLA ESTRATÈGIC'!$H$4:$H$452,MATCH($N511,'PLA ESTRATÈGIC'!$Q$4:$Q$452,0)),""))</f>
        <v/>
      </c>
      <c r="Q511" s="13" t="n"/>
      <c r="R511" s="11" t="n"/>
      <c r="S511" s="11" t="n"/>
      <c r="T511" s="11" t="n"/>
      <c r="U511" s="11" t="n"/>
      <c r="V511" s="10">
        <f>IF(COUNTA($C511,$D511,$J511,$M511)=0,"",IF(TRIM(IF($C511="","Falta l'actuació. ","")&amp;IF($D511="","Falta l'objectiu. ","")&amp;IF($J511="","Falta el tipus de despesa. ","")&amp;IF(AND($J511&lt;&gt;"",$J511&lt;&gt;"Mitjans propis",$J511&lt;&gt;"Altres",$M511=""),"Falta l'import. ","")&amp;IF(AND($J511="Contracte menor a càrrec del RAE",$K511=""),"Falta la partida RAE. ","")&amp;IF(AND($B511&lt;&gt;"",COUNTIF($B$6:$B$705,$B511)&gt;1),"Codi RAE repetit. ","")&amp;IF(AND($B511&lt;&gt;"",$J511&lt;&gt;"",$J511&lt;&gt;"Contracte menor a càrrec del RAE"),"Té codi RAE però no és de tipus RAE. ","")&amp;IF($N511="","Falta l'indicador del Pla. ","")&amp;IF($R511="","Falta el gestor. ","")&amp;IF($S511="","Falta indicar si és recurrent. ",""))="","✔",TRIM(IF($C511="","Falta l'actuació. ","")&amp;IF($D511="","Falta l'objectiu. ","")&amp;IF($J511="","Falta el tipus de despesa. ","")&amp;IF(AND($J511&lt;&gt;"",$J511&lt;&gt;"Mitjans propis",$J511&lt;&gt;"Altres",$M511=""),"Falta l'import. ","")&amp;IF(AND($J511="Contracte menor a càrrec del RAE",$K511=""),"Falta la partida RAE. ","")&amp;IF(AND($B511&lt;&gt;"",COUNTIF($B$6:$B$705,$B511)&gt;1),"Codi RAE repetit. ","")&amp;IF(AND($B511&lt;&gt;"",$J511&lt;&gt;"",$J511&lt;&gt;"Contracte menor a càrrec del RAE"),"Té codi RAE però no és de tipus RAE. ","")&amp;IF($N511="","Falta l'indicador del Pla. ","")&amp;IF($R511="","Falta el gestor. ","")&amp;IF($S511="","Falta indicar si és recurrent. ",""))))</f>
        <v/>
      </c>
    </row>
    <row r="512">
      <c r="A512" s="10">
        <f>IF($D512="","","27_"&amp;IFERROR(INDEX(Objectius!$E$2:$E$183,MATCH($D512,Objectius!$A$2:$A$183,0)),"??")&amp;"_"&amp;TEXT(COUNTIF($I$6:$I512,$I512),"00"))</f>
        <v/>
      </c>
      <c r="B512" s="11" t="n"/>
      <c r="C512" s="11" t="n"/>
      <c r="D512" s="11" t="n"/>
      <c r="E512" s="10">
        <f>IF($D512="","",IFERROR(INDEX(Objectius!$C$2:$C$183,MATCH($D512,Objectius!$A$2:$A$183,0)),"Objectiu no trobat al Pla"))</f>
        <v/>
      </c>
      <c r="F512" s="11" t="n"/>
      <c r="G512" s="11" t="n"/>
      <c r="H512" s="11" t="n"/>
      <c r="I512" s="10">
        <f>IF($D512="","",IFERROR(INDEX(Objectius!$D$2:$D$183,MATCH($D512,Objectius!$A$2:$A$183,0)),""))</f>
        <v/>
      </c>
      <c r="J512" s="11" t="n"/>
      <c r="K512" s="11" t="n"/>
      <c r="L512" s="11" t="n"/>
      <c r="M512" s="12" t="n"/>
      <c r="N512" s="11" t="n"/>
      <c r="O512" s="10">
        <f>IF($N512="","",IFERROR(INDEX('PLA ESTRATÈGIC'!$G$4:$G$452,MATCH($N512,'PLA ESTRATÈGIC'!$Q$4:$Q$452,0)),""))</f>
        <v/>
      </c>
      <c r="P512" s="10">
        <f>IF($N512="","",IFERROR(INDEX('PLA ESTRATÈGIC'!$H$4:$H$452,MATCH($N512,'PLA ESTRATÈGIC'!$Q$4:$Q$452,0)),""))</f>
        <v/>
      </c>
      <c r="Q512" s="13" t="n"/>
      <c r="R512" s="11" t="n"/>
      <c r="S512" s="11" t="n"/>
      <c r="T512" s="11" t="n"/>
      <c r="U512" s="11" t="n"/>
      <c r="V512" s="10">
        <f>IF(COUNTA($C512,$D512,$J512,$M512)=0,"",IF(TRIM(IF($C512="","Falta l'actuació. ","")&amp;IF($D512="","Falta l'objectiu. ","")&amp;IF($J512="","Falta el tipus de despesa. ","")&amp;IF(AND($J512&lt;&gt;"",$J512&lt;&gt;"Mitjans propis",$J512&lt;&gt;"Altres",$M512=""),"Falta l'import. ","")&amp;IF(AND($J512="Contracte menor a càrrec del RAE",$K512=""),"Falta la partida RAE. ","")&amp;IF(AND($B512&lt;&gt;"",COUNTIF($B$6:$B$705,$B512)&gt;1),"Codi RAE repetit. ","")&amp;IF(AND($B512&lt;&gt;"",$J512&lt;&gt;"",$J512&lt;&gt;"Contracte menor a càrrec del RAE"),"Té codi RAE però no és de tipus RAE. ","")&amp;IF($N512="","Falta l'indicador del Pla. ","")&amp;IF($R512="","Falta el gestor. ","")&amp;IF($S512="","Falta indicar si és recurrent. ",""))="","✔",TRIM(IF($C512="","Falta l'actuació. ","")&amp;IF($D512="","Falta l'objectiu. ","")&amp;IF($J512="","Falta el tipus de despesa. ","")&amp;IF(AND($J512&lt;&gt;"",$J512&lt;&gt;"Mitjans propis",$J512&lt;&gt;"Altres",$M512=""),"Falta l'import. ","")&amp;IF(AND($J512="Contracte menor a càrrec del RAE",$K512=""),"Falta la partida RAE. ","")&amp;IF(AND($B512&lt;&gt;"",COUNTIF($B$6:$B$705,$B512)&gt;1),"Codi RAE repetit. ","")&amp;IF(AND($B512&lt;&gt;"",$J512&lt;&gt;"",$J512&lt;&gt;"Contracte menor a càrrec del RAE"),"Té codi RAE però no és de tipus RAE. ","")&amp;IF($N512="","Falta l'indicador del Pla. ","")&amp;IF($R512="","Falta el gestor. ","")&amp;IF($S512="","Falta indicar si és recurrent. ",""))))</f>
        <v/>
      </c>
    </row>
    <row r="513">
      <c r="A513" s="10">
        <f>IF($D513="","","27_"&amp;IFERROR(INDEX(Objectius!$E$2:$E$183,MATCH($D513,Objectius!$A$2:$A$183,0)),"??")&amp;"_"&amp;TEXT(COUNTIF($I$6:$I513,$I513),"00"))</f>
        <v/>
      </c>
      <c r="B513" s="11" t="n"/>
      <c r="C513" s="11" t="n"/>
      <c r="D513" s="11" t="n"/>
      <c r="E513" s="10">
        <f>IF($D513="","",IFERROR(INDEX(Objectius!$C$2:$C$183,MATCH($D513,Objectius!$A$2:$A$183,0)),"Objectiu no trobat al Pla"))</f>
        <v/>
      </c>
      <c r="F513" s="11" t="n"/>
      <c r="G513" s="11" t="n"/>
      <c r="H513" s="11" t="n"/>
      <c r="I513" s="10">
        <f>IF($D513="","",IFERROR(INDEX(Objectius!$D$2:$D$183,MATCH($D513,Objectius!$A$2:$A$183,0)),""))</f>
        <v/>
      </c>
      <c r="J513" s="11" t="n"/>
      <c r="K513" s="11" t="n"/>
      <c r="L513" s="11" t="n"/>
      <c r="M513" s="12" t="n"/>
      <c r="N513" s="11" t="n"/>
      <c r="O513" s="10">
        <f>IF($N513="","",IFERROR(INDEX('PLA ESTRATÈGIC'!$G$4:$G$452,MATCH($N513,'PLA ESTRATÈGIC'!$Q$4:$Q$452,0)),""))</f>
        <v/>
      </c>
      <c r="P513" s="10">
        <f>IF($N513="","",IFERROR(INDEX('PLA ESTRATÈGIC'!$H$4:$H$452,MATCH($N513,'PLA ESTRATÈGIC'!$Q$4:$Q$452,0)),""))</f>
        <v/>
      </c>
      <c r="Q513" s="13" t="n"/>
      <c r="R513" s="11" t="n"/>
      <c r="S513" s="11" t="n"/>
      <c r="T513" s="11" t="n"/>
      <c r="U513" s="11" t="n"/>
      <c r="V513" s="10">
        <f>IF(COUNTA($C513,$D513,$J513,$M513)=0,"",IF(TRIM(IF($C513="","Falta l'actuació. ","")&amp;IF($D513="","Falta l'objectiu. ","")&amp;IF($J513="","Falta el tipus de despesa. ","")&amp;IF(AND($J513&lt;&gt;"",$J513&lt;&gt;"Mitjans propis",$J513&lt;&gt;"Altres",$M513=""),"Falta l'import. ","")&amp;IF(AND($J513="Contracte menor a càrrec del RAE",$K513=""),"Falta la partida RAE. ","")&amp;IF(AND($B513&lt;&gt;"",COUNTIF($B$6:$B$705,$B513)&gt;1),"Codi RAE repetit. ","")&amp;IF(AND($B513&lt;&gt;"",$J513&lt;&gt;"",$J513&lt;&gt;"Contracte menor a càrrec del RAE"),"Té codi RAE però no és de tipus RAE. ","")&amp;IF($N513="","Falta l'indicador del Pla. ","")&amp;IF($R513="","Falta el gestor. ","")&amp;IF($S513="","Falta indicar si és recurrent. ",""))="","✔",TRIM(IF($C513="","Falta l'actuació. ","")&amp;IF($D513="","Falta l'objectiu. ","")&amp;IF($J513="","Falta el tipus de despesa. ","")&amp;IF(AND($J513&lt;&gt;"",$J513&lt;&gt;"Mitjans propis",$J513&lt;&gt;"Altres",$M513=""),"Falta l'import. ","")&amp;IF(AND($J513="Contracte menor a càrrec del RAE",$K513=""),"Falta la partida RAE. ","")&amp;IF(AND($B513&lt;&gt;"",COUNTIF($B$6:$B$705,$B513)&gt;1),"Codi RAE repetit. ","")&amp;IF(AND($B513&lt;&gt;"",$J513&lt;&gt;"",$J513&lt;&gt;"Contracte menor a càrrec del RAE"),"Té codi RAE però no és de tipus RAE. ","")&amp;IF($N513="","Falta l'indicador del Pla. ","")&amp;IF($R513="","Falta el gestor. ","")&amp;IF($S513="","Falta indicar si és recurrent. ",""))))</f>
        <v/>
      </c>
    </row>
    <row r="514">
      <c r="A514" s="10">
        <f>IF($D514="","","27_"&amp;IFERROR(INDEX(Objectius!$E$2:$E$183,MATCH($D514,Objectius!$A$2:$A$183,0)),"??")&amp;"_"&amp;TEXT(COUNTIF($I$6:$I514,$I514),"00"))</f>
        <v/>
      </c>
      <c r="B514" s="11" t="n"/>
      <c r="C514" s="11" t="n"/>
      <c r="D514" s="11" t="n"/>
      <c r="E514" s="10">
        <f>IF($D514="","",IFERROR(INDEX(Objectius!$C$2:$C$183,MATCH($D514,Objectius!$A$2:$A$183,0)),"Objectiu no trobat al Pla"))</f>
        <v/>
      </c>
      <c r="F514" s="11" t="n"/>
      <c r="G514" s="11" t="n"/>
      <c r="H514" s="11" t="n"/>
      <c r="I514" s="10">
        <f>IF($D514="","",IFERROR(INDEX(Objectius!$D$2:$D$183,MATCH($D514,Objectius!$A$2:$A$183,0)),""))</f>
        <v/>
      </c>
      <c r="J514" s="11" t="n"/>
      <c r="K514" s="11" t="n"/>
      <c r="L514" s="11" t="n"/>
      <c r="M514" s="12" t="n"/>
      <c r="N514" s="11" t="n"/>
      <c r="O514" s="10">
        <f>IF($N514="","",IFERROR(INDEX('PLA ESTRATÈGIC'!$G$4:$G$452,MATCH($N514,'PLA ESTRATÈGIC'!$Q$4:$Q$452,0)),""))</f>
        <v/>
      </c>
      <c r="P514" s="10">
        <f>IF($N514="","",IFERROR(INDEX('PLA ESTRATÈGIC'!$H$4:$H$452,MATCH($N514,'PLA ESTRATÈGIC'!$Q$4:$Q$452,0)),""))</f>
        <v/>
      </c>
      <c r="Q514" s="13" t="n"/>
      <c r="R514" s="11" t="n"/>
      <c r="S514" s="11" t="n"/>
      <c r="T514" s="11" t="n"/>
      <c r="U514" s="11" t="n"/>
      <c r="V514" s="10">
        <f>IF(COUNTA($C514,$D514,$J514,$M514)=0,"",IF(TRIM(IF($C514="","Falta l'actuació. ","")&amp;IF($D514="","Falta l'objectiu. ","")&amp;IF($J514="","Falta el tipus de despesa. ","")&amp;IF(AND($J514&lt;&gt;"",$J514&lt;&gt;"Mitjans propis",$J514&lt;&gt;"Altres",$M514=""),"Falta l'import. ","")&amp;IF(AND($J514="Contracte menor a càrrec del RAE",$K514=""),"Falta la partida RAE. ","")&amp;IF(AND($B514&lt;&gt;"",COUNTIF($B$6:$B$705,$B514)&gt;1),"Codi RAE repetit. ","")&amp;IF(AND($B514&lt;&gt;"",$J514&lt;&gt;"",$J514&lt;&gt;"Contracte menor a càrrec del RAE"),"Té codi RAE però no és de tipus RAE. ","")&amp;IF($N514="","Falta l'indicador del Pla. ","")&amp;IF($R514="","Falta el gestor. ","")&amp;IF($S514="","Falta indicar si és recurrent. ",""))="","✔",TRIM(IF($C514="","Falta l'actuació. ","")&amp;IF($D514="","Falta l'objectiu. ","")&amp;IF($J514="","Falta el tipus de despesa. ","")&amp;IF(AND($J514&lt;&gt;"",$J514&lt;&gt;"Mitjans propis",$J514&lt;&gt;"Altres",$M514=""),"Falta l'import. ","")&amp;IF(AND($J514="Contracte menor a càrrec del RAE",$K514=""),"Falta la partida RAE. ","")&amp;IF(AND($B514&lt;&gt;"",COUNTIF($B$6:$B$705,$B514)&gt;1),"Codi RAE repetit. ","")&amp;IF(AND($B514&lt;&gt;"",$J514&lt;&gt;"",$J514&lt;&gt;"Contracte menor a càrrec del RAE"),"Té codi RAE però no és de tipus RAE. ","")&amp;IF($N514="","Falta l'indicador del Pla. ","")&amp;IF($R514="","Falta el gestor. ","")&amp;IF($S514="","Falta indicar si és recurrent. ",""))))</f>
        <v/>
      </c>
    </row>
    <row r="515">
      <c r="A515" s="10">
        <f>IF($D515="","","27_"&amp;IFERROR(INDEX(Objectius!$E$2:$E$183,MATCH($D515,Objectius!$A$2:$A$183,0)),"??")&amp;"_"&amp;TEXT(COUNTIF($I$6:$I515,$I515),"00"))</f>
        <v/>
      </c>
      <c r="B515" s="11" t="n"/>
      <c r="C515" s="11" t="n"/>
      <c r="D515" s="11" t="n"/>
      <c r="E515" s="10">
        <f>IF($D515="","",IFERROR(INDEX(Objectius!$C$2:$C$183,MATCH($D515,Objectius!$A$2:$A$183,0)),"Objectiu no trobat al Pla"))</f>
        <v/>
      </c>
      <c r="F515" s="11" t="n"/>
      <c r="G515" s="11" t="n"/>
      <c r="H515" s="11" t="n"/>
      <c r="I515" s="10">
        <f>IF($D515="","",IFERROR(INDEX(Objectius!$D$2:$D$183,MATCH($D515,Objectius!$A$2:$A$183,0)),""))</f>
        <v/>
      </c>
      <c r="J515" s="11" t="n"/>
      <c r="K515" s="11" t="n"/>
      <c r="L515" s="11" t="n"/>
      <c r="M515" s="12" t="n"/>
      <c r="N515" s="11" t="n"/>
      <c r="O515" s="10">
        <f>IF($N515="","",IFERROR(INDEX('PLA ESTRATÈGIC'!$G$4:$G$452,MATCH($N515,'PLA ESTRATÈGIC'!$Q$4:$Q$452,0)),""))</f>
        <v/>
      </c>
      <c r="P515" s="10">
        <f>IF($N515="","",IFERROR(INDEX('PLA ESTRATÈGIC'!$H$4:$H$452,MATCH($N515,'PLA ESTRATÈGIC'!$Q$4:$Q$452,0)),""))</f>
        <v/>
      </c>
      <c r="Q515" s="13" t="n"/>
      <c r="R515" s="11" t="n"/>
      <c r="S515" s="11" t="n"/>
      <c r="T515" s="11" t="n"/>
      <c r="U515" s="11" t="n"/>
      <c r="V515" s="10">
        <f>IF(COUNTA($C515,$D515,$J515,$M515)=0,"",IF(TRIM(IF($C515="","Falta l'actuació. ","")&amp;IF($D515="","Falta l'objectiu. ","")&amp;IF($J515="","Falta el tipus de despesa. ","")&amp;IF(AND($J515&lt;&gt;"",$J515&lt;&gt;"Mitjans propis",$J515&lt;&gt;"Altres",$M515=""),"Falta l'import. ","")&amp;IF(AND($J515="Contracte menor a càrrec del RAE",$K515=""),"Falta la partida RAE. ","")&amp;IF(AND($B515&lt;&gt;"",COUNTIF($B$6:$B$705,$B515)&gt;1),"Codi RAE repetit. ","")&amp;IF(AND($B515&lt;&gt;"",$J515&lt;&gt;"",$J515&lt;&gt;"Contracte menor a càrrec del RAE"),"Té codi RAE però no és de tipus RAE. ","")&amp;IF($N515="","Falta l'indicador del Pla. ","")&amp;IF($R515="","Falta el gestor. ","")&amp;IF($S515="","Falta indicar si és recurrent. ",""))="","✔",TRIM(IF($C515="","Falta l'actuació. ","")&amp;IF($D515="","Falta l'objectiu. ","")&amp;IF($J515="","Falta el tipus de despesa. ","")&amp;IF(AND($J515&lt;&gt;"",$J515&lt;&gt;"Mitjans propis",$J515&lt;&gt;"Altres",$M515=""),"Falta l'import. ","")&amp;IF(AND($J515="Contracte menor a càrrec del RAE",$K515=""),"Falta la partida RAE. ","")&amp;IF(AND($B515&lt;&gt;"",COUNTIF($B$6:$B$705,$B515)&gt;1),"Codi RAE repetit. ","")&amp;IF(AND($B515&lt;&gt;"",$J515&lt;&gt;"",$J515&lt;&gt;"Contracte menor a càrrec del RAE"),"Té codi RAE però no és de tipus RAE. ","")&amp;IF($N515="","Falta l'indicador del Pla. ","")&amp;IF($R515="","Falta el gestor. ","")&amp;IF($S515="","Falta indicar si és recurrent. ",""))))</f>
        <v/>
      </c>
    </row>
    <row r="516">
      <c r="A516" s="10">
        <f>IF($D516="","","27_"&amp;IFERROR(INDEX(Objectius!$E$2:$E$183,MATCH($D516,Objectius!$A$2:$A$183,0)),"??")&amp;"_"&amp;TEXT(COUNTIF($I$6:$I516,$I516),"00"))</f>
        <v/>
      </c>
      <c r="B516" s="11" t="n"/>
      <c r="C516" s="11" t="n"/>
      <c r="D516" s="11" t="n"/>
      <c r="E516" s="10">
        <f>IF($D516="","",IFERROR(INDEX(Objectius!$C$2:$C$183,MATCH($D516,Objectius!$A$2:$A$183,0)),"Objectiu no trobat al Pla"))</f>
        <v/>
      </c>
      <c r="F516" s="11" t="n"/>
      <c r="G516" s="11" t="n"/>
      <c r="H516" s="11" t="n"/>
      <c r="I516" s="10">
        <f>IF($D516="","",IFERROR(INDEX(Objectius!$D$2:$D$183,MATCH($D516,Objectius!$A$2:$A$183,0)),""))</f>
        <v/>
      </c>
      <c r="J516" s="11" t="n"/>
      <c r="K516" s="11" t="n"/>
      <c r="L516" s="11" t="n"/>
      <c r="M516" s="12" t="n"/>
      <c r="N516" s="11" t="n"/>
      <c r="O516" s="10">
        <f>IF($N516="","",IFERROR(INDEX('PLA ESTRATÈGIC'!$G$4:$G$452,MATCH($N516,'PLA ESTRATÈGIC'!$Q$4:$Q$452,0)),""))</f>
        <v/>
      </c>
      <c r="P516" s="10">
        <f>IF($N516="","",IFERROR(INDEX('PLA ESTRATÈGIC'!$H$4:$H$452,MATCH($N516,'PLA ESTRATÈGIC'!$Q$4:$Q$452,0)),""))</f>
        <v/>
      </c>
      <c r="Q516" s="13" t="n"/>
      <c r="R516" s="11" t="n"/>
      <c r="S516" s="11" t="n"/>
      <c r="T516" s="11" t="n"/>
      <c r="U516" s="11" t="n"/>
      <c r="V516" s="10">
        <f>IF(COUNTA($C516,$D516,$J516,$M516)=0,"",IF(TRIM(IF($C516="","Falta l'actuació. ","")&amp;IF($D516="","Falta l'objectiu. ","")&amp;IF($J516="","Falta el tipus de despesa. ","")&amp;IF(AND($J516&lt;&gt;"",$J516&lt;&gt;"Mitjans propis",$J516&lt;&gt;"Altres",$M516=""),"Falta l'import. ","")&amp;IF(AND($J516="Contracte menor a càrrec del RAE",$K516=""),"Falta la partida RAE. ","")&amp;IF(AND($B516&lt;&gt;"",COUNTIF($B$6:$B$705,$B516)&gt;1),"Codi RAE repetit. ","")&amp;IF(AND($B516&lt;&gt;"",$J516&lt;&gt;"",$J516&lt;&gt;"Contracte menor a càrrec del RAE"),"Té codi RAE però no és de tipus RAE. ","")&amp;IF($N516="","Falta l'indicador del Pla. ","")&amp;IF($R516="","Falta el gestor. ","")&amp;IF($S516="","Falta indicar si és recurrent. ",""))="","✔",TRIM(IF($C516="","Falta l'actuació. ","")&amp;IF($D516="","Falta l'objectiu. ","")&amp;IF($J516="","Falta el tipus de despesa. ","")&amp;IF(AND($J516&lt;&gt;"",$J516&lt;&gt;"Mitjans propis",$J516&lt;&gt;"Altres",$M516=""),"Falta l'import. ","")&amp;IF(AND($J516="Contracte menor a càrrec del RAE",$K516=""),"Falta la partida RAE. ","")&amp;IF(AND($B516&lt;&gt;"",COUNTIF($B$6:$B$705,$B516)&gt;1),"Codi RAE repetit. ","")&amp;IF(AND($B516&lt;&gt;"",$J516&lt;&gt;"",$J516&lt;&gt;"Contracte menor a càrrec del RAE"),"Té codi RAE però no és de tipus RAE. ","")&amp;IF($N516="","Falta l'indicador del Pla. ","")&amp;IF($R516="","Falta el gestor. ","")&amp;IF($S516="","Falta indicar si és recurrent. ",""))))</f>
        <v/>
      </c>
    </row>
    <row r="517">
      <c r="A517" s="10">
        <f>IF($D517="","","27_"&amp;IFERROR(INDEX(Objectius!$E$2:$E$183,MATCH($D517,Objectius!$A$2:$A$183,0)),"??")&amp;"_"&amp;TEXT(COUNTIF($I$6:$I517,$I517),"00"))</f>
        <v/>
      </c>
      <c r="B517" s="11" t="n"/>
      <c r="C517" s="11" t="n"/>
      <c r="D517" s="11" t="n"/>
      <c r="E517" s="10">
        <f>IF($D517="","",IFERROR(INDEX(Objectius!$C$2:$C$183,MATCH($D517,Objectius!$A$2:$A$183,0)),"Objectiu no trobat al Pla"))</f>
        <v/>
      </c>
      <c r="F517" s="11" t="n"/>
      <c r="G517" s="11" t="n"/>
      <c r="H517" s="11" t="n"/>
      <c r="I517" s="10">
        <f>IF($D517="","",IFERROR(INDEX(Objectius!$D$2:$D$183,MATCH($D517,Objectius!$A$2:$A$183,0)),""))</f>
        <v/>
      </c>
      <c r="J517" s="11" t="n"/>
      <c r="K517" s="11" t="n"/>
      <c r="L517" s="11" t="n"/>
      <c r="M517" s="12" t="n"/>
      <c r="N517" s="11" t="n"/>
      <c r="O517" s="10">
        <f>IF($N517="","",IFERROR(INDEX('PLA ESTRATÈGIC'!$G$4:$G$452,MATCH($N517,'PLA ESTRATÈGIC'!$Q$4:$Q$452,0)),""))</f>
        <v/>
      </c>
      <c r="P517" s="10">
        <f>IF($N517="","",IFERROR(INDEX('PLA ESTRATÈGIC'!$H$4:$H$452,MATCH($N517,'PLA ESTRATÈGIC'!$Q$4:$Q$452,0)),""))</f>
        <v/>
      </c>
      <c r="Q517" s="13" t="n"/>
      <c r="R517" s="11" t="n"/>
      <c r="S517" s="11" t="n"/>
      <c r="T517" s="11" t="n"/>
      <c r="U517" s="11" t="n"/>
      <c r="V517" s="10">
        <f>IF(COUNTA($C517,$D517,$J517,$M517)=0,"",IF(TRIM(IF($C517="","Falta l'actuació. ","")&amp;IF($D517="","Falta l'objectiu. ","")&amp;IF($J517="","Falta el tipus de despesa. ","")&amp;IF(AND($J517&lt;&gt;"",$J517&lt;&gt;"Mitjans propis",$J517&lt;&gt;"Altres",$M517=""),"Falta l'import. ","")&amp;IF(AND($J517="Contracte menor a càrrec del RAE",$K517=""),"Falta la partida RAE. ","")&amp;IF(AND($B517&lt;&gt;"",COUNTIF($B$6:$B$705,$B517)&gt;1),"Codi RAE repetit. ","")&amp;IF(AND($B517&lt;&gt;"",$J517&lt;&gt;"",$J517&lt;&gt;"Contracte menor a càrrec del RAE"),"Té codi RAE però no és de tipus RAE. ","")&amp;IF($N517="","Falta l'indicador del Pla. ","")&amp;IF($R517="","Falta el gestor. ","")&amp;IF($S517="","Falta indicar si és recurrent. ",""))="","✔",TRIM(IF($C517="","Falta l'actuació. ","")&amp;IF($D517="","Falta l'objectiu. ","")&amp;IF($J517="","Falta el tipus de despesa. ","")&amp;IF(AND($J517&lt;&gt;"",$J517&lt;&gt;"Mitjans propis",$J517&lt;&gt;"Altres",$M517=""),"Falta l'import. ","")&amp;IF(AND($J517="Contracte menor a càrrec del RAE",$K517=""),"Falta la partida RAE. ","")&amp;IF(AND($B517&lt;&gt;"",COUNTIF($B$6:$B$705,$B517)&gt;1),"Codi RAE repetit. ","")&amp;IF(AND($B517&lt;&gt;"",$J517&lt;&gt;"",$J517&lt;&gt;"Contracte menor a càrrec del RAE"),"Té codi RAE però no és de tipus RAE. ","")&amp;IF($N517="","Falta l'indicador del Pla. ","")&amp;IF($R517="","Falta el gestor. ","")&amp;IF($S517="","Falta indicar si és recurrent. ",""))))</f>
        <v/>
      </c>
    </row>
    <row r="518">
      <c r="A518" s="10">
        <f>IF($D518="","","27_"&amp;IFERROR(INDEX(Objectius!$E$2:$E$183,MATCH($D518,Objectius!$A$2:$A$183,0)),"??")&amp;"_"&amp;TEXT(COUNTIF($I$6:$I518,$I518),"00"))</f>
        <v/>
      </c>
      <c r="B518" s="11" t="n"/>
      <c r="C518" s="11" t="n"/>
      <c r="D518" s="11" t="n"/>
      <c r="E518" s="10">
        <f>IF($D518="","",IFERROR(INDEX(Objectius!$C$2:$C$183,MATCH($D518,Objectius!$A$2:$A$183,0)),"Objectiu no trobat al Pla"))</f>
        <v/>
      </c>
      <c r="F518" s="11" t="n"/>
      <c r="G518" s="11" t="n"/>
      <c r="H518" s="11" t="n"/>
      <c r="I518" s="10">
        <f>IF($D518="","",IFERROR(INDEX(Objectius!$D$2:$D$183,MATCH($D518,Objectius!$A$2:$A$183,0)),""))</f>
        <v/>
      </c>
      <c r="J518" s="11" t="n"/>
      <c r="K518" s="11" t="n"/>
      <c r="L518" s="11" t="n"/>
      <c r="M518" s="12" t="n"/>
      <c r="N518" s="11" t="n"/>
      <c r="O518" s="10">
        <f>IF($N518="","",IFERROR(INDEX('PLA ESTRATÈGIC'!$G$4:$G$452,MATCH($N518,'PLA ESTRATÈGIC'!$Q$4:$Q$452,0)),""))</f>
        <v/>
      </c>
      <c r="P518" s="10">
        <f>IF($N518="","",IFERROR(INDEX('PLA ESTRATÈGIC'!$H$4:$H$452,MATCH($N518,'PLA ESTRATÈGIC'!$Q$4:$Q$452,0)),""))</f>
        <v/>
      </c>
      <c r="Q518" s="13" t="n"/>
      <c r="R518" s="11" t="n"/>
      <c r="S518" s="11" t="n"/>
      <c r="T518" s="11" t="n"/>
      <c r="U518" s="11" t="n"/>
      <c r="V518" s="10">
        <f>IF(COUNTA($C518,$D518,$J518,$M518)=0,"",IF(TRIM(IF($C518="","Falta l'actuació. ","")&amp;IF($D518="","Falta l'objectiu. ","")&amp;IF($J518="","Falta el tipus de despesa. ","")&amp;IF(AND($J518&lt;&gt;"",$J518&lt;&gt;"Mitjans propis",$J518&lt;&gt;"Altres",$M518=""),"Falta l'import. ","")&amp;IF(AND($J518="Contracte menor a càrrec del RAE",$K518=""),"Falta la partida RAE. ","")&amp;IF(AND($B518&lt;&gt;"",COUNTIF($B$6:$B$705,$B518)&gt;1),"Codi RAE repetit. ","")&amp;IF(AND($B518&lt;&gt;"",$J518&lt;&gt;"",$J518&lt;&gt;"Contracte menor a càrrec del RAE"),"Té codi RAE però no és de tipus RAE. ","")&amp;IF($N518="","Falta l'indicador del Pla. ","")&amp;IF($R518="","Falta el gestor. ","")&amp;IF($S518="","Falta indicar si és recurrent. ",""))="","✔",TRIM(IF($C518="","Falta l'actuació. ","")&amp;IF($D518="","Falta l'objectiu. ","")&amp;IF($J518="","Falta el tipus de despesa. ","")&amp;IF(AND($J518&lt;&gt;"",$J518&lt;&gt;"Mitjans propis",$J518&lt;&gt;"Altres",$M518=""),"Falta l'import. ","")&amp;IF(AND($J518="Contracte menor a càrrec del RAE",$K518=""),"Falta la partida RAE. ","")&amp;IF(AND($B518&lt;&gt;"",COUNTIF($B$6:$B$705,$B518)&gt;1),"Codi RAE repetit. ","")&amp;IF(AND($B518&lt;&gt;"",$J518&lt;&gt;"",$J518&lt;&gt;"Contracte menor a càrrec del RAE"),"Té codi RAE però no és de tipus RAE. ","")&amp;IF($N518="","Falta l'indicador del Pla. ","")&amp;IF($R518="","Falta el gestor. ","")&amp;IF($S518="","Falta indicar si és recurrent. ",""))))</f>
        <v/>
      </c>
    </row>
    <row r="519">
      <c r="A519" s="10">
        <f>IF($D519="","","27_"&amp;IFERROR(INDEX(Objectius!$E$2:$E$183,MATCH($D519,Objectius!$A$2:$A$183,0)),"??")&amp;"_"&amp;TEXT(COUNTIF($I$6:$I519,$I519),"00"))</f>
        <v/>
      </c>
      <c r="B519" s="11" t="n"/>
      <c r="C519" s="11" t="n"/>
      <c r="D519" s="11" t="n"/>
      <c r="E519" s="10">
        <f>IF($D519="","",IFERROR(INDEX(Objectius!$C$2:$C$183,MATCH($D519,Objectius!$A$2:$A$183,0)),"Objectiu no trobat al Pla"))</f>
        <v/>
      </c>
      <c r="F519" s="11" t="n"/>
      <c r="G519" s="11" t="n"/>
      <c r="H519" s="11" t="n"/>
      <c r="I519" s="10">
        <f>IF($D519="","",IFERROR(INDEX(Objectius!$D$2:$D$183,MATCH($D519,Objectius!$A$2:$A$183,0)),""))</f>
        <v/>
      </c>
      <c r="J519" s="11" t="n"/>
      <c r="K519" s="11" t="n"/>
      <c r="L519" s="11" t="n"/>
      <c r="M519" s="12" t="n"/>
      <c r="N519" s="11" t="n"/>
      <c r="O519" s="10">
        <f>IF($N519="","",IFERROR(INDEX('PLA ESTRATÈGIC'!$G$4:$G$452,MATCH($N519,'PLA ESTRATÈGIC'!$Q$4:$Q$452,0)),""))</f>
        <v/>
      </c>
      <c r="P519" s="10">
        <f>IF($N519="","",IFERROR(INDEX('PLA ESTRATÈGIC'!$H$4:$H$452,MATCH($N519,'PLA ESTRATÈGIC'!$Q$4:$Q$452,0)),""))</f>
        <v/>
      </c>
      <c r="Q519" s="13" t="n"/>
      <c r="R519" s="11" t="n"/>
      <c r="S519" s="11" t="n"/>
      <c r="T519" s="11" t="n"/>
      <c r="U519" s="11" t="n"/>
      <c r="V519" s="10">
        <f>IF(COUNTA($C519,$D519,$J519,$M519)=0,"",IF(TRIM(IF($C519="","Falta l'actuació. ","")&amp;IF($D519="","Falta l'objectiu. ","")&amp;IF($J519="","Falta el tipus de despesa. ","")&amp;IF(AND($J519&lt;&gt;"",$J519&lt;&gt;"Mitjans propis",$J519&lt;&gt;"Altres",$M519=""),"Falta l'import. ","")&amp;IF(AND($J519="Contracte menor a càrrec del RAE",$K519=""),"Falta la partida RAE. ","")&amp;IF(AND($B519&lt;&gt;"",COUNTIF($B$6:$B$705,$B519)&gt;1),"Codi RAE repetit. ","")&amp;IF(AND($B519&lt;&gt;"",$J519&lt;&gt;"",$J519&lt;&gt;"Contracte menor a càrrec del RAE"),"Té codi RAE però no és de tipus RAE. ","")&amp;IF($N519="","Falta l'indicador del Pla. ","")&amp;IF($R519="","Falta el gestor. ","")&amp;IF($S519="","Falta indicar si és recurrent. ",""))="","✔",TRIM(IF($C519="","Falta l'actuació. ","")&amp;IF($D519="","Falta l'objectiu. ","")&amp;IF($J519="","Falta el tipus de despesa. ","")&amp;IF(AND($J519&lt;&gt;"",$J519&lt;&gt;"Mitjans propis",$J519&lt;&gt;"Altres",$M519=""),"Falta l'import. ","")&amp;IF(AND($J519="Contracte menor a càrrec del RAE",$K519=""),"Falta la partida RAE. ","")&amp;IF(AND($B519&lt;&gt;"",COUNTIF($B$6:$B$705,$B519)&gt;1),"Codi RAE repetit. ","")&amp;IF(AND($B519&lt;&gt;"",$J519&lt;&gt;"",$J519&lt;&gt;"Contracte menor a càrrec del RAE"),"Té codi RAE però no és de tipus RAE. ","")&amp;IF($N519="","Falta l'indicador del Pla. ","")&amp;IF($R519="","Falta el gestor. ","")&amp;IF($S519="","Falta indicar si és recurrent. ",""))))</f>
        <v/>
      </c>
    </row>
    <row r="520">
      <c r="A520" s="10">
        <f>IF($D520="","","27_"&amp;IFERROR(INDEX(Objectius!$E$2:$E$183,MATCH($D520,Objectius!$A$2:$A$183,0)),"??")&amp;"_"&amp;TEXT(COUNTIF($I$6:$I520,$I520),"00"))</f>
        <v/>
      </c>
      <c r="B520" s="11" t="n"/>
      <c r="C520" s="11" t="n"/>
      <c r="D520" s="11" t="n"/>
      <c r="E520" s="10">
        <f>IF($D520="","",IFERROR(INDEX(Objectius!$C$2:$C$183,MATCH($D520,Objectius!$A$2:$A$183,0)),"Objectiu no trobat al Pla"))</f>
        <v/>
      </c>
      <c r="F520" s="11" t="n"/>
      <c r="G520" s="11" t="n"/>
      <c r="H520" s="11" t="n"/>
      <c r="I520" s="10">
        <f>IF($D520="","",IFERROR(INDEX(Objectius!$D$2:$D$183,MATCH($D520,Objectius!$A$2:$A$183,0)),""))</f>
        <v/>
      </c>
      <c r="J520" s="11" t="n"/>
      <c r="K520" s="11" t="n"/>
      <c r="L520" s="11" t="n"/>
      <c r="M520" s="12" t="n"/>
      <c r="N520" s="11" t="n"/>
      <c r="O520" s="10">
        <f>IF($N520="","",IFERROR(INDEX('PLA ESTRATÈGIC'!$G$4:$G$452,MATCH($N520,'PLA ESTRATÈGIC'!$Q$4:$Q$452,0)),""))</f>
        <v/>
      </c>
      <c r="P520" s="10">
        <f>IF($N520="","",IFERROR(INDEX('PLA ESTRATÈGIC'!$H$4:$H$452,MATCH($N520,'PLA ESTRATÈGIC'!$Q$4:$Q$452,0)),""))</f>
        <v/>
      </c>
      <c r="Q520" s="13" t="n"/>
      <c r="R520" s="11" t="n"/>
      <c r="S520" s="11" t="n"/>
      <c r="T520" s="11" t="n"/>
      <c r="U520" s="11" t="n"/>
      <c r="V520" s="10">
        <f>IF(COUNTA($C520,$D520,$J520,$M520)=0,"",IF(TRIM(IF($C520="","Falta l'actuació. ","")&amp;IF($D520="","Falta l'objectiu. ","")&amp;IF($J520="","Falta el tipus de despesa. ","")&amp;IF(AND($J520&lt;&gt;"",$J520&lt;&gt;"Mitjans propis",$J520&lt;&gt;"Altres",$M520=""),"Falta l'import. ","")&amp;IF(AND($J520="Contracte menor a càrrec del RAE",$K520=""),"Falta la partida RAE. ","")&amp;IF(AND($B520&lt;&gt;"",COUNTIF($B$6:$B$705,$B520)&gt;1),"Codi RAE repetit. ","")&amp;IF(AND($B520&lt;&gt;"",$J520&lt;&gt;"",$J520&lt;&gt;"Contracte menor a càrrec del RAE"),"Té codi RAE però no és de tipus RAE. ","")&amp;IF($N520="","Falta l'indicador del Pla. ","")&amp;IF($R520="","Falta el gestor. ","")&amp;IF($S520="","Falta indicar si és recurrent. ",""))="","✔",TRIM(IF($C520="","Falta l'actuació. ","")&amp;IF($D520="","Falta l'objectiu. ","")&amp;IF($J520="","Falta el tipus de despesa. ","")&amp;IF(AND($J520&lt;&gt;"",$J520&lt;&gt;"Mitjans propis",$J520&lt;&gt;"Altres",$M520=""),"Falta l'import. ","")&amp;IF(AND($J520="Contracte menor a càrrec del RAE",$K520=""),"Falta la partida RAE. ","")&amp;IF(AND($B520&lt;&gt;"",COUNTIF($B$6:$B$705,$B520)&gt;1),"Codi RAE repetit. ","")&amp;IF(AND($B520&lt;&gt;"",$J520&lt;&gt;"",$J520&lt;&gt;"Contracte menor a càrrec del RAE"),"Té codi RAE però no és de tipus RAE. ","")&amp;IF($N520="","Falta l'indicador del Pla. ","")&amp;IF($R520="","Falta el gestor. ","")&amp;IF($S520="","Falta indicar si és recurrent. ",""))))</f>
        <v/>
      </c>
    </row>
    <row r="521">
      <c r="A521" s="10">
        <f>IF($D521="","","27_"&amp;IFERROR(INDEX(Objectius!$E$2:$E$183,MATCH($D521,Objectius!$A$2:$A$183,0)),"??")&amp;"_"&amp;TEXT(COUNTIF($I$6:$I521,$I521),"00"))</f>
        <v/>
      </c>
      <c r="B521" s="11" t="n"/>
      <c r="C521" s="11" t="n"/>
      <c r="D521" s="11" t="n"/>
      <c r="E521" s="10">
        <f>IF($D521="","",IFERROR(INDEX(Objectius!$C$2:$C$183,MATCH($D521,Objectius!$A$2:$A$183,0)),"Objectiu no trobat al Pla"))</f>
        <v/>
      </c>
      <c r="F521" s="11" t="n"/>
      <c r="G521" s="11" t="n"/>
      <c r="H521" s="11" t="n"/>
      <c r="I521" s="10">
        <f>IF($D521="","",IFERROR(INDEX(Objectius!$D$2:$D$183,MATCH($D521,Objectius!$A$2:$A$183,0)),""))</f>
        <v/>
      </c>
      <c r="J521" s="11" t="n"/>
      <c r="K521" s="11" t="n"/>
      <c r="L521" s="11" t="n"/>
      <c r="M521" s="12" t="n"/>
      <c r="N521" s="11" t="n"/>
      <c r="O521" s="10">
        <f>IF($N521="","",IFERROR(INDEX('PLA ESTRATÈGIC'!$G$4:$G$452,MATCH($N521,'PLA ESTRATÈGIC'!$Q$4:$Q$452,0)),""))</f>
        <v/>
      </c>
      <c r="P521" s="10">
        <f>IF($N521="","",IFERROR(INDEX('PLA ESTRATÈGIC'!$H$4:$H$452,MATCH($N521,'PLA ESTRATÈGIC'!$Q$4:$Q$452,0)),""))</f>
        <v/>
      </c>
      <c r="Q521" s="13" t="n"/>
      <c r="R521" s="11" t="n"/>
      <c r="S521" s="11" t="n"/>
      <c r="T521" s="11" t="n"/>
      <c r="U521" s="11" t="n"/>
      <c r="V521" s="10">
        <f>IF(COUNTA($C521,$D521,$J521,$M521)=0,"",IF(TRIM(IF($C521="","Falta l'actuació. ","")&amp;IF($D521="","Falta l'objectiu. ","")&amp;IF($J521="","Falta el tipus de despesa. ","")&amp;IF(AND($J521&lt;&gt;"",$J521&lt;&gt;"Mitjans propis",$J521&lt;&gt;"Altres",$M521=""),"Falta l'import. ","")&amp;IF(AND($J521="Contracte menor a càrrec del RAE",$K521=""),"Falta la partida RAE. ","")&amp;IF(AND($B521&lt;&gt;"",COUNTIF($B$6:$B$705,$B521)&gt;1),"Codi RAE repetit. ","")&amp;IF(AND($B521&lt;&gt;"",$J521&lt;&gt;"",$J521&lt;&gt;"Contracte menor a càrrec del RAE"),"Té codi RAE però no és de tipus RAE. ","")&amp;IF($N521="","Falta l'indicador del Pla. ","")&amp;IF($R521="","Falta el gestor. ","")&amp;IF($S521="","Falta indicar si és recurrent. ",""))="","✔",TRIM(IF($C521="","Falta l'actuació. ","")&amp;IF($D521="","Falta l'objectiu. ","")&amp;IF($J521="","Falta el tipus de despesa. ","")&amp;IF(AND($J521&lt;&gt;"",$J521&lt;&gt;"Mitjans propis",$J521&lt;&gt;"Altres",$M521=""),"Falta l'import. ","")&amp;IF(AND($J521="Contracte menor a càrrec del RAE",$K521=""),"Falta la partida RAE. ","")&amp;IF(AND($B521&lt;&gt;"",COUNTIF($B$6:$B$705,$B521)&gt;1),"Codi RAE repetit. ","")&amp;IF(AND($B521&lt;&gt;"",$J521&lt;&gt;"",$J521&lt;&gt;"Contracte menor a càrrec del RAE"),"Té codi RAE però no és de tipus RAE. ","")&amp;IF($N521="","Falta l'indicador del Pla. ","")&amp;IF($R521="","Falta el gestor. ","")&amp;IF($S521="","Falta indicar si és recurrent. ",""))))</f>
        <v/>
      </c>
    </row>
    <row r="522">
      <c r="A522" s="10">
        <f>IF($D522="","","27_"&amp;IFERROR(INDEX(Objectius!$E$2:$E$183,MATCH($D522,Objectius!$A$2:$A$183,0)),"??")&amp;"_"&amp;TEXT(COUNTIF($I$6:$I522,$I522),"00"))</f>
        <v/>
      </c>
      <c r="B522" s="11" t="n"/>
      <c r="C522" s="11" t="n"/>
      <c r="D522" s="11" t="n"/>
      <c r="E522" s="10">
        <f>IF($D522="","",IFERROR(INDEX(Objectius!$C$2:$C$183,MATCH($D522,Objectius!$A$2:$A$183,0)),"Objectiu no trobat al Pla"))</f>
        <v/>
      </c>
      <c r="F522" s="11" t="n"/>
      <c r="G522" s="11" t="n"/>
      <c r="H522" s="11" t="n"/>
      <c r="I522" s="10">
        <f>IF($D522="","",IFERROR(INDEX(Objectius!$D$2:$D$183,MATCH($D522,Objectius!$A$2:$A$183,0)),""))</f>
        <v/>
      </c>
      <c r="J522" s="11" t="n"/>
      <c r="K522" s="11" t="n"/>
      <c r="L522" s="11" t="n"/>
      <c r="M522" s="12" t="n"/>
      <c r="N522" s="11" t="n"/>
      <c r="O522" s="10">
        <f>IF($N522="","",IFERROR(INDEX('PLA ESTRATÈGIC'!$G$4:$G$452,MATCH($N522,'PLA ESTRATÈGIC'!$Q$4:$Q$452,0)),""))</f>
        <v/>
      </c>
      <c r="P522" s="10">
        <f>IF($N522="","",IFERROR(INDEX('PLA ESTRATÈGIC'!$H$4:$H$452,MATCH($N522,'PLA ESTRATÈGIC'!$Q$4:$Q$452,0)),""))</f>
        <v/>
      </c>
      <c r="Q522" s="13" t="n"/>
      <c r="R522" s="11" t="n"/>
      <c r="S522" s="11" t="n"/>
      <c r="T522" s="11" t="n"/>
      <c r="U522" s="11" t="n"/>
      <c r="V522" s="10">
        <f>IF(COUNTA($C522,$D522,$J522,$M522)=0,"",IF(TRIM(IF($C522="","Falta l'actuació. ","")&amp;IF($D522="","Falta l'objectiu. ","")&amp;IF($J522="","Falta el tipus de despesa. ","")&amp;IF(AND($J522&lt;&gt;"",$J522&lt;&gt;"Mitjans propis",$J522&lt;&gt;"Altres",$M522=""),"Falta l'import. ","")&amp;IF(AND($J522="Contracte menor a càrrec del RAE",$K522=""),"Falta la partida RAE. ","")&amp;IF(AND($B522&lt;&gt;"",COUNTIF($B$6:$B$705,$B522)&gt;1),"Codi RAE repetit. ","")&amp;IF(AND($B522&lt;&gt;"",$J522&lt;&gt;"",$J522&lt;&gt;"Contracte menor a càrrec del RAE"),"Té codi RAE però no és de tipus RAE. ","")&amp;IF($N522="","Falta l'indicador del Pla. ","")&amp;IF($R522="","Falta el gestor. ","")&amp;IF($S522="","Falta indicar si és recurrent. ",""))="","✔",TRIM(IF($C522="","Falta l'actuació. ","")&amp;IF($D522="","Falta l'objectiu. ","")&amp;IF($J522="","Falta el tipus de despesa. ","")&amp;IF(AND($J522&lt;&gt;"",$J522&lt;&gt;"Mitjans propis",$J522&lt;&gt;"Altres",$M522=""),"Falta l'import. ","")&amp;IF(AND($J522="Contracte menor a càrrec del RAE",$K522=""),"Falta la partida RAE. ","")&amp;IF(AND($B522&lt;&gt;"",COUNTIF($B$6:$B$705,$B522)&gt;1),"Codi RAE repetit. ","")&amp;IF(AND($B522&lt;&gt;"",$J522&lt;&gt;"",$J522&lt;&gt;"Contracte menor a càrrec del RAE"),"Té codi RAE però no és de tipus RAE. ","")&amp;IF($N522="","Falta l'indicador del Pla. ","")&amp;IF($R522="","Falta el gestor. ","")&amp;IF($S522="","Falta indicar si és recurrent. ",""))))</f>
        <v/>
      </c>
    </row>
    <row r="523">
      <c r="A523" s="10">
        <f>IF($D523="","","27_"&amp;IFERROR(INDEX(Objectius!$E$2:$E$183,MATCH($D523,Objectius!$A$2:$A$183,0)),"??")&amp;"_"&amp;TEXT(COUNTIF($I$6:$I523,$I523),"00"))</f>
        <v/>
      </c>
      <c r="B523" s="11" t="n"/>
      <c r="C523" s="11" t="n"/>
      <c r="D523" s="11" t="n"/>
      <c r="E523" s="10">
        <f>IF($D523="","",IFERROR(INDEX(Objectius!$C$2:$C$183,MATCH($D523,Objectius!$A$2:$A$183,0)),"Objectiu no trobat al Pla"))</f>
        <v/>
      </c>
      <c r="F523" s="11" t="n"/>
      <c r="G523" s="11" t="n"/>
      <c r="H523" s="11" t="n"/>
      <c r="I523" s="10">
        <f>IF($D523="","",IFERROR(INDEX(Objectius!$D$2:$D$183,MATCH($D523,Objectius!$A$2:$A$183,0)),""))</f>
        <v/>
      </c>
      <c r="J523" s="11" t="n"/>
      <c r="K523" s="11" t="n"/>
      <c r="L523" s="11" t="n"/>
      <c r="M523" s="12" t="n"/>
      <c r="N523" s="11" t="n"/>
      <c r="O523" s="10">
        <f>IF($N523="","",IFERROR(INDEX('PLA ESTRATÈGIC'!$G$4:$G$452,MATCH($N523,'PLA ESTRATÈGIC'!$Q$4:$Q$452,0)),""))</f>
        <v/>
      </c>
      <c r="P523" s="10">
        <f>IF($N523="","",IFERROR(INDEX('PLA ESTRATÈGIC'!$H$4:$H$452,MATCH($N523,'PLA ESTRATÈGIC'!$Q$4:$Q$452,0)),""))</f>
        <v/>
      </c>
      <c r="Q523" s="13" t="n"/>
      <c r="R523" s="11" t="n"/>
      <c r="S523" s="11" t="n"/>
      <c r="T523" s="11" t="n"/>
      <c r="U523" s="11" t="n"/>
      <c r="V523" s="10">
        <f>IF(COUNTA($C523,$D523,$J523,$M523)=0,"",IF(TRIM(IF($C523="","Falta l'actuació. ","")&amp;IF($D523="","Falta l'objectiu. ","")&amp;IF($J523="","Falta el tipus de despesa. ","")&amp;IF(AND($J523&lt;&gt;"",$J523&lt;&gt;"Mitjans propis",$J523&lt;&gt;"Altres",$M523=""),"Falta l'import. ","")&amp;IF(AND($J523="Contracte menor a càrrec del RAE",$K523=""),"Falta la partida RAE. ","")&amp;IF(AND($B523&lt;&gt;"",COUNTIF($B$6:$B$705,$B523)&gt;1),"Codi RAE repetit. ","")&amp;IF(AND($B523&lt;&gt;"",$J523&lt;&gt;"",$J523&lt;&gt;"Contracte menor a càrrec del RAE"),"Té codi RAE però no és de tipus RAE. ","")&amp;IF($N523="","Falta l'indicador del Pla. ","")&amp;IF($R523="","Falta el gestor. ","")&amp;IF($S523="","Falta indicar si és recurrent. ",""))="","✔",TRIM(IF($C523="","Falta l'actuació. ","")&amp;IF($D523="","Falta l'objectiu. ","")&amp;IF($J523="","Falta el tipus de despesa. ","")&amp;IF(AND($J523&lt;&gt;"",$J523&lt;&gt;"Mitjans propis",$J523&lt;&gt;"Altres",$M523=""),"Falta l'import. ","")&amp;IF(AND($J523="Contracte menor a càrrec del RAE",$K523=""),"Falta la partida RAE. ","")&amp;IF(AND($B523&lt;&gt;"",COUNTIF($B$6:$B$705,$B523)&gt;1),"Codi RAE repetit. ","")&amp;IF(AND($B523&lt;&gt;"",$J523&lt;&gt;"",$J523&lt;&gt;"Contracte menor a càrrec del RAE"),"Té codi RAE però no és de tipus RAE. ","")&amp;IF($N523="","Falta l'indicador del Pla. ","")&amp;IF($R523="","Falta el gestor. ","")&amp;IF($S523="","Falta indicar si és recurrent. ",""))))</f>
        <v/>
      </c>
    </row>
    <row r="524">
      <c r="A524" s="10">
        <f>IF($D524="","","27_"&amp;IFERROR(INDEX(Objectius!$E$2:$E$183,MATCH($D524,Objectius!$A$2:$A$183,0)),"??")&amp;"_"&amp;TEXT(COUNTIF($I$6:$I524,$I524),"00"))</f>
        <v/>
      </c>
      <c r="B524" s="11" t="n"/>
      <c r="C524" s="11" t="n"/>
      <c r="D524" s="11" t="n"/>
      <c r="E524" s="10">
        <f>IF($D524="","",IFERROR(INDEX(Objectius!$C$2:$C$183,MATCH($D524,Objectius!$A$2:$A$183,0)),"Objectiu no trobat al Pla"))</f>
        <v/>
      </c>
      <c r="F524" s="11" t="n"/>
      <c r="G524" s="11" t="n"/>
      <c r="H524" s="11" t="n"/>
      <c r="I524" s="10">
        <f>IF($D524="","",IFERROR(INDEX(Objectius!$D$2:$D$183,MATCH($D524,Objectius!$A$2:$A$183,0)),""))</f>
        <v/>
      </c>
      <c r="J524" s="11" t="n"/>
      <c r="K524" s="11" t="n"/>
      <c r="L524" s="11" t="n"/>
      <c r="M524" s="12" t="n"/>
      <c r="N524" s="11" t="n"/>
      <c r="O524" s="10">
        <f>IF($N524="","",IFERROR(INDEX('PLA ESTRATÈGIC'!$G$4:$G$452,MATCH($N524,'PLA ESTRATÈGIC'!$Q$4:$Q$452,0)),""))</f>
        <v/>
      </c>
      <c r="P524" s="10">
        <f>IF($N524="","",IFERROR(INDEX('PLA ESTRATÈGIC'!$H$4:$H$452,MATCH($N524,'PLA ESTRATÈGIC'!$Q$4:$Q$452,0)),""))</f>
        <v/>
      </c>
      <c r="Q524" s="13" t="n"/>
      <c r="R524" s="11" t="n"/>
      <c r="S524" s="11" t="n"/>
      <c r="T524" s="11" t="n"/>
      <c r="U524" s="11" t="n"/>
      <c r="V524" s="10">
        <f>IF(COUNTA($C524,$D524,$J524,$M524)=0,"",IF(TRIM(IF($C524="","Falta l'actuació. ","")&amp;IF($D524="","Falta l'objectiu. ","")&amp;IF($J524="","Falta el tipus de despesa. ","")&amp;IF(AND($J524&lt;&gt;"",$J524&lt;&gt;"Mitjans propis",$J524&lt;&gt;"Altres",$M524=""),"Falta l'import. ","")&amp;IF(AND($J524="Contracte menor a càrrec del RAE",$K524=""),"Falta la partida RAE. ","")&amp;IF(AND($B524&lt;&gt;"",COUNTIF($B$6:$B$705,$B524)&gt;1),"Codi RAE repetit. ","")&amp;IF(AND($B524&lt;&gt;"",$J524&lt;&gt;"",$J524&lt;&gt;"Contracte menor a càrrec del RAE"),"Té codi RAE però no és de tipus RAE. ","")&amp;IF($N524="","Falta l'indicador del Pla. ","")&amp;IF($R524="","Falta el gestor. ","")&amp;IF($S524="","Falta indicar si és recurrent. ",""))="","✔",TRIM(IF($C524="","Falta l'actuació. ","")&amp;IF($D524="","Falta l'objectiu. ","")&amp;IF($J524="","Falta el tipus de despesa. ","")&amp;IF(AND($J524&lt;&gt;"",$J524&lt;&gt;"Mitjans propis",$J524&lt;&gt;"Altres",$M524=""),"Falta l'import. ","")&amp;IF(AND($J524="Contracte menor a càrrec del RAE",$K524=""),"Falta la partida RAE. ","")&amp;IF(AND($B524&lt;&gt;"",COUNTIF($B$6:$B$705,$B524)&gt;1),"Codi RAE repetit. ","")&amp;IF(AND($B524&lt;&gt;"",$J524&lt;&gt;"",$J524&lt;&gt;"Contracte menor a càrrec del RAE"),"Té codi RAE però no és de tipus RAE. ","")&amp;IF($N524="","Falta l'indicador del Pla. ","")&amp;IF($R524="","Falta el gestor. ","")&amp;IF($S524="","Falta indicar si és recurrent. ",""))))</f>
        <v/>
      </c>
    </row>
    <row r="525">
      <c r="A525" s="10">
        <f>IF($D525="","","27_"&amp;IFERROR(INDEX(Objectius!$E$2:$E$183,MATCH($D525,Objectius!$A$2:$A$183,0)),"??")&amp;"_"&amp;TEXT(COUNTIF($I$6:$I525,$I525),"00"))</f>
        <v/>
      </c>
      <c r="B525" s="11" t="n"/>
      <c r="C525" s="11" t="n"/>
      <c r="D525" s="11" t="n"/>
      <c r="E525" s="10">
        <f>IF($D525="","",IFERROR(INDEX(Objectius!$C$2:$C$183,MATCH($D525,Objectius!$A$2:$A$183,0)),"Objectiu no trobat al Pla"))</f>
        <v/>
      </c>
      <c r="F525" s="11" t="n"/>
      <c r="G525" s="11" t="n"/>
      <c r="H525" s="11" t="n"/>
      <c r="I525" s="10">
        <f>IF($D525="","",IFERROR(INDEX(Objectius!$D$2:$D$183,MATCH($D525,Objectius!$A$2:$A$183,0)),""))</f>
        <v/>
      </c>
      <c r="J525" s="11" t="n"/>
      <c r="K525" s="11" t="n"/>
      <c r="L525" s="11" t="n"/>
      <c r="M525" s="12" t="n"/>
      <c r="N525" s="11" t="n"/>
      <c r="O525" s="10">
        <f>IF($N525="","",IFERROR(INDEX('PLA ESTRATÈGIC'!$G$4:$G$452,MATCH($N525,'PLA ESTRATÈGIC'!$Q$4:$Q$452,0)),""))</f>
        <v/>
      </c>
      <c r="P525" s="10">
        <f>IF($N525="","",IFERROR(INDEX('PLA ESTRATÈGIC'!$H$4:$H$452,MATCH($N525,'PLA ESTRATÈGIC'!$Q$4:$Q$452,0)),""))</f>
        <v/>
      </c>
      <c r="Q525" s="13" t="n"/>
      <c r="R525" s="11" t="n"/>
      <c r="S525" s="11" t="n"/>
      <c r="T525" s="11" t="n"/>
      <c r="U525" s="11" t="n"/>
      <c r="V525" s="10">
        <f>IF(COUNTA($C525,$D525,$J525,$M525)=0,"",IF(TRIM(IF($C525="","Falta l'actuació. ","")&amp;IF($D525="","Falta l'objectiu. ","")&amp;IF($J525="","Falta el tipus de despesa. ","")&amp;IF(AND($J525&lt;&gt;"",$J525&lt;&gt;"Mitjans propis",$J525&lt;&gt;"Altres",$M525=""),"Falta l'import. ","")&amp;IF(AND($J525="Contracte menor a càrrec del RAE",$K525=""),"Falta la partida RAE. ","")&amp;IF(AND($B525&lt;&gt;"",COUNTIF($B$6:$B$705,$B525)&gt;1),"Codi RAE repetit. ","")&amp;IF(AND($B525&lt;&gt;"",$J525&lt;&gt;"",$J525&lt;&gt;"Contracte menor a càrrec del RAE"),"Té codi RAE però no és de tipus RAE. ","")&amp;IF($N525="","Falta l'indicador del Pla. ","")&amp;IF($R525="","Falta el gestor. ","")&amp;IF($S525="","Falta indicar si és recurrent. ",""))="","✔",TRIM(IF($C525="","Falta l'actuació. ","")&amp;IF($D525="","Falta l'objectiu. ","")&amp;IF($J525="","Falta el tipus de despesa. ","")&amp;IF(AND($J525&lt;&gt;"",$J525&lt;&gt;"Mitjans propis",$J525&lt;&gt;"Altres",$M525=""),"Falta l'import. ","")&amp;IF(AND($J525="Contracte menor a càrrec del RAE",$K525=""),"Falta la partida RAE. ","")&amp;IF(AND($B525&lt;&gt;"",COUNTIF($B$6:$B$705,$B525)&gt;1),"Codi RAE repetit. ","")&amp;IF(AND($B525&lt;&gt;"",$J525&lt;&gt;"",$J525&lt;&gt;"Contracte menor a càrrec del RAE"),"Té codi RAE però no és de tipus RAE. ","")&amp;IF($N525="","Falta l'indicador del Pla. ","")&amp;IF($R525="","Falta el gestor. ","")&amp;IF($S525="","Falta indicar si és recurrent. ",""))))</f>
        <v/>
      </c>
    </row>
    <row r="526">
      <c r="A526" s="10">
        <f>IF($D526="","","27_"&amp;IFERROR(INDEX(Objectius!$E$2:$E$183,MATCH($D526,Objectius!$A$2:$A$183,0)),"??")&amp;"_"&amp;TEXT(COUNTIF($I$6:$I526,$I526),"00"))</f>
        <v/>
      </c>
      <c r="B526" s="11" t="n"/>
      <c r="C526" s="11" t="n"/>
      <c r="D526" s="11" t="n"/>
      <c r="E526" s="10">
        <f>IF($D526="","",IFERROR(INDEX(Objectius!$C$2:$C$183,MATCH($D526,Objectius!$A$2:$A$183,0)),"Objectiu no trobat al Pla"))</f>
        <v/>
      </c>
      <c r="F526" s="11" t="n"/>
      <c r="G526" s="11" t="n"/>
      <c r="H526" s="11" t="n"/>
      <c r="I526" s="10">
        <f>IF($D526="","",IFERROR(INDEX(Objectius!$D$2:$D$183,MATCH($D526,Objectius!$A$2:$A$183,0)),""))</f>
        <v/>
      </c>
      <c r="J526" s="11" t="n"/>
      <c r="K526" s="11" t="n"/>
      <c r="L526" s="11" t="n"/>
      <c r="M526" s="12" t="n"/>
      <c r="N526" s="11" t="n"/>
      <c r="O526" s="10">
        <f>IF($N526="","",IFERROR(INDEX('PLA ESTRATÈGIC'!$G$4:$G$452,MATCH($N526,'PLA ESTRATÈGIC'!$Q$4:$Q$452,0)),""))</f>
        <v/>
      </c>
      <c r="P526" s="10">
        <f>IF($N526="","",IFERROR(INDEX('PLA ESTRATÈGIC'!$H$4:$H$452,MATCH($N526,'PLA ESTRATÈGIC'!$Q$4:$Q$452,0)),""))</f>
        <v/>
      </c>
      <c r="Q526" s="13" t="n"/>
      <c r="R526" s="11" t="n"/>
      <c r="S526" s="11" t="n"/>
      <c r="T526" s="11" t="n"/>
      <c r="U526" s="11" t="n"/>
      <c r="V526" s="10">
        <f>IF(COUNTA($C526,$D526,$J526,$M526)=0,"",IF(TRIM(IF($C526="","Falta l'actuació. ","")&amp;IF($D526="","Falta l'objectiu. ","")&amp;IF($J526="","Falta el tipus de despesa. ","")&amp;IF(AND($J526&lt;&gt;"",$J526&lt;&gt;"Mitjans propis",$J526&lt;&gt;"Altres",$M526=""),"Falta l'import. ","")&amp;IF(AND($J526="Contracte menor a càrrec del RAE",$K526=""),"Falta la partida RAE. ","")&amp;IF(AND($B526&lt;&gt;"",COUNTIF($B$6:$B$705,$B526)&gt;1),"Codi RAE repetit. ","")&amp;IF(AND($B526&lt;&gt;"",$J526&lt;&gt;"",$J526&lt;&gt;"Contracte menor a càrrec del RAE"),"Té codi RAE però no és de tipus RAE. ","")&amp;IF($N526="","Falta l'indicador del Pla. ","")&amp;IF($R526="","Falta el gestor. ","")&amp;IF($S526="","Falta indicar si és recurrent. ",""))="","✔",TRIM(IF($C526="","Falta l'actuació. ","")&amp;IF($D526="","Falta l'objectiu. ","")&amp;IF($J526="","Falta el tipus de despesa. ","")&amp;IF(AND($J526&lt;&gt;"",$J526&lt;&gt;"Mitjans propis",$J526&lt;&gt;"Altres",$M526=""),"Falta l'import. ","")&amp;IF(AND($J526="Contracte menor a càrrec del RAE",$K526=""),"Falta la partida RAE. ","")&amp;IF(AND($B526&lt;&gt;"",COUNTIF($B$6:$B$705,$B526)&gt;1),"Codi RAE repetit. ","")&amp;IF(AND($B526&lt;&gt;"",$J526&lt;&gt;"",$J526&lt;&gt;"Contracte menor a càrrec del RAE"),"Té codi RAE però no és de tipus RAE. ","")&amp;IF($N526="","Falta l'indicador del Pla. ","")&amp;IF($R526="","Falta el gestor. ","")&amp;IF($S526="","Falta indicar si és recurrent. ",""))))</f>
        <v/>
      </c>
    </row>
    <row r="527">
      <c r="A527" s="10">
        <f>IF($D527="","","27_"&amp;IFERROR(INDEX(Objectius!$E$2:$E$183,MATCH($D527,Objectius!$A$2:$A$183,0)),"??")&amp;"_"&amp;TEXT(COUNTIF($I$6:$I527,$I527),"00"))</f>
        <v/>
      </c>
      <c r="B527" s="11" t="n"/>
      <c r="C527" s="11" t="n"/>
      <c r="D527" s="11" t="n"/>
      <c r="E527" s="10">
        <f>IF($D527="","",IFERROR(INDEX(Objectius!$C$2:$C$183,MATCH($D527,Objectius!$A$2:$A$183,0)),"Objectiu no trobat al Pla"))</f>
        <v/>
      </c>
      <c r="F527" s="11" t="n"/>
      <c r="G527" s="11" t="n"/>
      <c r="H527" s="11" t="n"/>
      <c r="I527" s="10">
        <f>IF($D527="","",IFERROR(INDEX(Objectius!$D$2:$D$183,MATCH($D527,Objectius!$A$2:$A$183,0)),""))</f>
        <v/>
      </c>
      <c r="J527" s="11" t="n"/>
      <c r="K527" s="11" t="n"/>
      <c r="L527" s="11" t="n"/>
      <c r="M527" s="12" t="n"/>
      <c r="N527" s="11" t="n"/>
      <c r="O527" s="10">
        <f>IF($N527="","",IFERROR(INDEX('PLA ESTRATÈGIC'!$G$4:$G$452,MATCH($N527,'PLA ESTRATÈGIC'!$Q$4:$Q$452,0)),""))</f>
        <v/>
      </c>
      <c r="P527" s="10">
        <f>IF($N527="","",IFERROR(INDEX('PLA ESTRATÈGIC'!$H$4:$H$452,MATCH($N527,'PLA ESTRATÈGIC'!$Q$4:$Q$452,0)),""))</f>
        <v/>
      </c>
      <c r="Q527" s="13" t="n"/>
      <c r="R527" s="11" t="n"/>
      <c r="S527" s="11" t="n"/>
      <c r="T527" s="11" t="n"/>
      <c r="U527" s="11" t="n"/>
      <c r="V527" s="10">
        <f>IF(COUNTA($C527,$D527,$J527,$M527)=0,"",IF(TRIM(IF($C527="","Falta l'actuació. ","")&amp;IF($D527="","Falta l'objectiu. ","")&amp;IF($J527="","Falta el tipus de despesa. ","")&amp;IF(AND($J527&lt;&gt;"",$J527&lt;&gt;"Mitjans propis",$J527&lt;&gt;"Altres",$M527=""),"Falta l'import. ","")&amp;IF(AND($J527="Contracte menor a càrrec del RAE",$K527=""),"Falta la partida RAE. ","")&amp;IF(AND($B527&lt;&gt;"",COUNTIF($B$6:$B$705,$B527)&gt;1),"Codi RAE repetit. ","")&amp;IF(AND($B527&lt;&gt;"",$J527&lt;&gt;"",$J527&lt;&gt;"Contracte menor a càrrec del RAE"),"Té codi RAE però no és de tipus RAE. ","")&amp;IF($N527="","Falta l'indicador del Pla. ","")&amp;IF($R527="","Falta el gestor. ","")&amp;IF($S527="","Falta indicar si és recurrent. ",""))="","✔",TRIM(IF($C527="","Falta l'actuació. ","")&amp;IF($D527="","Falta l'objectiu. ","")&amp;IF($J527="","Falta el tipus de despesa. ","")&amp;IF(AND($J527&lt;&gt;"",$J527&lt;&gt;"Mitjans propis",$J527&lt;&gt;"Altres",$M527=""),"Falta l'import. ","")&amp;IF(AND($J527="Contracte menor a càrrec del RAE",$K527=""),"Falta la partida RAE. ","")&amp;IF(AND($B527&lt;&gt;"",COUNTIF($B$6:$B$705,$B527)&gt;1),"Codi RAE repetit. ","")&amp;IF(AND($B527&lt;&gt;"",$J527&lt;&gt;"",$J527&lt;&gt;"Contracte menor a càrrec del RAE"),"Té codi RAE però no és de tipus RAE. ","")&amp;IF($N527="","Falta l'indicador del Pla. ","")&amp;IF($R527="","Falta el gestor. ","")&amp;IF($S527="","Falta indicar si és recurrent. ",""))))</f>
        <v/>
      </c>
    </row>
    <row r="528">
      <c r="A528" s="10">
        <f>IF($D528="","","27_"&amp;IFERROR(INDEX(Objectius!$E$2:$E$183,MATCH($D528,Objectius!$A$2:$A$183,0)),"??")&amp;"_"&amp;TEXT(COUNTIF($I$6:$I528,$I528),"00"))</f>
        <v/>
      </c>
      <c r="B528" s="11" t="n"/>
      <c r="C528" s="11" t="n"/>
      <c r="D528" s="11" t="n"/>
      <c r="E528" s="10">
        <f>IF($D528="","",IFERROR(INDEX(Objectius!$C$2:$C$183,MATCH($D528,Objectius!$A$2:$A$183,0)),"Objectiu no trobat al Pla"))</f>
        <v/>
      </c>
      <c r="F528" s="11" t="n"/>
      <c r="G528" s="11" t="n"/>
      <c r="H528" s="11" t="n"/>
      <c r="I528" s="10">
        <f>IF($D528="","",IFERROR(INDEX(Objectius!$D$2:$D$183,MATCH($D528,Objectius!$A$2:$A$183,0)),""))</f>
        <v/>
      </c>
      <c r="J528" s="11" t="n"/>
      <c r="K528" s="11" t="n"/>
      <c r="L528" s="11" t="n"/>
      <c r="M528" s="12" t="n"/>
      <c r="N528" s="11" t="n"/>
      <c r="O528" s="10">
        <f>IF($N528="","",IFERROR(INDEX('PLA ESTRATÈGIC'!$G$4:$G$452,MATCH($N528,'PLA ESTRATÈGIC'!$Q$4:$Q$452,0)),""))</f>
        <v/>
      </c>
      <c r="P528" s="10">
        <f>IF($N528="","",IFERROR(INDEX('PLA ESTRATÈGIC'!$H$4:$H$452,MATCH($N528,'PLA ESTRATÈGIC'!$Q$4:$Q$452,0)),""))</f>
        <v/>
      </c>
      <c r="Q528" s="13" t="n"/>
      <c r="R528" s="11" t="n"/>
      <c r="S528" s="11" t="n"/>
      <c r="T528" s="11" t="n"/>
      <c r="U528" s="11" t="n"/>
      <c r="V528" s="10">
        <f>IF(COUNTA($C528,$D528,$J528,$M528)=0,"",IF(TRIM(IF($C528="","Falta l'actuació. ","")&amp;IF($D528="","Falta l'objectiu. ","")&amp;IF($J528="","Falta el tipus de despesa. ","")&amp;IF(AND($J528&lt;&gt;"",$J528&lt;&gt;"Mitjans propis",$J528&lt;&gt;"Altres",$M528=""),"Falta l'import. ","")&amp;IF(AND($J528="Contracte menor a càrrec del RAE",$K528=""),"Falta la partida RAE. ","")&amp;IF(AND($B528&lt;&gt;"",COUNTIF($B$6:$B$705,$B528)&gt;1),"Codi RAE repetit. ","")&amp;IF(AND($B528&lt;&gt;"",$J528&lt;&gt;"",$J528&lt;&gt;"Contracte menor a càrrec del RAE"),"Té codi RAE però no és de tipus RAE. ","")&amp;IF($N528="","Falta l'indicador del Pla. ","")&amp;IF($R528="","Falta el gestor. ","")&amp;IF($S528="","Falta indicar si és recurrent. ",""))="","✔",TRIM(IF($C528="","Falta l'actuació. ","")&amp;IF($D528="","Falta l'objectiu. ","")&amp;IF($J528="","Falta el tipus de despesa. ","")&amp;IF(AND($J528&lt;&gt;"",$J528&lt;&gt;"Mitjans propis",$J528&lt;&gt;"Altres",$M528=""),"Falta l'import. ","")&amp;IF(AND($J528="Contracte menor a càrrec del RAE",$K528=""),"Falta la partida RAE. ","")&amp;IF(AND($B528&lt;&gt;"",COUNTIF($B$6:$B$705,$B528)&gt;1),"Codi RAE repetit. ","")&amp;IF(AND($B528&lt;&gt;"",$J528&lt;&gt;"",$J528&lt;&gt;"Contracte menor a càrrec del RAE"),"Té codi RAE però no és de tipus RAE. ","")&amp;IF($N528="","Falta l'indicador del Pla. ","")&amp;IF($R528="","Falta el gestor. ","")&amp;IF($S528="","Falta indicar si és recurrent. ",""))))</f>
        <v/>
      </c>
    </row>
    <row r="529">
      <c r="A529" s="10">
        <f>IF($D529="","","27_"&amp;IFERROR(INDEX(Objectius!$E$2:$E$183,MATCH($D529,Objectius!$A$2:$A$183,0)),"??")&amp;"_"&amp;TEXT(COUNTIF($I$6:$I529,$I529),"00"))</f>
        <v/>
      </c>
      <c r="B529" s="11" t="n"/>
      <c r="C529" s="11" t="n"/>
      <c r="D529" s="11" t="n"/>
      <c r="E529" s="10">
        <f>IF($D529="","",IFERROR(INDEX(Objectius!$C$2:$C$183,MATCH($D529,Objectius!$A$2:$A$183,0)),"Objectiu no trobat al Pla"))</f>
        <v/>
      </c>
      <c r="F529" s="11" t="n"/>
      <c r="G529" s="11" t="n"/>
      <c r="H529" s="11" t="n"/>
      <c r="I529" s="10">
        <f>IF($D529="","",IFERROR(INDEX(Objectius!$D$2:$D$183,MATCH($D529,Objectius!$A$2:$A$183,0)),""))</f>
        <v/>
      </c>
      <c r="J529" s="11" t="n"/>
      <c r="K529" s="11" t="n"/>
      <c r="L529" s="11" t="n"/>
      <c r="M529" s="12" t="n"/>
      <c r="N529" s="11" t="n"/>
      <c r="O529" s="10">
        <f>IF($N529="","",IFERROR(INDEX('PLA ESTRATÈGIC'!$G$4:$G$452,MATCH($N529,'PLA ESTRATÈGIC'!$Q$4:$Q$452,0)),""))</f>
        <v/>
      </c>
      <c r="P529" s="10">
        <f>IF($N529="","",IFERROR(INDEX('PLA ESTRATÈGIC'!$H$4:$H$452,MATCH($N529,'PLA ESTRATÈGIC'!$Q$4:$Q$452,0)),""))</f>
        <v/>
      </c>
      <c r="Q529" s="13" t="n"/>
      <c r="R529" s="11" t="n"/>
      <c r="S529" s="11" t="n"/>
      <c r="T529" s="11" t="n"/>
      <c r="U529" s="11" t="n"/>
      <c r="V529" s="10">
        <f>IF(COUNTA($C529,$D529,$J529,$M529)=0,"",IF(TRIM(IF($C529="","Falta l'actuació. ","")&amp;IF($D529="","Falta l'objectiu. ","")&amp;IF($J529="","Falta el tipus de despesa. ","")&amp;IF(AND($J529&lt;&gt;"",$J529&lt;&gt;"Mitjans propis",$J529&lt;&gt;"Altres",$M529=""),"Falta l'import. ","")&amp;IF(AND($J529="Contracte menor a càrrec del RAE",$K529=""),"Falta la partida RAE. ","")&amp;IF(AND($B529&lt;&gt;"",COUNTIF($B$6:$B$705,$B529)&gt;1),"Codi RAE repetit. ","")&amp;IF(AND($B529&lt;&gt;"",$J529&lt;&gt;"",$J529&lt;&gt;"Contracte menor a càrrec del RAE"),"Té codi RAE però no és de tipus RAE. ","")&amp;IF($N529="","Falta l'indicador del Pla. ","")&amp;IF($R529="","Falta el gestor. ","")&amp;IF($S529="","Falta indicar si és recurrent. ",""))="","✔",TRIM(IF($C529="","Falta l'actuació. ","")&amp;IF($D529="","Falta l'objectiu. ","")&amp;IF($J529="","Falta el tipus de despesa. ","")&amp;IF(AND($J529&lt;&gt;"",$J529&lt;&gt;"Mitjans propis",$J529&lt;&gt;"Altres",$M529=""),"Falta l'import. ","")&amp;IF(AND($J529="Contracte menor a càrrec del RAE",$K529=""),"Falta la partida RAE. ","")&amp;IF(AND($B529&lt;&gt;"",COUNTIF($B$6:$B$705,$B529)&gt;1),"Codi RAE repetit. ","")&amp;IF(AND($B529&lt;&gt;"",$J529&lt;&gt;"",$J529&lt;&gt;"Contracte menor a càrrec del RAE"),"Té codi RAE però no és de tipus RAE. ","")&amp;IF($N529="","Falta l'indicador del Pla. ","")&amp;IF($R529="","Falta el gestor. ","")&amp;IF($S529="","Falta indicar si és recurrent. ",""))))</f>
        <v/>
      </c>
    </row>
    <row r="530">
      <c r="A530" s="10">
        <f>IF($D530="","","27_"&amp;IFERROR(INDEX(Objectius!$E$2:$E$183,MATCH($D530,Objectius!$A$2:$A$183,0)),"??")&amp;"_"&amp;TEXT(COUNTIF($I$6:$I530,$I530),"00"))</f>
        <v/>
      </c>
      <c r="B530" s="11" t="n"/>
      <c r="C530" s="11" t="n"/>
      <c r="D530" s="11" t="n"/>
      <c r="E530" s="10">
        <f>IF($D530="","",IFERROR(INDEX(Objectius!$C$2:$C$183,MATCH($D530,Objectius!$A$2:$A$183,0)),"Objectiu no trobat al Pla"))</f>
        <v/>
      </c>
      <c r="F530" s="11" t="n"/>
      <c r="G530" s="11" t="n"/>
      <c r="H530" s="11" t="n"/>
      <c r="I530" s="10">
        <f>IF($D530="","",IFERROR(INDEX(Objectius!$D$2:$D$183,MATCH($D530,Objectius!$A$2:$A$183,0)),""))</f>
        <v/>
      </c>
      <c r="J530" s="11" t="n"/>
      <c r="K530" s="11" t="n"/>
      <c r="L530" s="11" t="n"/>
      <c r="M530" s="12" t="n"/>
      <c r="N530" s="11" t="n"/>
      <c r="O530" s="10">
        <f>IF($N530="","",IFERROR(INDEX('PLA ESTRATÈGIC'!$G$4:$G$452,MATCH($N530,'PLA ESTRATÈGIC'!$Q$4:$Q$452,0)),""))</f>
        <v/>
      </c>
      <c r="P530" s="10">
        <f>IF($N530="","",IFERROR(INDEX('PLA ESTRATÈGIC'!$H$4:$H$452,MATCH($N530,'PLA ESTRATÈGIC'!$Q$4:$Q$452,0)),""))</f>
        <v/>
      </c>
      <c r="Q530" s="13" t="n"/>
      <c r="R530" s="11" t="n"/>
      <c r="S530" s="11" t="n"/>
      <c r="T530" s="11" t="n"/>
      <c r="U530" s="11" t="n"/>
      <c r="V530" s="10">
        <f>IF(COUNTA($C530,$D530,$J530,$M530)=0,"",IF(TRIM(IF($C530="","Falta l'actuació. ","")&amp;IF($D530="","Falta l'objectiu. ","")&amp;IF($J530="","Falta el tipus de despesa. ","")&amp;IF(AND($J530&lt;&gt;"",$J530&lt;&gt;"Mitjans propis",$J530&lt;&gt;"Altres",$M530=""),"Falta l'import. ","")&amp;IF(AND($J530="Contracte menor a càrrec del RAE",$K530=""),"Falta la partida RAE. ","")&amp;IF(AND($B530&lt;&gt;"",COUNTIF($B$6:$B$705,$B530)&gt;1),"Codi RAE repetit. ","")&amp;IF(AND($B530&lt;&gt;"",$J530&lt;&gt;"",$J530&lt;&gt;"Contracte menor a càrrec del RAE"),"Té codi RAE però no és de tipus RAE. ","")&amp;IF($N530="","Falta l'indicador del Pla. ","")&amp;IF($R530="","Falta el gestor. ","")&amp;IF($S530="","Falta indicar si és recurrent. ",""))="","✔",TRIM(IF($C530="","Falta l'actuació. ","")&amp;IF($D530="","Falta l'objectiu. ","")&amp;IF($J530="","Falta el tipus de despesa. ","")&amp;IF(AND($J530&lt;&gt;"",$J530&lt;&gt;"Mitjans propis",$J530&lt;&gt;"Altres",$M530=""),"Falta l'import. ","")&amp;IF(AND($J530="Contracte menor a càrrec del RAE",$K530=""),"Falta la partida RAE. ","")&amp;IF(AND($B530&lt;&gt;"",COUNTIF($B$6:$B$705,$B530)&gt;1),"Codi RAE repetit. ","")&amp;IF(AND($B530&lt;&gt;"",$J530&lt;&gt;"",$J530&lt;&gt;"Contracte menor a càrrec del RAE"),"Té codi RAE però no és de tipus RAE. ","")&amp;IF($N530="","Falta l'indicador del Pla. ","")&amp;IF($R530="","Falta el gestor. ","")&amp;IF($S530="","Falta indicar si és recurrent. ",""))))</f>
        <v/>
      </c>
    </row>
    <row r="531">
      <c r="A531" s="10">
        <f>IF($D531="","","27_"&amp;IFERROR(INDEX(Objectius!$E$2:$E$183,MATCH($D531,Objectius!$A$2:$A$183,0)),"??")&amp;"_"&amp;TEXT(COUNTIF($I$6:$I531,$I531),"00"))</f>
        <v/>
      </c>
      <c r="B531" s="11" t="n"/>
      <c r="C531" s="11" t="n"/>
      <c r="D531" s="11" t="n"/>
      <c r="E531" s="10">
        <f>IF($D531="","",IFERROR(INDEX(Objectius!$C$2:$C$183,MATCH($D531,Objectius!$A$2:$A$183,0)),"Objectiu no trobat al Pla"))</f>
        <v/>
      </c>
      <c r="F531" s="11" t="n"/>
      <c r="G531" s="11" t="n"/>
      <c r="H531" s="11" t="n"/>
      <c r="I531" s="10">
        <f>IF($D531="","",IFERROR(INDEX(Objectius!$D$2:$D$183,MATCH($D531,Objectius!$A$2:$A$183,0)),""))</f>
        <v/>
      </c>
      <c r="J531" s="11" t="n"/>
      <c r="K531" s="11" t="n"/>
      <c r="L531" s="11" t="n"/>
      <c r="M531" s="12" t="n"/>
      <c r="N531" s="11" t="n"/>
      <c r="O531" s="10">
        <f>IF($N531="","",IFERROR(INDEX('PLA ESTRATÈGIC'!$G$4:$G$452,MATCH($N531,'PLA ESTRATÈGIC'!$Q$4:$Q$452,0)),""))</f>
        <v/>
      </c>
      <c r="P531" s="10">
        <f>IF($N531="","",IFERROR(INDEX('PLA ESTRATÈGIC'!$H$4:$H$452,MATCH($N531,'PLA ESTRATÈGIC'!$Q$4:$Q$452,0)),""))</f>
        <v/>
      </c>
      <c r="Q531" s="13" t="n"/>
      <c r="R531" s="11" t="n"/>
      <c r="S531" s="11" t="n"/>
      <c r="T531" s="11" t="n"/>
      <c r="U531" s="11" t="n"/>
      <c r="V531" s="10">
        <f>IF(COUNTA($C531,$D531,$J531,$M531)=0,"",IF(TRIM(IF($C531="","Falta l'actuació. ","")&amp;IF($D531="","Falta l'objectiu. ","")&amp;IF($J531="","Falta el tipus de despesa. ","")&amp;IF(AND($J531&lt;&gt;"",$J531&lt;&gt;"Mitjans propis",$J531&lt;&gt;"Altres",$M531=""),"Falta l'import. ","")&amp;IF(AND($J531="Contracte menor a càrrec del RAE",$K531=""),"Falta la partida RAE. ","")&amp;IF(AND($B531&lt;&gt;"",COUNTIF($B$6:$B$705,$B531)&gt;1),"Codi RAE repetit. ","")&amp;IF(AND($B531&lt;&gt;"",$J531&lt;&gt;"",$J531&lt;&gt;"Contracte menor a càrrec del RAE"),"Té codi RAE però no és de tipus RAE. ","")&amp;IF($N531="","Falta l'indicador del Pla. ","")&amp;IF($R531="","Falta el gestor. ","")&amp;IF($S531="","Falta indicar si és recurrent. ",""))="","✔",TRIM(IF($C531="","Falta l'actuació. ","")&amp;IF($D531="","Falta l'objectiu. ","")&amp;IF($J531="","Falta el tipus de despesa. ","")&amp;IF(AND($J531&lt;&gt;"",$J531&lt;&gt;"Mitjans propis",$J531&lt;&gt;"Altres",$M531=""),"Falta l'import. ","")&amp;IF(AND($J531="Contracte menor a càrrec del RAE",$K531=""),"Falta la partida RAE. ","")&amp;IF(AND($B531&lt;&gt;"",COUNTIF($B$6:$B$705,$B531)&gt;1),"Codi RAE repetit. ","")&amp;IF(AND($B531&lt;&gt;"",$J531&lt;&gt;"",$J531&lt;&gt;"Contracte menor a càrrec del RAE"),"Té codi RAE però no és de tipus RAE. ","")&amp;IF($N531="","Falta l'indicador del Pla. ","")&amp;IF($R531="","Falta el gestor. ","")&amp;IF($S531="","Falta indicar si és recurrent. ",""))))</f>
        <v/>
      </c>
    </row>
    <row r="532">
      <c r="A532" s="10">
        <f>IF($D532="","","27_"&amp;IFERROR(INDEX(Objectius!$E$2:$E$183,MATCH($D532,Objectius!$A$2:$A$183,0)),"??")&amp;"_"&amp;TEXT(COUNTIF($I$6:$I532,$I532),"00"))</f>
        <v/>
      </c>
      <c r="B532" s="11" t="n"/>
      <c r="C532" s="11" t="n"/>
      <c r="D532" s="11" t="n"/>
      <c r="E532" s="10">
        <f>IF($D532="","",IFERROR(INDEX(Objectius!$C$2:$C$183,MATCH($D532,Objectius!$A$2:$A$183,0)),"Objectiu no trobat al Pla"))</f>
        <v/>
      </c>
      <c r="F532" s="11" t="n"/>
      <c r="G532" s="11" t="n"/>
      <c r="H532" s="11" t="n"/>
      <c r="I532" s="10">
        <f>IF($D532="","",IFERROR(INDEX(Objectius!$D$2:$D$183,MATCH($D532,Objectius!$A$2:$A$183,0)),""))</f>
        <v/>
      </c>
      <c r="J532" s="11" t="n"/>
      <c r="K532" s="11" t="n"/>
      <c r="L532" s="11" t="n"/>
      <c r="M532" s="12" t="n"/>
      <c r="N532" s="11" t="n"/>
      <c r="O532" s="10">
        <f>IF($N532="","",IFERROR(INDEX('PLA ESTRATÈGIC'!$G$4:$G$452,MATCH($N532,'PLA ESTRATÈGIC'!$Q$4:$Q$452,0)),""))</f>
        <v/>
      </c>
      <c r="P532" s="10">
        <f>IF($N532="","",IFERROR(INDEX('PLA ESTRATÈGIC'!$H$4:$H$452,MATCH($N532,'PLA ESTRATÈGIC'!$Q$4:$Q$452,0)),""))</f>
        <v/>
      </c>
      <c r="Q532" s="13" t="n"/>
      <c r="R532" s="11" t="n"/>
      <c r="S532" s="11" t="n"/>
      <c r="T532" s="11" t="n"/>
      <c r="U532" s="11" t="n"/>
      <c r="V532" s="10">
        <f>IF(COUNTA($C532,$D532,$J532,$M532)=0,"",IF(TRIM(IF($C532="","Falta l'actuació. ","")&amp;IF($D532="","Falta l'objectiu. ","")&amp;IF($J532="","Falta el tipus de despesa. ","")&amp;IF(AND($J532&lt;&gt;"",$J532&lt;&gt;"Mitjans propis",$J532&lt;&gt;"Altres",$M532=""),"Falta l'import. ","")&amp;IF(AND($J532="Contracte menor a càrrec del RAE",$K532=""),"Falta la partida RAE. ","")&amp;IF(AND($B532&lt;&gt;"",COUNTIF($B$6:$B$705,$B532)&gt;1),"Codi RAE repetit. ","")&amp;IF(AND($B532&lt;&gt;"",$J532&lt;&gt;"",$J532&lt;&gt;"Contracte menor a càrrec del RAE"),"Té codi RAE però no és de tipus RAE. ","")&amp;IF($N532="","Falta l'indicador del Pla. ","")&amp;IF($R532="","Falta el gestor. ","")&amp;IF($S532="","Falta indicar si és recurrent. ",""))="","✔",TRIM(IF($C532="","Falta l'actuació. ","")&amp;IF($D532="","Falta l'objectiu. ","")&amp;IF($J532="","Falta el tipus de despesa. ","")&amp;IF(AND($J532&lt;&gt;"",$J532&lt;&gt;"Mitjans propis",$J532&lt;&gt;"Altres",$M532=""),"Falta l'import. ","")&amp;IF(AND($J532="Contracte menor a càrrec del RAE",$K532=""),"Falta la partida RAE. ","")&amp;IF(AND($B532&lt;&gt;"",COUNTIF($B$6:$B$705,$B532)&gt;1),"Codi RAE repetit. ","")&amp;IF(AND($B532&lt;&gt;"",$J532&lt;&gt;"",$J532&lt;&gt;"Contracte menor a càrrec del RAE"),"Té codi RAE però no és de tipus RAE. ","")&amp;IF($N532="","Falta l'indicador del Pla. ","")&amp;IF($R532="","Falta el gestor. ","")&amp;IF($S532="","Falta indicar si és recurrent. ",""))))</f>
        <v/>
      </c>
    </row>
    <row r="533">
      <c r="A533" s="10">
        <f>IF($D533="","","27_"&amp;IFERROR(INDEX(Objectius!$E$2:$E$183,MATCH($D533,Objectius!$A$2:$A$183,0)),"??")&amp;"_"&amp;TEXT(COUNTIF($I$6:$I533,$I533),"00"))</f>
        <v/>
      </c>
      <c r="B533" s="11" t="n"/>
      <c r="C533" s="11" t="n"/>
      <c r="D533" s="11" t="n"/>
      <c r="E533" s="10">
        <f>IF($D533="","",IFERROR(INDEX(Objectius!$C$2:$C$183,MATCH($D533,Objectius!$A$2:$A$183,0)),"Objectiu no trobat al Pla"))</f>
        <v/>
      </c>
      <c r="F533" s="11" t="n"/>
      <c r="G533" s="11" t="n"/>
      <c r="H533" s="11" t="n"/>
      <c r="I533" s="10">
        <f>IF($D533="","",IFERROR(INDEX(Objectius!$D$2:$D$183,MATCH($D533,Objectius!$A$2:$A$183,0)),""))</f>
        <v/>
      </c>
      <c r="J533" s="11" t="n"/>
      <c r="K533" s="11" t="n"/>
      <c r="L533" s="11" t="n"/>
      <c r="M533" s="12" t="n"/>
      <c r="N533" s="11" t="n"/>
      <c r="O533" s="10">
        <f>IF($N533="","",IFERROR(INDEX('PLA ESTRATÈGIC'!$G$4:$G$452,MATCH($N533,'PLA ESTRATÈGIC'!$Q$4:$Q$452,0)),""))</f>
        <v/>
      </c>
      <c r="P533" s="10">
        <f>IF($N533="","",IFERROR(INDEX('PLA ESTRATÈGIC'!$H$4:$H$452,MATCH($N533,'PLA ESTRATÈGIC'!$Q$4:$Q$452,0)),""))</f>
        <v/>
      </c>
      <c r="Q533" s="13" t="n"/>
      <c r="R533" s="11" t="n"/>
      <c r="S533" s="11" t="n"/>
      <c r="T533" s="11" t="n"/>
      <c r="U533" s="11" t="n"/>
      <c r="V533" s="10">
        <f>IF(COUNTA($C533,$D533,$J533,$M533)=0,"",IF(TRIM(IF($C533="","Falta l'actuació. ","")&amp;IF($D533="","Falta l'objectiu. ","")&amp;IF($J533="","Falta el tipus de despesa. ","")&amp;IF(AND($J533&lt;&gt;"",$J533&lt;&gt;"Mitjans propis",$J533&lt;&gt;"Altres",$M533=""),"Falta l'import. ","")&amp;IF(AND($J533="Contracte menor a càrrec del RAE",$K533=""),"Falta la partida RAE. ","")&amp;IF(AND($B533&lt;&gt;"",COUNTIF($B$6:$B$705,$B533)&gt;1),"Codi RAE repetit. ","")&amp;IF(AND($B533&lt;&gt;"",$J533&lt;&gt;"",$J533&lt;&gt;"Contracte menor a càrrec del RAE"),"Té codi RAE però no és de tipus RAE. ","")&amp;IF($N533="","Falta l'indicador del Pla. ","")&amp;IF($R533="","Falta el gestor. ","")&amp;IF($S533="","Falta indicar si és recurrent. ",""))="","✔",TRIM(IF($C533="","Falta l'actuació. ","")&amp;IF($D533="","Falta l'objectiu. ","")&amp;IF($J533="","Falta el tipus de despesa. ","")&amp;IF(AND($J533&lt;&gt;"",$J533&lt;&gt;"Mitjans propis",$J533&lt;&gt;"Altres",$M533=""),"Falta l'import. ","")&amp;IF(AND($J533="Contracte menor a càrrec del RAE",$K533=""),"Falta la partida RAE. ","")&amp;IF(AND($B533&lt;&gt;"",COUNTIF($B$6:$B$705,$B533)&gt;1),"Codi RAE repetit. ","")&amp;IF(AND($B533&lt;&gt;"",$J533&lt;&gt;"",$J533&lt;&gt;"Contracte menor a càrrec del RAE"),"Té codi RAE però no és de tipus RAE. ","")&amp;IF($N533="","Falta l'indicador del Pla. ","")&amp;IF($R533="","Falta el gestor. ","")&amp;IF($S533="","Falta indicar si és recurrent. ",""))))</f>
        <v/>
      </c>
    </row>
    <row r="534">
      <c r="A534" s="10">
        <f>IF($D534="","","27_"&amp;IFERROR(INDEX(Objectius!$E$2:$E$183,MATCH($D534,Objectius!$A$2:$A$183,0)),"??")&amp;"_"&amp;TEXT(COUNTIF($I$6:$I534,$I534),"00"))</f>
        <v/>
      </c>
      <c r="B534" s="11" t="n"/>
      <c r="C534" s="11" t="n"/>
      <c r="D534" s="11" t="n"/>
      <c r="E534" s="10">
        <f>IF($D534="","",IFERROR(INDEX(Objectius!$C$2:$C$183,MATCH($D534,Objectius!$A$2:$A$183,0)),"Objectiu no trobat al Pla"))</f>
        <v/>
      </c>
      <c r="F534" s="11" t="n"/>
      <c r="G534" s="11" t="n"/>
      <c r="H534" s="11" t="n"/>
      <c r="I534" s="10">
        <f>IF($D534="","",IFERROR(INDEX(Objectius!$D$2:$D$183,MATCH($D534,Objectius!$A$2:$A$183,0)),""))</f>
        <v/>
      </c>
      <c r="J534" s="11" t="n"/>
      <c r="K534" s="11" t="n"/>
      <c r="L534" s="11" t="n"/>
      <c r="M534" s="12" t="n"/>
      <c r="N534" s="11" t="n"/>
      <c r="O534" s="10">
        <f>IF($N534="","",IFERROR(INDEX('PLA ESTRATÈGIC'!$G$4:$G$452,MATCH($N534,'PLA ESTRATÈGIC'!$Q$4:$Q$452,0)),""))</f>
        <v/>
      </c>
      <c r="P534" s="10">
        <f>IF($N534="","",IFERROR(INDEX('PLA ESTRATÈGIC'!$H$4:$H$452,MATCH($N534,'PLA ESTRATÈGIC'!$Q$4:$Q$452,0)),""))</f>
        <v/>
      </c>
      <c r="Q534" s="13" t="n"/>
      <c r="R534" s="11" t="n"/>
      <c r="S534" s="11" t="n"/>
      <c r="T534" s="11" t="n"/>
      <c r="U534" s="11" t="n"/>
      <c r="V534" s="10">
        <f>IF(COUNTA($C534,$D534,$J534,$M534)=0,"",IF(TRIM(IF($C534="","Falta l'actuació. ","")&amp;IF($D534="","Falta l'objectiu. ","")&amp;IF($J534="","Falta el tipus de despesa. ","")&amp;IF(AND($J534&lt;&gt;"",$J534&lt;&gt;"Mitjans propis",$J534&lt;&gt;"Altres",$M534=""),"Falta l'import. ","")&amp;IF(AND($J534="Contracte menor a càrrec del RAE",$K534=""),"Falta la partida RAE. ","")&amp;IF(AND($B534&lt;&gt;"",COUNTIF($B$6:$B$705,$B534)&gt;1),"Codi RAE repetit. ","")&amp;IF(AND($B534&lt;&gt;"",$J534&lt;&gt;"",$J534&lt;&gt;"Contracte menor a càrrec del RAE"),"Té codi RAE però no és de tipus RAE. ","")&amp;IF($N534="","Falta l'indicador del Pla. ","")&amp;IF($R534="","Falta el gestor. ","")&amp;IF($S534="","Falta indicar si és recurrent. ",""))="","✔",TRIM(IF($C534="","Falta l'actuació. ","")&amp;IF($D534="","Falta l'objectiu. ","")&amp;IF($J534="","Falta el tipus de despesa. ","")&amp;IF(AND($J534&lt;&gt;"",$J534&lt;&gt;"Mitjans propis",$J534&lt;&gt;"Altres",$M534=""),"Falta l'import. ","")&amp;IF(AND($J534="Contracte menor a càrrec del RAE",$K534=""),"Falta la partida RAE. ","")&amp;IF(AND($B534&lt;&gt;"",COUNTIF($B$6:$B$705,$B534)&gt;1),"Codi RAE repetit. ","")&amp;IF(AND($B534&lt;&gt;"",$J534&lt;&gt;"",$J534&lt;&gt;"Contracte menor a càrrec del RAE"),"Té codi RAE però no és de tipus RAE. ","")&amp;IF($N534="","Falta l'indicador del Pla. ","")&amp;IF($R534="","Falta el gestor. ","")&amp;IF($S534="","Falta indicar si és recurrent. ",""))))</f>
        <v/>
      </c>
    </row>
    <row r="535">
      <c r="A535" s="10">
        <f>IF($D535="","","27_"&amp;IFERROR(INDEX(Objectius!$E$2:$E$183,MATCH($D535,Objectius!$A$2:$A$183,0)),"??")&amp;"_"&amp;TEXT(COUNTIF($I$6:$I535,$I535),"00"))</f>
        <v/>
      </c>
      <c r="B535" s="11" t="n"/>
      <c r="C535" s="11" t="n"/>
      <c r="D535" s="11" t="n"/>
      <c r="E535" s="10">
        <f>IF($D535="","",IFERROR(INDEX(Objectius!$C$2:$C$183,MATCH($D535,Objectius!$A$2:$A$183,0)),"Objectiu no trobat al Pla"))</f>
        <v/>
      </c>
      <c r="F535" s="11" t="n"/>
      <c r="G535" s="11" t="n"/>
      <c r="H535" s="11" t="n"/>
      <c r="I535" s="10">
        <f>IF($D535="","",IFERROR(INDEX(Objectius!$D$2:$D$183,MATCH($D535,Objectius!$A$2:$A$183,0)),""))</f>
        <v/>
      </c>
      <c r="J535" s="11" t="n"/>
      <c r="K535" s="11" t="n"/>
      <c r="L535" s="11" t="n"/>
      <c r="M535" s="12" t="n"/>
      <c r="N535" s="11" t="n"/>
      <c r="O535" s="10">
        <f>IF($N535="","",IFERROR(INDEX('PLA ESTRATÈGIC'!$G$4:$G$452,MATCH($N535,'PLA ESTRATÈGIC'!$Q$4:$Q$452,0)),""))</f>
        <v/>
      </c>
      <c r="P535" s="10">
        <f>IF($N535="","",IFERROR(INDEX('PLA ESTRATÈGIC'!$H$4:$H$452,MATCH($N535,'PLA ESTRATÈGIC'!$Q$4:$Q$452,0)),""))</f>
        <v/>
      </c>
      <c r="Q535" s="13" t="n"/>
      <c r="R535" s="11" t="n"/>
      <c r="S535" s="11" t="n"/>
      <c r="T535" s="11" t="n"/>
      <c r="U535" s="11" t="n"/>
      <c r="V535" s="10">
        <f>IF(COUNTA($C535,$D535,$J535,$M535)=0,"",IF(TRIM(IF($C535="","Falta l'actuació. ","")&amp;IF($D535="","Falta l'objectiu. ","")&amp;IF($J535="","Falta el tipus de despesa. ","")&amp;IF(AND($J535&lt;&gt;"",$J535&lt;&gt;"Mitjans propis",$J535&lt;&gt;"Altres",$M535=""),"Falta l'import. ","")&amp;IF(AND($J535="Contracte menor a càrrec del RAE",$K535=""),"Falta la partida RAE. ","")&amp;IF(AND($B535&lt;&gt;"",COUNTIF($B$6:$B$705,$B535)&gt;1),"Codi RAE repetit. ","")&amp;IF(AND($B535&lt;&gt;"",$J535&lt;&gt;"",$J535&lt;&gt;"Contracte menor a càrrec del RAE"),"Té codi RAE però no és de tipus RAE. ","")&amp;IF($N535="","Falta l'indicador del Pla. ","")&amp;IF($R535="","Falta el gestor. ","")&amp;IF($S535="","Falta indicar si és recurrent. ",""))="","✔",TRIM(IF($C535="","Falta l'actuació. ","")&amp;IF($D535="","Falta l'objectiu. ","")&amp;IF($J535="","Falta el tipus de despesa. ","")&amp;IF(AND($J535&lt;&gt;"",$J535&lt;&gt;"Mitjans propis",$J535&lt;&gt;"Altres",$M535=""),"Falta l'import. ","")&amp;IF(AND($J535="Contracte menor a càrrec del RAE",$K535=""),"Falta la partida RAE. ","")&amp;IF(AND($B535&lt;&gt;"",COUNTIF($B$6:$B$705,$B535)&gt;1),"Codi RAE repetit. ","")&amp;IF(AND($B535&lt;&gt;"",$J535&lt;&gt;"",$J535&lt;&gt;"Contracte menor a càrrec del RAE"),"Té codi RAE però no és de tipus RAE. ","")&amp;IF($N535="","Falta l'indicador del Pla. ","")&amp;IF($R535="","Falta el gestor. ","")&amp;IF($S535="","Falta indicar si és recurrent. ",""))))</f>
        <v/>
      </c>
    </row>
    <row r="536">
      <c r="A536" s="10">
        <f>IF($D536="","","27_"&amp;IFERROR(INDEX(Objectius!$E$2:$E$183,MATCH($D536,Objectius!$A$2:$A$183,0)),"??")&amp;"_"&amp;TEXT(COUNTIF($I$6:$I536,$I536),"00"))</f>
        <v/>
      </c>
      <c r="B536" s="11" t="n"/>
      <c r="C536" s="11" t="n"/>
      <c r="D536" s="11" t="n"/>
      <c r="E536" s="10">
        <f>IF($D536="","",IFERROR(INDEX(Objectius!$C$2:$C$183,MATCH($D536,Objectius!$A$2:$A$183,0)),"Objectiu no trobat al Pla"))</f>
        <v/>
      </c>
      <c r="F536" s="11" t="n"/>
      <c r="G536" s="11" t="n"/>
      <c r="H536" s="11" t="n"/>
      <c r="I536" s="10">
        <f>IF($D536="","",IFERROR(INDEX(Objectius!$D$2:$D$183,MATCH($D536,Objectius!$A$2:$A$183,0)),""))</f>
        <v/>
      </c>
      <c r="J536" s="11" t="n"/>
      <c r="K536" s="11" t="n"/>
      <c r="L536" s="11" t="n"/>
      <c r="M536" s="12" t="n"/>
      <c r="N536" s="11" t="n"/>
      <c r="O536" s="10">
        <f>IF($N536="","",IFERROR(INDEX('PLA ESTRATÈGIC'!$G$4:$G$452,MATCH($N536,'PLA ESTRATÈGIC'!$Q$4:$Q$452,0)),""))</f>
        <v/>
      </c>
      <c r="P536" s="10">
        <f>IF($N536="","",IFERROR(INDEX('PLA ESTRATÈGIC'!$H$4:$H$452,MATCH($N536,'PLA ESTRATÈGIC'!$Q$4:$Q$452,0)),""))</f>
        <v/>
      </c>
      <c r="Q536" s="13" t="n"/>
      <c r="R536" s="11" t="n"/>
      <c r="S536" s="11" t="n"/>
      <c r="T536" s="11" t="n"/>
      <c r="U536" s="11" t="n"/>
      <c r="V536" s="10">
        <f>IF(COUNTA($C536,$D536,$J536,$M536)=0,"",IF(TRIM(IF($C536="","Falta l'actuació. ","")&amp;IF($D536="","Falta l'objectiu. ","")&amp;IF($J536="","Falta el tipus de despesa. ","")&amp;IF(AND($J536&lt;&gt;"",$J536&lt;&gt;"Mitjans propis",$J536&lt;&gt;"Altres",$M536=""),"Falta l'import. ","")&amp;IF(AND($J536="Contracte menor a càrrec del RAE",$K536=""),"Falta la partida RAE. ","")&amp;IF(AND($B536&lt;&gt;"",COUNTIF($B$6:$B$705,$B536)&gt;1),"Codi RAE repetit. ","")&amp;IF(AND($B536&lt;&gt;"",$J536&lt;&gt;"",$J536&lt;&gt;"Contracte menor a càrrec del RAE"),"Té codi RAE però no és de tipus RAE. ","")&amp;IF($N536="","Falta l'indicador del Pla. ","")&amp;IF($R536="","Falta el gestor. ","")&amp;IF($S536="","Falta indicar si és recurrent. ",""))="","✔",TRIM(IF($C536="","Falta l'actuació. ","")&amp;IF($D536="","Falta l'objectiu. ","")&amp;IF($J536="","Falta el tipus de despesa. ","")&amp;IF(AND($J536&lt;&gt;"",$J536&lt;&gt;"Mitjans propis",$J536&lt;&gt;"Altres",$M536=""),"Falta l'import. ","")&amp;IF(AND($J536="Contracte menor a càrrec del RAE",$K536=""),"Falta la partida RAE. ","")&amp;IF(AND($B536&lt;&gt;"",COUNTIF($B$6:$B$705,$B536)&gt;1),"Codi RAE repetit. ","")&amp;IF(AND($B536&lt;&gt;"",$J536&lt;&gt;"",$J536&lt;&gt;"Contracte menor a càrrec del RAE"),"Té codi RAE però no és de tipus RAE. ","")&amp;IF($N536="","Falta l'indicador del Pla. ","")&amp;IF($R536="","Falta el gestor. ","")&amp;IF($S536="","Falta indicar si és recurrent. ",""))))</f>
        <v/>
      </c>
    </row>
    <row r="537">
      <c r="A537" s="10">
        <f>IF($D537="","","27_"&amp;IFERROR(INDEX(Objectius!$E$2:$E$183,MATCH($D537,Objectius!$A$2:$A$183,0)),"??")&amp;"_"&amp;TEXT(COUNTIF($I$6:$I537,$I537),"00"))</f>
        <v/>
      </c>
      <c r="B537" s="11" t="n"/>
      <c r="C537" s="11" t="n"/>
      <c r="D537" s="11" t="n"/>
      <c r="E537" s="10">
        <f>IF($D537="","",IFERROR(INDEX(Objectius!$C$2:$C$183,MATCH($D537,Objectius!$A$2:$A$183,0)),"Objectiu no trobat al Pla"))</f>
        <v/>
      </c>
      <c r="F537" s="11" t="n"/>
      <c r="G537" s="11" t="n"/>
      <c r="H537" s="11" t="n"/>
      <c r="I537" s="10">
        <f>IF($D537="","",IFERROR(INDEX(Objectius!$D$2:$D$183,MATCH($D537,Objectius!$A$2:$A$183,0)),""))</f>
        <v/>
      </c>
      <c r="J537" s="11" t="n"/>
      <c r="K537" s="11" t="n"/>
      <c r="L537" s="11" t="n"/>
      <c r="M537" s="12" t="n"/>
      <c r="N537" s="11" t="n"/>
      <c r="O537" s="10">
        <f>IF($N537="","",IFERROR(INDEX('PLA ESTRATÈGIC'!$G$4:$G$452,MATCH($N537,'PLA ESTRATÈGIC'!$Q$4:$Q$452,0)),""))</f>
        <v/>
      </c>
      <c r="P537" s="10">
        <f>IF($N537="","",IFERROR(INDEX('PLA ESTRATÈGIC'!$H$4:$H$452,MATCH($N537,'PLA ESTRATÈGIC'!$Q$4:$Q$452,0)),""))</f>
        <v/>
      </c>
      <c r="Q537" s="13" t="n"/>
      <c r="R537" s="11" t="n"/>
      <c r="S537" s="11" t="n"/>
      <c r="T537" s="11" t="n"/>
      <c r="U537" s="11" t="n"/>
      <c r="V537" s="10">
        <f>IF(COUNTA($C537,$D537,$J537,$M537)=0,"",IF(TRIM(IF($C537="","Falta l'actuació. ","")&amp;IF($D537="","Falta l'objectiu. ","")&amp;IF($J537="","Falta el tipus de despesa. ","")&amp;IF(AND($J537&lt;&gt;"",$J537&lt;&gt;"Mitjans propis",$J537&lt;&gt;"Altres",$M537=""),"Falta l'import. ","")&amp;IF(AND($J537="Contracte menor a càrrec del RAE",$K537=""),"Falta la partida RAE. ","")&amp;IF(AND($B537&lt;&gt;"",COUNTIF($B$6:$B$705,$B537)&gt;1),"Codi RAE repetit. ","")&amp;IF(AND($B537&lt;&gt;"",$J537&lt;&gt;"",$J537&lt;&gt;"Contracte menor a càrrec del RAE"),"Té codi RAE però no és de tipus RAE. ","")&amp;IF($N537="","Falta l'indicador del Pla. ","")&amp;IF($R537="","Falta el gestor. ","")&amp;IF($S537="","Falta indicar si és recurrent. ",""))="","✔",TRIM(IF($C537="","Falta l'actuació. ","")&amp;IF($D537="","Falta l'objectiu. ","")&amp;IF($J537="","Falta el tipus de despesa. ","")&amp;IF(AND($J537&lt;&gt;"",$J537&lt;&gt;"Mitjans propis",$J537&lt;&gt;"Altres",$M537=""),"Falta l'import. ","")&amp;IF(AND($J537="Contracte menor a càrrec del RAE",$K537=""),"Falta la partida RAE. ","")&amp;IF(AND($B537&lt;&gt;"",COUNTIF($B$6:$B$705,$B537)&gt;1),"Codi RAE repetit. ","")&amp;IF(AND($B537&lt;&gt;"",$J537&lt;&gt;"",$J537&lt;&gt;"Contracte menor a càrrec del RAE"),"Té codi RAE però no és de tipus RAE. ","")&amp;IF($N537="","Falta l'indicador del Pla. ","")&amp;IF($R537="","Falta el gestor. ","")&amp;IF($S537="","Falta indicar si és recurrent. ",""))))</f>
        <v/>
      </c>
    </row>
    <row r="538">
      <c r="A538" s="10">
        <f>IF($D538="","","27_"&amp;IFERROR(INDEX(Objectius!$E$2:$E$183,MATCH($D538,Objectius!$A$2:$A$183,0)),"??")&amp;"_"&amp;TEXT(COUNTIF($I$6:$I538,$I538),"00"))</f>
        <v/>
      </c>
      <c r="B538" s="11" t="n"/>
      <c r="C538" s="11" t="n"/>
      <c r="D538" s="11" t="n"/>
      <c r="E538" s="10">
        <f>IF($D538="","",IFERROR(INDEX(Objectius!$C$2:$C$183,MATCH($D538,Objectius!$A$2:$A$183,0)),"Objectiu no trobat al Pla"))</f>
        <v/>
      </c>
      <c r="F538" s="11" t="n"/>
      <c r="G538" s="11" t="n"/>
      <c r="H538" s="11" t="n"/>
      <c r="I538" s="10">
        <f>IF($D538="","",IFERROR(INDEX(Objectius!$D$2:$D$183,MATCH($D538,Objectius!$A$2:$A$183,0)),""))</f>
        <v/>
      </c>
      <c r="J538" s="11" t="n"/>
      <c r="K538" s="11" t="n"/>
      <c r="L538" s="11" t="n"/>
      <c r="M538" s="12" t="n"/>
      <c r="N538" s="11" t="n"/>
      <c r="O538" s="10">
        <f>IF($N538="","",IFERROR(INDEX('PLA ESTRATÈGIC'!$G$4:$G$452,MATCH($N538,'PLA ESTRATÈGIC'!$Q$4:$Q$452,0)),""))</f>
        <v/>
      </c>
      <c r="P538" s="10">
        <f>IF($N538="","",IFERROR(INDEX('PLA ESTRATÈGIC'!$H$4:$H$452,MATCH($N538,'PLA ESTRATÈGIC'!$Q$4:$Q$452,0)),""))</f>
        <v/>
      </c>
      <c r="Q538" s="13" t="n"/>
      <c r="R538" s="11" t="n"/>
      <c r="S538" s="11" t="n"/>
      <c r="T538" s="11" t="n"/>
      <c r="U538" s="11" t="n"/>
      <c r="V538" s="10">
        <f>IF(COUNTA($C538,$D538,$J538,$M538)=0,"",IF(TRIM(IF($C538="","Falta l'actuació. ","")&amp;IF($D538="","Falta l'objectiu. ","")&amp;IF($J538="","Falta el tipus de despesa. ","")&amp;IF(AND($J538&lt;&gt;"",$J538&lt;&gt;"Mitjans propis",$J538&lt;&gt;"Altres",$M538=""),"Falta l'import. ","")&amp;IF(AND($J538="Contracte menor a càrrec del RAE",$K538=""),"Falta la partida RAE. ","")&amp;IF(AND($B538&lt;&gt;"",COUNTIF($B$6:$B$705,$B538)&gt;1),"Codi RAE repetit. ","")&amp;IF(AND($B538&lt;&gt;"",$J538&lt;&gt;"",$J538&lt;&gt;"Contracte menor a càrrec del RAE"),"Té codi RAE però no és de tipus RAE. ","")&amp;IF($N538="","Falta l'indicador del Pla. ","")&amp;IF($R538="","Falta el gestor. ","")&amp;IF($S538="","Falta indicar si és recurrent. ",""))="","✔",TRIM(IF($C538="","Falta l'actuació. ","")&amp;IF($D538="","Falta l'objectiu. ","")&amp;IF($J538="","Falta el tipus de despesa. ","")&amp;IF(AND($J538&lt;&gt;"",$J538&lt;&gt;"Mitjans propis",$J538&lt;&gt;"Altres",$M538=""),"Falta l'import. ","")&amp;IF(AND($J538="Contracte menor a càrrec del RAE",$K538=""),"Falta la partida RAE. ","")&amp;IF(AND($B538&lt;&gt;"",COUNTIF($B$6:$B$705,$B538)&gt;1),"Codi RAE repetit. ","")&amp;IF(AND($B538&lt;&gt;"",$J538&lt;&gt;"",$J538&lt;&gt;"Contracte menor a càrrec del RAE"),"Té codi RAE però no és de tipus RAE. ","")&amp;IF($N538="","Falta l'indicador del Pla. ","")&amp;IF($R538="","Falta el gestor. ","")&amp;IF($S538="","Falta indicar si és recurrent. ",""))))</f>
        <v/>
      </c>
    </row>
    <row r="539">
      <c r="A539" s="10">
        <f>IF($D539="","","27_"&amp;IFERROR(INDEX(Objectius!$E$2:$E$183,MATCH($D539,Objectius!$A$2:$A$183,0)),"??")&amp;"_"&amp;TEXT(COUNTIF($I$6:$I539,$I539),"00"))</f>
        <v/>
      </c>
      <c r="B539" s="11" t="n"/>
      <c r="C539" s="11" t="n"/>
      <c r="D539" s="11" t="n"/>
      <c r="E539" s="10">
        <f>IF($D539="","",IFERROR(INDEX(Objectius!$C$2:$C$183,MATCH($D539,Objectius!$A$2:$A$183,0)),"Objectiu no trobat al Pla"))</f>
        <v/>
      </c>
      <c r="F539" s="11" t="n"/>
      <c r="G539" s="11" t="n"/>
      <c r="H539" s="11" t="n"/>
      <c r="I539" s="10">
        <f>IF($D539="","",IFERROR(INDEX(Objectius!$D$2:$D$183,MATCH($D539,Objectius!$A$2:$A$183,0)),""))</f>
        <v/>
      </c>
      <c r="J539" s="11" t="n"/>
      <c r="K539" s="11" t="n"/>
      <c r="L539" s="11" t="n"/>
      <c r="M539" s="12" t="n"/>
      <c r="N539" s="11" t="n"/>
      <c r="O539" s="10">
        <f>IF($N539="","",IFERROR(INDEX('PLA ESTRATÈGIC'!$G$4:$G$452,MATCH($N539,'PLA ESTRATÈGIC'!$Q$4:$Q$452,0)),""))</f>
        <v/>
      </c>
      <c r="P539" s="10">
        <f>IF($N539="","",IFERROR(INDEX('PLA ESTRATÈGIC'!$H$4:$H$452,MATCH($N539,'PLA ESTRATÈGIC'!$Q$4:$Q$452,0)),""))</f>
        <v/>
      </c>
      <c r="Q539" s="13" t="n"/>
      <c r="R539" s="11" t="n"/>
      <c r="S539" s="11" t="n"/>
      <c r="T539" s="11" t="n"/>
      <c r="U539" s="11" t="n"/>
      <c r="V539" s="10">
        <f>IF(COUNTA($C539,$D539,$J539,$M539)=0,"",IF(TRIM(IF($C539="","Falta l'actuació. ","")&amp;IF($D539="","Falta l'objectiu. ","")&amp;IF($J539="","Falta el tipus de despesa. ","")&amp;IF(AND($J539&lt;&gt;"",$J539&lt;&gt;"Mitjans propis",$J539&lt;&gt;"Altres",$M539=""),"Falta l'import. ","")&amp;IF(AND($J539="Contracte menor a càrrec del RAE",$K539=""),"Falta la partida RAE. ","")&amp;IF(AND($B539&lt;&gt;"",COUNTIF($B$6:$B$705,$B539)&gt;1),"Codi RAE repetit. ","")&amp;IF(AND($B539&lt;&gt;"",$J539&lt;&gt;"",$J539&lt;&gt;"Contracte menor a càrrec del RAE"),"Té codi RAE però no és de tipus RAE. ","")&amp;IF($N539="","Falta l'indicador del Pla. ","")&amp;IF($R539="","Falta el gestor. ","")&amp;IF($S539="","Falta indicar si és recurrent. ",""))="","✔",TRIM(IF($C539="","Falta l'actuació. ","")&amp;IF($D539="","Falta l'objectiu. ","")&amp;IF($J539="","Falta el tipus de despesa. ","")&amp;IF(AND($J539&lt;&gt;"",$J539&lt;&gt;"Mitjans propis",$J539&lt;&gt;"Altres",$M539=""),"Falta l'import. ","")&amp;IF(AND($J539="Contracte menor a càrrec del RAE",$K539=""),"Falta la partida RAE. ","")&amp;IF(AND($B539&lt;&gt;"",COUNTIF($B$6:$B$705,$B539)&gt;1),"Codi RAE repetit. ","")&amp;IF(AND($B539&lt;&gt;"",$J539&lt;&gt;"",$J539&lt;&gt;"Contracte menor a càrrec del RAE"),"Té codi RAE però no és de tipus RAE. ","")&amp;IF($N539="","Falta l'indicador del Pla. ","")&amp;IF($R539="","Falta el gestor. ","")&amp;IF($S539="","Falta indicar si és recurrent. ",""))))</f>
        <v/>
      </c>
    </row>
    <row r="540">
      <c r="A540" s="10">
        <f>IF($D540="","","27_"&amp;IFERROR(INDEX(Objectius!$E$2:$E$183,MATCH($D540,Objectius!$A$2:$A$183,0)),"??")&amp;"_"&amp;TEXT(COUNTIF($I$6:$I540,$I540),"00"))</f>
        <v/>
      </c>
      <c r="B540" s="11" t="n"/>
      <c r="C540" s="11" t="n"/>
      <c r="D540" s="11" t="n"/>
      <c r="E540" s="10">
        <f>IF($D540="","",IFERROR(INDEX(Objectius!$C$2:$C$183,MATCH($D540,Objectius!$A$2:$A$183,0)),"Objectiu no trobat al Pla"))</f>
        <v/>
      </c>
      <c r="F540" s="11" t="n"/>
      <c r="G540" s="11" t="n"/>
      <c r="H540" s="11" t="n"/>
      <c r="I540" s="10">
        <f>IF($D540="","",IFERROR(INDEX(Objectius!$D$2:$D$183,MATCH($D540,Objectius!$A$2:$A$183,0)),""))</f>
        <v/>
      </c>
      <c r="J540" s="11" t="n"/>
      <c r="K540" s="11" t="n"/>
      <c r="L540" s="11" t="n"/>
      <c r="M540" s="12" t="n"/>
      <c r="N540" s="11" t="n"/>
      <c r="O540" s="10">
        <f>IF($N540="","",IFERROR(INDEX('PLA ESTRATÈGIC'!$G$4:$G$452,MATCH($N540,'PLA ESTRATÈGIC'!$Q$4:$Q$452,0)),""))</f>
        <v/>
      </c>
      <c r="P540" s="10">
        <f>IF($N540="","",IFERROR(INDEX('PLA ESTRATÈGIC'!$H$4:$H$452,MATCH($N540,'PLA ESTRATÈGIC'!$Q$4:$Q$452,0)),""))</f>
        <v/>
      </c>
      <c r="Q540" s="13" t="n"/>
      <c r="R540" s="11" t="n"/>
      <c r="S540" s="11" t="n"/>
      <c r="T540" s="11" t="n"/>
      <c r="U540" s="11" t="n"/>
      <c r="V540" s="10">
        <f>IF(COUNTA($C540,$D540,$J540,$M540)=0,"",IF(TRIM(IF($C540="","Falta l'actuació. ","")&amp;IF($D540="","Falta l'objectiu. ","")&amp;IF($J540="","Falta el tipus de despesa. ","")&amp;IF(AND($J540&lt;&gt;"",$J540&lt;&gt;"Mitjans propis",$J540&lt;&gt;"Altres",$M540=""),"Falta l'import. ","")&amp;IF(AND($J540="Contracte menor a càrrec del RAE",$K540=""),"Falta la partida RAE. ","")&amp;IF(AND($B540&lt;&gt;"",COUNTIF($B$6:$B$705,$B540)&gt;1),"Codi RAE repetit. ","")&amp;IF(AND($B540&lt;&gt;"",$J540&lt;&gt;"",$J540&lt;&gt;"Contracte menor a càrrec del RAE"),"Té codi RAE però no és de tipus RAE. ","")&amp;IF($N540="","Falta l'indicador del Pla. ","")&amp;IF($R540="","Falta el gestor. ","")&amp;IF($S540="","Falta indicar si és recurrent. ",""))="","✔",TRIM(IF($C540="","Falta l'actuació. ","")&amp;IF($D540="","Falta l'objectiu. ","")&amp;IF($J540="","Falta el tipus de despesa. ","")&amp;IF(AND($J540&lt;&gt;"",$J540&lt;&gt;"Mitjans propis",$J540&lt;&gt;"Altres",$M540=""),"Falta l'import. ","")&amp;IF(AND($J540="Contracte menor a càrrec del RAE",$K540=""),"Falta la partida RAE. ","")&amp;IF(AND($B540&lt;&gt;"",COUNTIF($B$6:$B$705,$B540)&gt;1),"Codi RAE repetit. ","")&amp;IF(AND($B540&lt;&gt;"",$J540&lt;&gt;"",$J540&lt;&gt;"Contracte menor a càrrec del RAE"),"Té codi RAE però no és de tipus RAE. ","")&amp;IF($N540="","Falta l'indicador del Pla. ","")&amp;IF($R540="","Falta el gestor. ","")&amp;IF($S540="","Falta indicar si és recurrent. ",""))))</f>
        <v/>
      </c>
    </row>
    <row r="541">
      <c r="A541" s="10">
        <f>IF($D541="","","27_"&amp;IFERROR(INDEX(Objectius!$E$2:$E$183,MATCH($D541,Objectius!$A$2:$A$183,0)),"??")&amp;"_"&amp;TEXT(COUNTIF($I$6:$I541,$I541),"00"))</f>
        <v/>
      </c>
      <c r="B541" s="11" t="n"/>
      <c r="C541" s="11" t="n"/>
      <c r="D541" s="11" t="n"/>
      <c r="E541" s="10">
        <f>IF($D541="","",IFERROR(INDEX(Objectius!$C$2:$C$183,MATCH($D541,Objectius!$A$2:$A$183,0)),"Objectiu no trobat al Pla"))</f>
        <v/>
      </c>
      <c r="F541" s="11" t="n"/>
      <c r="G541" s="11" t="n"/>
      <c r="H541" s="11" t="n"/>
      <c r="I541" s="10">
        <f>IF($D541="","",IFERROR(INDEX(Objectius!$D$2:$D$183,MATCH($D541,Objectius!$A$2:$A$183,0)),""))</f>
        <v/>
      </c>
      <c r="J541" s="11" t="n"/>
      <c r="K541" s="11" t="n"/>
      <c r="L541" s="11" t="n"/>
      <c r="M541" s="12" t="n"/>
      <c r="N541" s="11" t="n"/>
      <c r="O541" s="10">
        <f>IF($N541="","",IFERROR(INDEX('PLA ESTRATÈGIC'!$G$4:$G$452,MATCH($N541,'PLA ESTRATÈGIC'!$Q$4:$Q$452,0)),""))</f>
        <v/>
      </c>
      <c r="P541" s="10">
        <f>IF($N541="","",IFERROR(INDEX('PLA ESTRATÈGIC'!$H$4:$H$452,MATCH($N541,'PLA ESTRATÈGIC'!$Q$4:$Q$452,0)),""))</f>
        <v/>
      </c>
      <c r="Q541" s="13" t="n"/>
      <c r="R541" s="11" t="n"/>
      <c r="S541" s="11" t="n"/>
      <c r="T541" s="11" t="n"/>
      <c r="U541" s="11" t="n"/>
      <c r="V541" s="10">
        <f>IF(COUNTA($C541,$D541,$J541,$M541)=0,"",IF(TRIM(IF($C541="","Falta l'actuació. ","")&amp;IF($D541="","Falta l'objectiu. ","")&amp;IF($J541="","Falta el tipus de despesa. ","")&amp;IF(AND($J541&lt;&gt;"",$J541&lt;&gt;"Mitjans propis",$J541&lt;&gt;"Altres",$M541=""),"Falta l'import. ","")&amp;IF(AND($J541="Contracte menor a càrrec del RAE",$K541=""),"Falta la partida RAE. ","")&amp;IF(AND($B541&lt;&gt;"",COUNTIF($B$6:$B$705,$B541)&gt;1),"Codi RAE repetit. ","")&amp;IF(AND($B541&lt;&gt;"",$J541&lt;&gt;"",$J541&lt;&gt;"Contracte menor a càrrec del RAE"),"Té codi RAE però no és de tipus RAE. ","")&amp;IF($N541="","Falta l'indicador del Pla. ","")&amp;IF($R541="","Falta el gestor. ","")&amp;IF($S541="","Falta indicar si és recurrent. ",""))="","✔",TRIM(IF($C541="","Falta l'actuació. ","")&amp;IF($D541="","Falta l'objectiu. ","")&amp;IF($J541="","Falta el tipus de despesa. ","")&amp;IF(AND($J541&lt;&gt;"",$J541&lt;&gt;"Mitjans propis",$J541&lt;&gt;"Altres",$M541=""),"Falta l'import. ","")&amp;IF(AND($J541="Contracte menor a càrrec del RAE",$K541=""),"Falta la partida RAE. ","")&amp;IF(AND($B541&lt;&gt;"",COUNTIF($B$6:$B$705,$B541)&gt;1),"Codi RAE repetit. ","")&amp;IF(AND($B541&lt;&gt;"",$J541&lt;&gt;"",$J541&lt;&gt;"Contracte menor a càrrec del RAE"),"Té codi RAE però no és de tipus RAE. ","")&amp;IF($N541="","Falta l'indicador del Pla. ","")&amp;IF($R541="","Falta el gestor. ","")&amp;IF($S541="","Falta indicar si és recurrent. ",""))))</f>
        <v/>
      </c>
    </row>
    <row r="542">
      <c r="A542" s="10">
        <f>IF($D542="","","27_"&amp;IFERROR(INDEX(Objectius!$E$2:$E$183,MATCH($D542,Objectius!$A$2:$A$183,0)),"??")&amp;"_"&amp;TEXT(COUNTIF($I$6:$I542,$I542),"00"))</f>
        <v/>
      </c>
      <c r="B542" s="11" t="n"/>
      <c r="C542" s="11" t="n"/>
      <c r="D542" s="11" t="n"/>
      <c r="E542" s="10">
        <f>IF($D542="","",IFERROR(INDEX(Objectius!$C$2:$C$183,MATCH($D542,Objectius!$A$2:$A$183,0)),"Objectiu no trobat al Pla"))</f>
        <v/>
      </c>
      <c r="F542" s="11" t="n"/>
      <c r="G542" s="11" t="n"/>
      <c r="H542" s="11" t="n"/>
      <c r="I542" s="10">
        <f>IF($D542="","",IFERROR(INDEX(Objectius!$D$2:$D$183,MATCH($D542,Objectius!$A$2:$A$183,0)),""))</f>
        <v/>
      </c>
      <c r="J542" s="11" t="n"/>
      <c r="K542" s="11" t="n"/>
      <c r="L542" s="11" t="n"/>
      <c r="M542" s="12" t="n"/>
      <c r="N542" s="11" t="n"/>
      <c r="O542" s="10">
        <f>IF($N542="","",IFERROR(INDEX('PLA ESTRATÈGIC'!$G$4:$G$452,MATCH($N542,'PLA ESTRATÈGIC'!$Q$4:$Q$452,0)),""))</f>
        <v/>
      </c>
      <c r="P542" s="10">
        <f>IF($N542="","",IFERROR(INDEX('PLA ESTRATÈGIC'!$H$4:$H$452,MATCH($N542,'PLA ESTRATÈGIC'!$Q$4:$Q$452,0)),""))</f>
        <v/>
      </c>
      <c r="Q542" s="13" t="n"/>
      <c r="R542" s="11" t="n"/>
      <c r="S542" s="11" t="n"/>
      <c r="T542" s="11" t="n"/>
      <c r="U542" s="11" t="n"/>
      <c r="V542" s="10">
        <f>IF(COUNTA($C542,$D542,$J542,$M542)=0,"",IF(TRIM(IF($C542="","Falta l'actuació. ","")&amp;IF($D542="","Falta l'objectiu. ","")&amp;IF($J542="","Falta el tipus de despesa. ","")&amp;IF(AND($J542&lt;&gt;"",$J542&lt;&gt;"Mitjans propis",$J542&lt;&gt;"Altres",$M542=""),"Falta l'import. ","")&amp;IF(AND($J542="Contracte menor a càrrec del RAE",$K542=""),"Falta la partida RAE. ","")&amp;IF(AND($B542&lt;&gt;"",COUNTIF($B$6:$B$705,$B542)&gt;1),"Codi RAE repetit. ","")&amp;IF(AND($B542&lt;&gt;"",$J542&lt;&gt;"",$J542&lt;&gt;"Contracte menor a càrrec del RAE"),"Té codi RAE però no és de tipus RAE. ","")&amp;IF($N542="","Falta l'indicador del Pla. ","")&amp;IF($R542="","Falta el gestor. ","")&amp;IF($S542="","Falta indicar si és recurrent. ",""))="","✔",TRIM(IF($C542="","Falta l'actuació. ","")&amp;IF($D542="","Falta l'objectiu. ","")&amp;IF($J542="","Falta el tipus de despesa. ","")&amp;IF(AND($J542&lt;&gt;"",$J542&lt;&gt;"Mitjans propis",$J542&lt;&gt;"Altres",$M542=""),"Falta l'import. ","")&amp;IF(AND($J542="Contracte menor a càrrec del RAE",$K542=""),"Falta la partida RAE. ","")&amp;IF(AND($B542&lt;&gt;"",COUNTIF($B$6:$B$705,$B542)&gt;1),"Codi RAE repetit. ","")&amp;IF(AND($B542&lt;&gt;"",$J542&lt;&gt;"",$J542&lt;&gt;"Contracte menor a càrrec del RAE"),"Té codi RAE però no és de tipus RAE. ","")&amp;IF($N542="","Falta l'indicador del Pla. ","")&amp;IF($R542="","Falta el gestor. ","")&amp;IF($S542="","Falta indicar si és recurrent. ",""))))</f>
        <v/>
      </c>
    </row>
    <row r="543">
      <c r="A543" s="10">
        <f>IF($D543="","","27_"&amp;IFERROR(INDEX(Objectius!$E$2:$E$183,MATCH($D543,Objectius!$A$2:$A$183,0)),"??")&amp;"_"&amp;TEXT(COUNTIF($I$6:$I543,$I543),"00"))</f>
        <v/>
      </c>
      <c r="B543" s="11" t="n"/>
      <c r="C543" s="11" t="n"/>
      <c r="D543" s="11" t="n"/>
      <c r="E543" s="10">
        <f>IF($D543="","",IFERROR(INDEX(Objectius!$C$2:$C$183,MATCH($D543,Objectius!$A$2:$A$183,0)),"Objectiu no trobat al Pla"))</f>
        <v/>
      </c>
      <c r="F543" s="11" t="n"/>
      <c r="G543" s="11" t="n"/>
      <c r="H543" s="11" t="n"/>
      <c r="I543" s="10">
        <f>IF($D543="","",IFERROR(INDEX(Objectius!$D$2:$D$183,MATCH($D543,Objectius!$A$2:$A$183,0)),""))</f>
        <v/>
      </c>
      <c r="J543" s="11" t="n"/>
      <c r="K543" s="11" t="n"/>
      <c r="L543" s="11" t="n"/>
      <c r="M543" s="12" t="n"/>
      <c r="N543" s="11" t="n"/>
      <c r="O543" s="10">
        <f>IF($N543="","",IFERROR(INDEX('PLA ESTRATÈGIC'!$G$4:$G$452,MATCH($N543,'PLA ESTRATÈGIC'!$Q$4:$Q$452,0)),""))</f>
        <v/>
      </c>
      <c r="P543" s="10">
        <f>IF($N543="","",IFERROR(INDEX('PLA ESTRATÈGIC'!$H$4:$H$452,MATCH($N543,'PLA ESTRATÈGIC'!$Q$4:$Q$452,0)),""))</f>
        <v/>
      </c>
      <c r="Q543" s="13" t="n"/>
      <c r="R543" s="11" t="n"/>
      <c r="S543" s="11" t="n"/>
      <c r="T543" s="11" t="n"/>
      <c r="U543" s="11" t="n"/>
      <c r="V543" s="10">
        <f>IF(COUNTA($C543,$D543,$J543,$M543)=0,"",IF(TRIM(IF($C543="","Falta l'actuació. ","")&amp;IF($D543="","Falta l'objectiu. ","")&amp;IF($J543="","Falta el tipus de despesa. ","")&amp;IF(AND($J543&lt;&gt;"",$J543&lt;&gt;"Mitjans propis",$J543&lt;&gt;"Altres",$M543=""),"Falta l'import. ","")&amp;IF(AND($J543="Contracte menor a càrrec del RAE",$K543=""),"Falta la partida RAE. ","")&amp;IF(AND($B543&lt;&gt;"",COUNTIF($B$6:$B$705,$B543)&gt;1),"Codi RAE repetit. ","")&amp;IF(AND($B543&lt;&gt;"",$J543&lt;&gt;"",$J543&lt;&gt;"Contracte menor a càrrec del RAE"),"Té codi RAE però no és de tipus RAE. ","")&amp;IF($N543="","Falta l'indicador del Pla. ","")&amp;IF($R543="","Falta el gestor. ","")&amp;IF($S543="","Falta indicar si és recurrent. ",""))="","✔",TRIM(IF($C543="","Falta l'actuació. ","")&amp;IF($D543="","Falta l'objectiu. ","")&amp;IF($J543="","Falta el tipus de despesa. ","")&amp;IF(AND($J543&lt;&gt;"",$J543&lt;&gt;"Mitjans propis",$J543&lt;&gt;"Altres",$M543=""),"Falta l'import. ","")&amp;IF(AND($J543="Contracte menor a càrrec del RAE",$K543=""),"Falta la partida RAE. ","")&amp;IF(AND($B543&lt;&gt;"",COUNTIF($B$6:$B$705,$B543)&gt;1),"Codi RAE repetit. ","")&amp;IF(AND($B543&lt;&gt;"",$J543&lt;&gt;"",$J543&lt;&gt;"Contracte menor a càrrec del RAE"),"Té codi RAE però no és de tipus RAE. ","")&amp;IF($N543="","Falta l'indicador del Pla. ","")&amp;IF($R543="","Falta el gestor. ","")&amp;IF($S543="","Falta indicar si és recurrent. ",""))))</f>
        <v/>
      </c>
    </row>
    <row r="544">
      <c r="A544" s="10">
        <f>IF($D544="","","27_"&amp;IFERROR(INDEX(Objectius!$E$2:$E$183,MATCH($D544,Objectius!$A$2:$A$183,0)),"??")&amp;"_"&amp;TEXT(COUNTIF($I$6:$I544,$I544),"00"))</f>
        <v/>
      </c>
      <c r="B544" s="11" t="n"/>
      <c r="C544" s="11" t="n"/>
      <c r="D544" s="11" t="n"/>
      <c r="E544" s="10">
        <f>IF($D544="","",IFERROR(INDEX(Objectius!$C$2:$C$183,MATCH($D544,Objectius!$A$2:$A$183,0)),"Objectiu no trobat al Pla"))</f>
        <v/>
      </c>
      <c r="F544" s="11" t="n"/>
      <c r="G544" s="11" t="n"/>
      <c r="H544" s="11" t="n"/>
      <c r="I544" s="10">
        <f>IF($D544="","",IFERROR(INDEX(Objectius!$D$2:$D$183,MATCH($D544,Objectius!$A$2:$A$183,0)),""))</f>
        <v/>
      </c>
      <c r="J544" s="11" t="n"/>
      <c r="K544" s="11" t="n"/>
      <c r="L544" s="11" t="n"/>
      <c r="M544" s="12" t="n"/>
      <c r="N544" s="11" t="n"/>
      <c r="O544" s="10">
        <f>IF($N544="","",IFERROR(INDEX('PLA ESTRATÈGIC'!$G$4:$G$452,MATCH($N544,'PLA ESTRATÈGIC'!$Q$4:$Q$452,0)),""))</f>
        <v/>
      </c>
      <c r="P544" s="10">
        <f>IF($N544="","",IFERROR(INDEX('PLA ESTRATÈGIC'!$H$4:$H$452,MATCH($N544,'PLA ESTRATÈGIC'!$Q$4:$Q$452,0)),""))</f>
        <v/>
      </c>
      <c r="Q544" s="13" t="n"/>
      <c r="R544" s="11" t="n"/>
      <c r="S544" s="11" t="n"/>
      <c r="T544" s="11" t="n"/>
      <c r="U544" s="11" t="n"/>
      <c r="V544" s="10">
        <f>IF(COUNTA($C544,$D544,$J544,$M544)=0,"",IF(TRIM(IF($C544="","Falta l'actuació. ","")&amp;IF($D544="","Falta l'objectiu. ","")&amp;IF($J544="","Falta el tipus de despesa. ","")&amp;IF(AND($J544&lt;&gt;"",$J544&lt;&gt;"Mitjans propis",$J544&lt;&gt;"Altres",$M544=""),"Falta l'import. ","")&amp;IF(AND($J544="Contracte menor a càrrec del RAE",$K544=""),"Falta la partida RAE. ","")&amp;IF(AND($B544&lt;&gt;"",COUNTIF($B$6:$B$705,$B544)&gt;1),"Codi RAE repetit. ","")&amp;IF(AND($B544&lt;&gt;"",$J544&lt;&gt;"",$J544&lt;&gt;"Contracte menor a càrrec del RAE"),"Té codi RAE però no és de tipus RAE. ","")&amp;IF($N544="","Falta l'indicador del Pla. ","")&amp;IF($R544="","Falta el gestor. ","")&amp;IF($S544="","Falta indicar si és recurrent. ",""))="","✔",TRIM(IF($C544="","Falta l'actuació. ","")&amp;IF($D544="","Falta l'objectiu. ","")&amp;IF($J544="","Falta el tipus de despesa. ","")&amp;IF(AND($J544&lt;&gt;"",$J544&lt;&gt;"Mitjans propis",$J544&lt;&gt;"Altres",$M544=""),"Falta l'import. ","")&amp;IF(AND($J544="Contracte menor a càrrec del RAE",$K544=""),"Falta la partida RAE. ","")&amp;IF(AND($B544&lt;&gt;"",COUNTIF($B$6:$B$705,$B544)&gt;1),"Codi RAE repetit. ","")&amp;IF(AND($B544&lt;&gt;"",$J544&lt;&gt;"",$J544&lt;&gt;"Contracte menor a càrrec del RAE"),"Té codi RAE però no és de tipus RAE. ","")&amp;IF($N544="","Falta l'indicador del Pla. ","")&amp;IF($R544="","Falta el gestor. ","")&amp;IF($S544="","Falta indicar si és recurrent. ",""))))</f>
        <v/>
      </c>
    </row>
    <row r="545">
      <c r="A545" s="10">
        <f>IF($D545="","","27_"&amp;IFERROR(INDEX(Objectius!$E$2:$E$183,MATCH($D545,Objectius!$A$2:$A$183,0)),"??")&amp;"_"&amp;TEXT(COUNTIF($I$6:$I545,$I545),"00"))</f>
        <v/>
      </c>
      <c r="B545" s="11" t="n"/>
      <c r="C545" s="11" t="n"/>
      <c r="D545" s="11" t="n"/>
      <c r="E545" s="10">
        <f>IF($D545="","",IFERROR(INDEX(Objectius!$C$2:$C$183,MATCH($D545,Objectius!$A$2:$A$183,0)),"Objectiu no trobat al Pla"))</f>
        <v/>
      </c>
      <c r="F545" s="11" t="n"/>
      <c r="G545" s="11" t="n"/>
      <c r="H545" s="11" t="n"/>
      <c r="I545" s="10">
        <f>IF($D545="","",IFERROR(INDEX(Objectius!$D$2:$D$183,MATCH($D545,Objectius!$A$2:$A$183,0)),""))</f>
        <v/>
      </c>
      <c r="J545" s="11" t="n"/>
      <c r="K545" s="11" t="n"/>
      <c r="L545" s="11" t="n"/>
      <c r="M545" s="12" t="n"/>
      <c r="N545" s="11" t="n"/>
      <c r="O545" s="10">
        <f>IF($N545="","",IFERROR(INDEX('PLA ESTRATÈGIC'!$G$4:$G$452,MATCH($N545,'PLA ESTRATÈGIC'!$Q$4:$Q$452,0)),""))</f>
        <v/>
      </c>
      <c r="P545" s="10">
        <f>IF($N545="","",IFERROR(INDEX('PLA ESTRATÈGIC'!$H$4:$H$452,MATCH($N545,'PLA ESTRATÈGIC'!$Q$4:$Q$452,0)),""))</f>
        <v/>
      </c>
      <c r="Q545" s="13" t="n"/>
      <c r="R545" s="11" t="n"/>
      <c r="S545" s="11" t="n"/>
      <c r="T545" s="11" t="n"/>
      <c r="U545" s="11" t="n"/>
      <c r="V545" s="10">
        <f>IF(COUNTA($C545,$D545,$J545,$M545)=0,"",IF(TRIM(IF($C545="","Falta l'actuació. ","")&amp;IF($D545="","Falta l'objectiu. ","")&amp;IF($J545="","Falta el tipus de despesa. ","")&amp;IF(AND($J545&lt;&gt;"",$J545&lt;&gt;"Mitjans propis",$J545&lt;&gt;"Altres",$M545=""),"Falta l'import. ","")&amp;IF(AND($J545="Contracte menor a càrrec del RAE",$K545=""),"Falta la partida RAE. ","")&amp;IF(AND($B545&lt;&gt;"",COUNTIF($B$6:$B$705,$B545)&gt;1),"Codi RAE repetit. ","")&amp;IF(AND($B545&lt;&gt;"",$J545&lt;&gt;"",$J545&lt;&gt;"Contracte menor a càrrec del RAE"),"Té codi RAE però no és de tipus RAE. ","")&amp;IF($N545="","Falta l'indicador del Pla. ","")&amp;IF($R545="","Falta el gestor. ","")&amp;IF($S545="","Falta indicar si és recurrent. ",""))="","✔",TRIM(IF($C545="","Falta l'actuació. ","")&amp;IF($D545="","Falta l'objectiu. ","")&amp;IF($J545="","Falta el tipus de despesa. ","")&amp;IF(AND($J545&lt;&gt;"",$J545&lt;&gt;"Mitjans propis",$J545&lt;&gt;"Altres",$M545=""),"Falta l'import. ","")&amp;IF(AND($J545="Contracte menor a càrrec del RAE",$K545=""),"Falta la partida RAE. ","")&amp;IF(AND($B545&lt;&gt;"",COUNTIF($B$6:$B$705,$B545)&gt;1),"Codi RAE repetit. ","")&amp;IF(AND($B545&lt;&gt;"",$J545&lt;&gt;"",$J545&lt;&gt;"Contracte menor a càrrec del RAE"),"Té codi RAE però no és de tipus RAE. ","")&amp;IF($N545="","Falta l'indicador del Pla. ","")&amp;IF($R545="","Falta el gestor. ","")&amp;IF($S545="","Falta indicar si és recurrent. ",""))))</f>
        <v/>
      </c>
    </row>
    <row r="546">
      <c r="A546" s="10">
        <f>IF($D546="","","27_"&amp;IFERROR(INDEX(Objectius!$E$2:$E$183,MATCH($D546,Objectius!$A$2:$A$183,0)),"??")&amp;"_"&amp;TEXT(COUNTIF($I$6:$I546,$I546),"00"))</f>
        <v/>
      </c>
      <c r="B546" s="11" t="n"/>
      <c r="C546" s="11" t="n"/>
      <c r="D546" s="11" t="n"/>
      <c r="E546" s="10">
        <f>IF($D546="","",IFERROR(INDEX(Objectius!$C$2:$C$183,MATCH($D546,Objectius!$A$2:$A$183,0)),"Objectiu no trobat al Pla"))</f>
        <v/>
      </c>
      <c r="F546" s="11" t="n"/>
      <c r="G546" s="11" t="n"/>
      <c r="H546" s="11" t="n"/>
      <c r="I546" s="10">
        <f>IF($D546="","",IFERROR(INDEX(Objectius!$D$2:$D$183,MATCH($D546,Objectius!$A$2:$A$183,0)),""))</f>
        <v/>
      </c>
      <c r="J546" s="11" t="n"/>
      <c r="K546" s="11" t="n"/>
      <c r="L546" s="11" t="n"/>
      <c r="M546" s="12" t="n"/>
      <c r="N546" s="11" t="n"/>
      <c r="O546" s="10">
        <f>IF($N546="","",IFERROR(INDEX('PLA ESTRATÈGIC'!$G$4:$G$452,MATCH($N546,'PLA ESTRATÈGIC'!$Q$4:$Q$452,0)),""))</f>
        <v/>
      </c>
      <c r="P546" s="10">
        <f>IF($N546="","",IFERROR(INDEX('PLA ESTRATÈGIC'!$H$4:$H$452,MATCH($N546,'PLA ESTRATÈGIC'!$Q$4:$Q$452,0)),""))</f>
        <v/>
      </c>
      <c r="Q546" s="13" t="n"/>
      <c r="R546" s="11" t="n"/>
      <c r="S546" s="11" t="n"/>
      <c r="T546" s="11" t="n"/>
      <c r="U546" s="11" t="n"/>
      <c r="V546" s="10">
        <f>IF(COUNTA($C546,$D546,$J546,$M546)=0,"",IF(TRIM(IF($C546="","Falta l'actuació. ","")&amp;IF($D546="","Falta l'objectiu. ","")&amp;IF($J546="","Falta el tipus de despesa. ","")&amp;IF(AND($J546&lt;&gt;"",$J546&lt;&gt;"Mitjans propis",$J546&lt;&gt;"Altres",$M546=""),"Falta l'import. ","")&amp;IF(AND($J546="Contracte menor a càrrec del RAE",$K546=""),"Falta la partida RAE. ","")&amp;IF(AND($B546&lt;&gt;"",COUNTIF($B$6:$B$705,$B546)&gt;1),"Codi RAE repetit. ","")&amp;IF(AND($B546&lt;&gt;"",$J546&lt;&gt;"",$J546&lt;&gt;"Contracte menor a càrrec del RAE"),"Té codi RAE però no és de tipus RAE. ","")&amp;IF($N546="","Falta l'indicador del Pla. ","")&amp;IF($R546="","Falta el gestor. ","")&amp;IF($S546="","Falta indicar si és recurrent. ",""))="","✔",TRIM(IF($C546="","Falta l'actuació. ","")&amp;IF($D546="","Falta l'objectiu. ","")&amp;IF($J546="","Falta el tipus de despesa. ","")&amp;IF(AND($J546&lt;&gt;"",$J546&lt;&gt;"Mitjans propis",$J546&lt;&gt;"Altres",$M546=""),"Falta l'import. ","")&amp;IF(AND($J546="Contracte menor a càrrec del RAE",$K546=""),"Falta la partida RAE. ","")&amp;IF(AND($B546&lt;&gt;"",COUNTIF($B$6:$B$705,$B546)&gt;1),"Codi RAE repetit. ","")&amp;IF(AND($B546&lt;&gt;"",$J546&lt;&gt;"",$J546&lt;&gt;"Contracte menor a càrrec del RAE"),"Té codi RAE però no és de tipus RAE. ","")&amp;IF($N546="","Falta l'indicador del Pla. ","")&amp;IF($R546="","Falta el gestor. ","")&amp;IF($S546="","Falta indicar si és recurrent. ",""))))</f>
        <v/>
      </c>
    </row>
    <row r="547">
      <c r="A547" s="10">
        <f>IF($D547="","","27_"&amp;IFERROR(INDEX(Objectius!$E$2:$E$183,MATCH($D547,Objectius!$A$2:$A$183,0)),"??")&amp;"_"&amp;TEXT(COUNTIF($I$6:$I547,$I547),"00"))</f>
        <v/>
      </c>
      <c r="B547" s="11" t="n"/>
      <c r="C547" s="11" t="n"/>
      <c r="D547" s="11" t="n"/>
      <c r="E547" s="10">
        <f>IF($D547="","",IFERROR(INDEX(Objectius!$C$2:$C$183,MATCH($D547,Objectius!$A$2:$A$183,0)),"Objectiu no trobat al Pla"))</f>
        <v/>
      </c>
      <c r="F547" s="11" t="n"/>
      <c r="G547" s="11" t="n"/>
      <c r="H547" s="11" t="n"/>
      <c r="I547" s="10">
        <f>IF($D547="","",IFERROR(INDEX(Objectius!$D$2:$D$183,MATCH($D547,Objectius!$A$2:$A$183,0)),""))</f>
        <v/>
      </c>
      <c r="J547" s="11" t="n"/>
      <c r="K547" s="11" t="n"/>
      <c r="L547" s="11" t="n"/>
      <c r="M547" s="12" t="n"/>
      <c r="N547" s="11" t="n"/>
      <c r="O547" s="10">
        <f>IF($N547="","",IFERROR(INDEX('PLA ESTRATÈGIC'!$G$4:$G$452,MATCH($N547,'PLA ESTRATÈGIC'!$Q$4:$Q$452,0)),""))</f>
        <v/>
      </c>
      <c r="P547" s="10">
        <f>IF($N547="","",IFERROR(INDEX('PLA ESTRATÈGIC'!$H$4:$H$452,MATCH($N547,'PLA ESTRATÈGIC'!$Q$4:$Q$452,0)),""))</f>
        <v/>
      </c>
      <c r="Q547" s="13" t="n"/>
      <c r="R547" s="11" t="n"/>
      <c r="S547" s="11" t="n"/>
      <c r="T547" s="11" t="n"/>
      <c r="U547" s="11" t="n"/>
      <c r="V547" s="10">
        <f>IF(COUNTA($C547,$D547,$J547,$M547)=0,"",IF(TRIM(IF($C547="","Falta l'actuació. ","")&amp;IF($D547="","Falta l'objectiu. ","")&amp;IF($J547="","Falta el tipus de despesa. ","")&amp;IF(AND($J547&lt;&gt;"",$J547&lt;&gt;"Mitjans propis",$J547&lt;&gt;"Altres",$M547=""),"Falta l'import. ","")&amp;IF(AND($J547="Contracte menor a càrrec del RAE",$K547=""),"Falta la partida RAE. ","")&amp;IF(AND($B547&lt;&gt;"",COUNTIF($B$6:$B$705,$B547)&gt;1),"Codi RAE repetit. ","")&amp;IF(AND($B547&lt;&gt;"",$J547&lt;&gt;"",$J547&lt;&gt;"Contracte menor a càrrec del RAE"),"Té codi RAE però no és de tipus RAE. ","")&amp;IF($N547="","Falta l'indicador del Pla. ","")&amp;IF($R547="","Falta el gestor. ","")&amp;IF($S547="","Falta indicar si és recurrent. ",""))="","✔",TRIM(IF($C547="","Falta l'actuació. ","")&amp;IF($D547="","Falta l'objectiu. ","")&amp;IF($J547="","Falta el tipus de despesa. ","")&amp;IF(AND($J547&lt;&gt;"",$J547&lt;&gt;"Mitjans propis",$J547&lt;&gt;"Altres",$M547=""),"Falta l'import. ","")&amp;IF(AND($J547="Contracte menor a càrrec del RAE",$K547=""),"Falta la partida RAE. ","")&amp;IF(AND($B547&lt;&gt;"",COUNTIF($B$6:$B$705,$B547)&gt;1),"Codi RAE repetit. ","")&amp;IF(AND($B547&lt;&gt;"",$J547&lt;&gt;"",$J547&lt;&gt;"Contracte menor a càrrec del RAE"),"Té codi RAE però no és de tipus RAE. ","")&amp;IF($N547="","Falta l'indicador del Pla. ","")&amp;IF($R547="","Falta el gestor. ","")&amp;IF($S547="","Falta indicar si és recurrent. ",""))))</f>
        <v/>
      </c>
    </row>
    <row r="548">
      <c r="A548" s="10">
        <f>IF($D548="","","27_"&amp;IFERROR(INDEX(Objectius!$E$2:$E$183,MATCH($D548,Objectius!$A$2:$A$183,0)),"??")&amp;"_"&amp;TEXT(COUNTIF($I$6:$I548,$I548),"00"))</f>
        <v/>
      </c>
      <c r="B548" s="11" t="n"/>
      <c r="C548" s="11" t="n"/>
      <c r="D548" s="11" t="n"/>
      <c r="E548" s="10">
        <f>IF($D548="","",IFERROR(INDEX(Objectius!$C$2:$C$183,MATCH($D548,Objectius!$A$2:$A$183,0)),"Objectiu no trobat al Pla"))</f>
        <v/>
      </c>
      <c r="F548" s="11" t="n"/>
      <c r="G548" s="11" t="n"/>
      <c r="H548" s="11" t="n"/>
      <c r="I548" s="10">
        <f>IF($D548="","",IFERROR(INDEX(Objectius!$D$2:$D$183,MATCH($D548,Objectius!$A$2:$A$183,0)),""))</f>
        <v/>
      </c>
      <c r="J548" s="11" t="n"/>
      <c r="K548" s="11" t="n"/>
      <c r="L548" s="11" t="n"/>
      <c r="M548" s="12" t="n"/>
      <c r="N548" s="11" t="n"/>
      <c r="O548" s="10">
        <f>IF($N548="","",IFERROR(INDEX('PLA ESTRATÈGIC'!$G$4:$G$452,MATCH($N548,'PLA ESTRATÈGIC'!$Q$4:$Q$452,0)),""))</f>
        <v/>
      </c>
      <c r="P548" s="10">
        <f>IF($N548="","",IFERROR(INDEX('PLA ESTRATÈGIC'!$H$4:$H$452,MATCH($N548,'PLA ESTRATÈGIC'!$Q$4:$Q$452,0)),""))</f>
        <v/>
      </c>
      <c r="Q548" s="13" t="n"/>
      <c r="R548" s="11" t="n"/>
      <c r="S548" s="11" t="n"/>
      <c r="T548" s="11" t="n"/>
      <c r="U548" s="11" t="n"/>
      <c r="V548" s="10">
        <f>IF(COUNTA($C548,$D548,$J548,$M548)=0,"",IF(TRIM(IF($C548="","Falta l'actuació. ","")&amp;IF($D548="","Falta l'objectiu. ","")&amp;IF($J548="","Falta el tipus de despesa. ","")&amp;IF(AND($J548&lt;&gt;"",$J548&lt;&gt;"Mitjans propis",$J548&lt;&gt;"Altres",$M548=""),"Falta l'import. ","")&amp;IF(AND($J548="Contracte menor a càrrec del RAE",$K548=""),"Falta la partida RAE. ","")&amp;IF(AND($B548&lt;&gt;"",COUNTIF($B$6:$B$705,$B548)&gt;1),"Codi RAE repetit. ","")&amp;IF(AND($B548&lt;&gt;"",$J548&lt;&gt;"",$J548&lt;&gt;"Contracte menor a càrrec del RAE"),"Té codi RAE però no és de tipus RAE. ","")&amp;IF($N548="","Falta l'indicador del Pla. ","")&amp;IF($R548="","Falta el gestor. ","")&amp;IF($S548="","Falta indicar si és recurrent. ",""))="","✔",TRIM(IF($C548="","Falta l'actuació. ","")&amp;IF($D548="","Falta l'objectiu. ","")&amp;IF($J548="","Falta el tipus de despesa. ","")&amp;IF(AND($J548&lt;&gt;"",$J548&lt;&gt;"Mitjans propis",$J548&lt;&gt;"Altres",$M548=""),"Falta l'import. ","")&amp;IF(AND($J548="Contracte menor a càrrec del RAE",$K548=""),"Falta la partida RAE. ","")&amp;IF(AND($B548&lt;&gt;"",COUNTIF($B$6:$B$705,$B548)&gt;1),"Codi RAE repetit. ","")&amp;IF(AND($B548&lt;&gt;"",$J548&lt;&gt;"",$J548&lt;&gt;"Contracte menor a càrrec del RAE"),"Té codi RAE però no és de tipus RAE. ","")&amp;IF($N548="","Falta l'indicador del Pla. ","")&amp;IF($R548="","Falta el gestor. ","")&amp;IF($S548="","Falta indicar si és recurrent. ",""))))</f>
        <v/>
      </c>
    </row>
    <row r="549">
      <c r="A549" s="10">
        <f>IF($D549="","","27_"&amp;IFERROR(INDEX(Objectius!$E$2:$E$183,MATCH($D549,Objectius!$A$2:$A$183,0)),"??")&amp;"_"&amp;TEXT(COUNTIF($I$6:$I549,$I549),"00"))</f>
        <v/>
      </c>
      <c r="B549" s="11" t="n"/>
      <c r="C549" s="11" t="n"/>
      <c r="D549" s="11" t="n"/>
      <c r="E549" s="10">
        <f>IF($D549="","",IFERROR(INDEX(Objectius!$C$2:$C$183,MATCH($D549,Objectius!$A$2:$A$183,0)),"Objectiu no trobat al Pla"))</f>
        <v/>
      </c>
      <c r="F549" s="11" t="n"/>
      <c r="G549" s="11" t="n"/>
      <c r="H549" s="11" t="n"/>
      <c r="I549" s="10">
        <f>IF($D549="","",IFERROR(INDEX(Objectius!$D$2:$D$183,MATCH($D549,Objectius!$A$2:$A$183,0)),""))</f>
        <v/>
      </c>
      <c r="J549" s="11" t="n"/>
      <c r="K549" s="11" t="n"/>
      <c r="L549" s="11" t="n"/>
      <c r="M549" s="12" t="n"/>
      <c r="N549" s="11" t="n"/>
      <c r="O549" s="10">
        <f>IF($N549="","",IFERROR(INDEX('PLA ESTRATÈGIC'!$G$4:$G$452,MATCH($N549,'PLA ESTRATÈGIC'!$Q$4:$Q$452,0)),""))</f>
        <v/>
      </c>
      <c r="P549" s="10">
        <f>IF($N549="","",IFERROR(INDEX('PLA ESTRATÈGIC'!$H$4:$H$452,MATCH($N549,'PLA ESTRATÈGIC'!$Q$4:$Q$452,0)),""))</f>
        <v/>
      </c>
      <c r="Q549" s="13" t="n"/>
      <c r="R549" s="11" t="n"/>
      <c r="S549" s="11" t="n"/>
      <c r="T549" s="11" t="n"/>
      <c r="U549" s="11" t="n"/>
      <c r="V549" s="10">
        <f>IF(COUNTA($C549,$D549,$J549,$M549)=0,"",IF(TRIM(IF($C549="","Falta l'actuació. ","")&amp;IF($D549="","Falta l'objectiu. ","")&amp;IF($J549="","Falta el tipus de despesa. ","")&amp;IF(AND($J549&lt;&gt;"",$J549&lt;&gt;"Mitjans propis",$J549&lt;&gt;"Altres",$M549=""),"Falta l'import. ","")&amp;IF(AND($J549="Contracte menor a càrrec del RAE",$K549=""),"Falta la partida RAE. ","")&amp;IF(AND($B549&lt;&gt;"",COUNTIF($B$6:$B$705,$B549)&gt;1),"Codi RAE repetit. ","")&amp;IF(AND($B549&lt;&gt;"",$J549&lt;&gt;"",$J549&lt;&gt;"Contracte menor a càrrec del RAE"),"Té codi RAE però no és de tipus RAE. ","")&amp;IF($N549="","Falta l'indicador del Pla. ","")&amp;IF($R549="","Falta el gestor. ","")&amp;IF($S549="","Falta indicar si és recurrent. ",""))="","✔",TRIM(IF($C549="","Falta l'actuació. ","")&amp;IF($D549="","Falta l'objectiu. ","")&amp;IF($J549="","Falta el tipus de despesa. ","")&amp;IF(AND($J549&lt;&gt;"",$J549&lt;&gt;"Mitjans propis",$J549&lt;&gt;"Altres",$M549=""),"Falta l'import. ","")&amp;IF(AND($J549="Contracte menor a càrrec del RAE",$K549=""),"Falta la partida RAE. ","")&amp;IF(AND($B549&lt;&gt;"",COUNTIF($B$6:$B$705,$B549)&gt;1),"Codi RAE repetit. ","")&amp;IF(AND($B549&lt;&gt;"",$J549&lt;&gt;"",$J549&lt;&gt;"Contracte menor a càrrec del RAE"),"Té codi RAE però no és de tipus RAE. ","")&amp;IF($N549="","Falta l'indicador del Pla. ","")&amp;IF($R549="","Falta el gestor. ","")&amp;IF($S549="","Falta indicar si és recurrent. ",""))))</f>
        <v/>
      </c>
    </row>
    <row r="550">
      <c r="A550" s="10">
        <f>IF($D550="","","27_"&amp;IFERROR(INDEX(Objectius!$E$2:$E$183,MATCH($D550,Objectius!$A$2:$A$183,0)),"??")&amp;"_"&amp;TEXT(COUNTIF($I$6:$I550,$I550),"00"))</f>
        <v/>
      </c>
      <c r="B550" s="11" t="n"/>
      <c r="C550" s="11" t="n"/>
      <c r="D550" s="11" t="n"/>
      <c r="E550" s="10">
        <f>IF($D550="","",IFERROR(INDEX(Objectius!$C$2:$C$183,MATCH($D550,Objectius!$A$2:$A$183,0)),"Objectiu no trobat al Pla"))</f>
        <v/>
      </c>
      <c r="F550" s="11" t="n"/>
      <c r="G550" s="11" t="n"/>
      <c r="H550" s="11" t="n"/>
      <c r="I550" s="10">
        <f>IF($D550="","",IFERROR(INDEX(Objectius!$D$2:$D$183,MATCH($D550,Objectius!$A$2:$A$183,0)),""))</f>
        <v/>
      </c>
      <c r="J550" s="11" t="n"/>
      <c r="K550" s="11" t="n"/>
      <c r="L550" s="11" t="n"/>
      <c r="M550" s="12" t="n"/>
      <c r="N550" s="11" t="n"/>
      <c r="O550" s="10">
        <f>IF($N550="","",IFERROR(INDEX('PLA ESTRATÈGIC'!$G$4:$G$452,MATCH($N550,'PLA ESTRATÈGIC'!$Q$4:$Q$452,0)),""))</f>
        <v/>
      </c>
      <c r="P550" s="10">
        <f>IF($N550="","",IFERROR(INDEX('PLA ESTRATÈGIC'!$H$4:$H$452,MATCH($N550,'PLA ESTRATÈGIC'!$Q$4:$Q$452,0)),""))</f>
        <v/>
      </c>
      <c r="Q550" s="13" t="n"/>
      <c r="R550" s="11" t="n"/>
      <c r="S550" s="11" t="n"/>
      <c r="T550" s="11" t="n"/>
      <c r="U550" s="11" t="n"/>
      <c r="V550" s="10">
        <f>IF(COUNTA($C550,$D550,$J550,$M550)=0,"",IF(TRIM(IF($C550="","Falta l'actuació. ","")&amp;IF($D550="","Falta l'objectiu. ","")&amp;IF($J550="","Falta el tipus de despesa. ","")&amp;IF(AND($J550&lt;&gt;"",$J550&lt;&gt;"Mitjans propis",$J550&lt;&gt;"Altres",$M550=""),"Falta l'import. ","")&amp;IF(AND($J550="Contracte menor a càrrec del RAE",$K550=""),"Falta la partida RAE. ","")&amp;IF(AND($B550&lt;&gt;"",COUNTIF($B$6:$B$705,$B550)&gt;1),"Codi RAE repetit. ","")&amp;IF(AND($B550&lt;&gt;"",$J550&lt;&gt;"",$J550&lt;&gt;"Contracte menor a càrrec del RAE"),"Té codi RAE però no és de tipus RAE. ","")&amp;IF($N550="","Falta l'indicador del Pla. ","")&amp;IF($R550="","Falta el gestor. ","")&amp;IF($S550="","Falta indicar si és recurrent. ",""))="","✔",TRIM(IF($C550="","Falta l'actuació. ","")&amp;IF($D550="","Falta l'objectiu. ","")&amp;IF($J550="","Falta el tipus de despesa. ","")&amp;IF(AND($J550&lt;&gt;"",$J550&lt;&gt;"Mitjans propis",$J550&lt;&gt;"Altres",$M550=""),"Falta l'import. ","")&amp;IF(AND($J550="Contracte menor a càrrec del RAE",$K550=""),"Falta la partida RAE. ","")&amp;IF(AND($B550&lt;&gt;"",COUNTIF($B$6:$B$705,$B550)&gt;1),"Codi RAE repetit. ","")&amp;IF(AND($B550&lt;&gt;"",$J550&lt;&gt;"",$J550&lt;&gt;"Contracte menor a càrrec del RAE"),"Té codi RAE però no és de tipus RAE. ","")&amp;IF($N550="","Falta l'indicador del Pla. ","")&amp;IF($R550="","Falta el gestor. ","")&amp;IF($S550="","Falta indicar si és recurrent. ",""))))</f>
        <v/>
      </c>
    </row>
    <row r="551">
      <c r="A551" s="10">
        <f>IF($D551="","","27_"&amp;IFERROR(INDEX(Objectius!$E$2:$E$183,MATCH($D551,Objectius!$A$2:$A$183,0)),"??")&amp;"_"&amp;TEXT(COUNTIF($I$6:$I551,$I551),"00"))</f>
        <v/>
      </c>
      <c r="B551" s="11" t="n"/>
      <c r="C551" s="11" t="n"/>
      <c r="D551" s="11" t="n"/>
      <c r="E551" s="10">
        <f>IF($D551="","",IFERROR(INDEX(Objectius!$C$2:$C$183,MATCH($D551,Objectius!$A$2:$A$183,0)),"Objectiu no trobat al Pla"))</f>
        <v/>
      </c>
      <c r="F551" s="11" t="n"/>
      <c r="G551" s="11" t="n"/>
      <c r="H551" s="11" t="n"/>
      <c r="I551" s="10">
        <f>IF($D551="","",IFERROR(INDEX(Objectius!$D$2:$D$183,MATCH($D551,Objectius!$A$2:$A$183,0)),""))</f>
        <v/>
      </c>
      <c r="J551" s="11" t="n"/>
      <c r="K551" s="11" t="n"/>
      <c r="L551" s="11" t="n"/>
      <c r="M551" s="12" t="n"/>
      <c r="N551" s="11" t="n"/>
      <c r="O551" s="10">
        <f>IF($N551="","",IFERROR(INDEX('PLA ESTRATÈGIC'!$G$4:$G$452,MATCH($N551,'PLA ESTRATÈGIC'!$Q$4:$Q$452,0)),""))</f>
        <v/>
      </c>
      <c r="P551" s="10">
        <f>IF($N551="","",IFERROR(INDEX('PLA ESTRATÈGIC'!$H$4:$H$452,MATCH($N551,'PLA ESTRATÈGIC'!$Q$4:$Q$452,0)),""))</f>
        <v/>
      </c>
      <c r="Q551" s="13" t="n"/>
      <c r="R551" s="11" t="n"/>
      <c r="S551" s="11" t="n"/>
      <c r="T551" s="11" t="n"/>
      <c r="U551" s="11" t="n"/>
      <c r="V551" s="10">
        <f>IF(COUNTA($C551,$D551,$J551,$M551)=0,"",IF(TRIM(IF($C551="","Falta l'actuació. ","")&amp;IF($D551="","Falta l'objectiu. ","")&amp;IF($J551="","Falta el tipus de despesa. ","")&amp;IF(AND($J551&lt;&gt;"",$J551&lt;&gt;"Mitjans propis",$J551&lt;&gt;"Altres",$M551=""),"Falta l'import. ","")&amp;IF(AND($J551="Contracte menor a càrrec del RAE",$K551=""),"Falta la partida RAE. ","")&amp;IF(AND($B551&lt;&gt;"",COUNTIF($B$6:$B$705,$B551)&gt;1),"Codi RAE repetit. ","")&amp;IF(AND($B551&lt;&gt;"",$J551&lt;&gt;"",$J551&lt;&gt;"Contracte menor a càrrec del RAE"),"Té codi RAE però no és de tipus RAE. ","")&amp;IF($N551="","Falta l'indicador del Pla. ","")&amp;IF($R551="","Falta el gestor. ","")&amp;IF($S551="","Falta indicar si és recurrent. ",""))="","✔",TRIM(IF($C551="","Falta l'actuació. ","")&amp;IF($D551="","Falta l'objectiu. ","")&amp;IF($J551="","Falta el tipus de despesa. ","")&amp;IF(AND($J551&lt;&gt;"",$J551&lt;&gt;"Mitjans propis",$J551&lt;&gt;"Altres",$M551=""),"Falta l'import. ","")&amp;IF(AND($J551="Contracte menor a càrrec del RAE",$K551=""),"Falta la partida RAE. ","")&amp;IF(AND($B551&lt;&gt;"",COUNTIF($B$6:$B$705,$B551)&gt;1),"Codi RAE repetit. ","")&amp;IF(AND($B551&lt;&gt;"",$J551&lt;&gt;"",$J551&lt;&gt;"Contracte menor a càrrec del RAE"),"Té codi RAE però no és de tipus RAE. ","")&amp;IF($N551="","Falta l'indicador del Pla. ","")&amp;IF($R551="","Falta el gestor. ","")&amp;IF($S551="","Falta indicar si és recurrent. ",""))))</f>
        <v/>
      </c>
    </row>
    <row r="552">
      <c r="A552" s="10">
        <f>IF($D552="","","27_"&amp;IFERROR(INDEX(Objectius!$E$2:$E$183,MATCH($D552,Objectius!$A$2:$A$183,0)),"??")&amp;"_"&amp;TEXT(COUNTIF($I$6:$I552,$I552),"00"))</f>
        <v/>
      </c>
      <c r="B552" s="11" t="n"/>
      <c r="C552" s="11" t="n"/>
      <c r="D552" s="11" t="n"/>
      <c r="E552" s="10">
        <f>IF($D552="","",IFERROR(INDEX(Objectius!$C$2:$C$183,MATCH($D552,Objectius!$A$2:$A$183,0)),"Objectiu no trobat al Pla"))</f>
        <v/>
      </c>
      <c r="F552" s="11" t="n"/>
      <c r="G552" s="11" t="n"/>
      <c r="H552" s="11" t="n"/>
      <c r="I552" s="10">
        <f>IF($D552="","",IFERROR(INDEX(Objectius!$D$2:$D$183,MATCH($D552,Objectius!$A$2:$A$183,0)),""))</f>
        <v/>
      </c>
      <c r="J552" s="11" t="n"/>
      <c r="K552" s="11" t="n"/>
      <c r="L552" s="11" t="n"/>
      <c r="M552" s="12" t="n"/>
      <c r="N552" s="11" t="n"/>
      <c r="O552" s="10">
        <f>IF($N552="","",IFERROR(INDEX('PLA ESTRATÈGIC'!$G$4:$G$452,MATCH($N552,'PLA ESTRATÈGIC'!$Q$4:$Q$452,0)),""))</f>
        <v/>
      </c>
      <c r="P552" s="10">
        <f>IF($N552="","",IFERROR(INDEX('PLA ESTRATÈGIC'!$H$4:$H$452,MATCH($N552,'PLA ESTRATÈGIC'!$Q$4:$Q$452,0)),""))</f>
        <v/>
      </c>
      <c r="Q552" s="13" t="n"/>
      <c r="R552" s="11" t="n"/>
      <c r="S552" s="11" t="n"/>
      <c r="T552" s="11" t="n"/>
      <c r="U552" s="11" t="n"/>
      <c r="V552" s="10">
        <f>IF(COUNTA($C552,$D552,$J552,$M552)=0,"",IF(TRIM(IF($C552="","Falta l'actuació. ","")&amp;IF($D552="","Falta l'objectiu. ","")&amp;IF($J552="","Falta el tipus de despesa. ","")&amp;IF(AND($J552&lt;&gt;"",$J552&lt;&gt;"Mitjans propis",$J552&lt;&gt;"Altres",$M552=""),"Falta l'import. ","")&amp;IF(AND($J552="Contracte menor a càrrec del RAE",$K552=""),"Falta la partida RAE. ","")&amp;IF(AND($B552&lt;&gt;"",COUNTIF($B$6:$B$705,$B552)&gt;1),"Codi RAE repetit. ","")&amp;IF(AND($B552&lt;&gt;"",$J552&lt;&gt;"",$J552&lt;&gt;"Contracte menor a càrrec del RAE"),"Té codi RAE però no és de tipus RAE. ","")&amp;IF($N552="","Falta l'indicador del Pla. ","")&amp;IF($R552="","Falta el gestor. ","")&amp;IF($S552="","Falta indicar si és recurrent. ",""))="","✔",TRIM(IF($C552="","Falta l'actuació. ","")&amp;IF($D552="","Falta l'objectiu. ","")&amp;IF($J552="","Falta el tipus de despesa. ","")&amp;IF(AND($J552&lt;&gt;"",$J552&lt;&gt;"Mitjans propis",$J552&lt;&gt;"Altres",$M552=""),"Falta l'import. ","")&amp;IF(AND($J552="Contracte menor a càrrec del RAE",$K552=""),"Falta la partida RAE. ","")&amp;IF(AND($B552&lt;&gt;"",COUNTIF($B$6:$B$705,$B552)&gt;1),"Codi RAE repetit. ","")&amp;IF(AND($B552&lt;&gt;"",$J552&lt;&gt;"",$J552&lt;&gt;"Contracte menor a càrrec del RAE"),"Té codi RAE però no és de tipus RAE. ","")&amp;IF($N552="","Falta l'indicador del Pla. ","")&amp;IF($R552="","Falta el gestor. ","")&amp;IF($S552="","Falta indicar si és recurrent. ",""))))</f>
        <v/>
      </c>
    </row>
    <row r="553">
      <c r="A553" s="10">
        <f>IF($D553="","","27_"&amp;IFERROR(INDEX(Objectius!$E$2:$E$183,MATCH($D553,Objectius!$A$2:$A$183,0)),"??")&amp;"_"&amp;TEXT(COUNTIF($I$6:$I553,$I553),"00"))</f>
        <v/>
      </c>
      <c r="B553" s="11" t="n"/>
      <c r="C553" s="11" t="n"/>
      <c r="D553" s="11" t="n"/>
      <c r="E553" s="10">
        <f>IF($D553="","",IFERROR(INDEX(Objectius!$C$2:$C$183,MATCH($D553,Objectius!$A$2:$A$183,0)),"Objectiu no trobat al Pla"))</f>
        <v/>
      </c>
      <c r="F553" s="11" t="n"/>
      <c r="G553" s="11" t="n"/>
      <c r="H553" s="11" t="n"/>
      <c r="I553" s="10">
        <f>IF($D553="","",IFERROR(INDEX(Objectius!$D$2:$D$183,MATCH($D553,Objectius!$A$2:$A$183,0)),""))</f>
        <v/>
      </c>
      <c r="J553" s="11" t="n"/>
      <c r="K553" s="11" t="n"/>
      <c r="L553" s="11" t="n"/>
      <c r="M553" s="12" t="n"/>
      <c r="N553" s="11" t="n"/>
      <c r="O553" s="10">
        <f>IF($N553="","",IFERROR(INDEX('PLA ESTRATÈGIC'!$G$4:$G$452,MATCH($N553,'PLA ESTRATÈGIC'!$Q$4:$Q$452,0)),""))</f>
        <v/>
      </c>
      <c r="P553" s="10">
        <f>IF($N553="","",IFERROR(INDEX('PLA ESTRATÈGIC'!$H$4:$H$452,MATCH($N553,'PLA ESTRATÈGIC'!$Q$4:$Q$452,0)),""))</f>
        <v/>
      </c>
      <c r="Q553" s="13" t="n"/>
      <c r="R553" s="11" t="n"/>
      <c r="S553" s="11" t="n"/>
      <c r="T553" s="11" t="n"/>
      <c r="U553" s="11" t="n"/>
      <c r="V553" s="10">
        <f>IF(COUNTA($C553,$D553,$J553,$M553)=0,"",IF(TRIM(IF($C553="","Falta l'actuació. ","")&amp;IF($D553="","Falta l'objectiu. ","")&amp;IF($J553="","Falta el tipus de despesa. ","")&amp;IF(AND($J553&lt;&gt;"",$J553&lt;&gt;"Mitjans propis",$J553&lt;&gt;"Altres",$M553=""),"Falta l'import. ","")&amp;IF(AND($J553="Contracte menor a càrrec del RAE",$K553=""),"Falta la partida RAE. ","")&amp;IF(AND($B553&lt;&gt;"",COUNTIF($B$6:$B$705,$B553)&gt;1),"Codi RAE repetit. ","")&amp;IF(AND($B553&lt;&gt;"",$J553&lt;&gt;"",$J553&lt;&gt;"Contracte menor a càrrec del RAE"),"Té codi RAE però no és de tipus RAE. ","")&amp;IF($N553="","Falta l'indicador del Pla. ","")&amp;IF($R553="","Falta el gestor. ","")&amp;IF($S553="","Falta indicar si és recurrent. ",""))="","✔",TRIM(IF($C553="","Falta l'actuació. ","")&amp;IF($D553="","Falta l'objectiu. ","")&amp;IF($J553="","Falta el tipus de despesa. ","")&amp;IF(AND($J553&lt;&gt;"",$J553&lt;&gt;"Mitjans propis",$J553&lt;&gt;"Altres",$M553=""),"Falta l'import. ","")&amp;IF(AND($J553="Contracte menor a càrrec del RAE",$K553=""),"Falta la partida RAE. ","")&amp;IF(AND($B553&lt;&gt;"",COUNTIF($B$6:$B$705,$B553)&gt;1),"Codi RAE repetit. ","")&amp;IF(AND($B553&lt;&gt;"",$J553&lt;&gt;"",$J553&lt;&gt;"Contracte menor a càrrec del RAE"),"Té codi RAE però no és de tipus RAE. ","")&amp;IF($N553="","Falta l'indicador del Pla. ","")&amp;IF($R553="","Falta el gestor. ","")&amp;IF($S553="","Falta indicar si és recurrent. ",""))))</f>
        <v/>
      </c>
    </row>
    <row r="554">
      <c r="A554" s="10">
        <f>IF($D554="","","27_"&amp;IFERROR(INDEX(Objectius!$E$2:$E$183,MATCH($D554,Objectius!$A$2:$A$183,0)),"??")&amp;"_"&amp;TEXT(COUNTIF($I$6:$I554,$I554),"00"))</f>
        <v/>
      </c>
      <c r="B554" s="11" t="n"/>
      <c r="C554" s="11" t="n"/>
      <c r="D554" s="11" t="n"/>
      <c r="E554" s="10">
        <f>IF($D554="","",IFERROR(INDEX(Objectius!$C$2:$C$183,MATCH($D554,Objectius!$A$2:$A$183,0)),"Objectiu no trobat al Pla"))</f>
        <v/>
      </c>
      <c r="F554" s="11" t="n"/>
      <c r="G554" s="11" t="n"/>
      <c r="H554" s="11" t="n"/>
      <c r="I554" s="10">
        <f>IF($D554="","",IFERROR(INDEX(Objectius!$D$2:$D$183,MATCH($D554,Objectius!$A$2:$A$183,0)),""))</f>
        <v/>
      </c>
      <c r="J554" s="11" t="n"/>
      <c r="K554" s="11" t="n"/>
      <c r="L554" s="11" t="n"/>
      <c r="M554" s="12" t="n"/>
      <c r="N554" s="11" t="n"/>
      <c r="O554" s="10">
        <f>IF($N554="","",IFERROR(INDEX('PLA ESTRATÈGIC'!$G$4:$G$452,MATCH($N554,'PLA ESTRATÈGIC'!$Q$4:$Q$452,0)),""))</f>
        <v/>
      </c>
      <c r="P554" s="10">
        <f>IF($N554="","",IFERROR(INDEX('PLA ESTRATÈGIC'!$H$4:$H$452,MATCH($N554,'PLA ESTRATÈGIC'!$Q$4:$Q$452,0)),""))</f>
        <v/>
      </c>
      <c r="Q554" s="13" t="n"/>
      <c r="R554" s="11" t="n"/>
      <c r="S554" s="11" t="n"/>
      <c r="T554" s="11" t="n"/>
      <c r="U554" s="11" t="n"/>
      <c r="V554" s="10">
        <f>IF(COUNTA($C554,$D554,$J554,$M554)=0,"",IF(TRIM(IF($C554="","Falta l'actuació. ","")&amp;IF($D554="","Falta l'objectiu. ","")&amp;IF($J554="","Falta el tipus de despesa. ","")&amp;IF(AND($J554&lt;&gt;"",$J554&lt;&gt;"Mitjans propis",$J554&lt;&gt;"Altres",$M554=""),"Falta l'import. ","")&amp;IF(AND($J554="Contracte menor a càrrec del RAE",$K554=""),"Falta la partida RAE. ","")&amp;IF(AND($B554&lt;&gt;"",COUNTIF($B$6:$B$705,$B554)&gt;1),"Codi RAE repetit. ","")&amp;IF(AND($B554&lt;&gt;"",$J554&lt;&gt;"",$J554&lt;&gt;"Contracte menor a càrrec del RAE"),"Té codi RAE però no és de tipus RAE. ","")&amp;IF($N554="","Falta l'indicador del Pla. ","")&amp;IF($R554="","Falta el gestor. ","")&amp;IF($S554="","Falta indicar si és recurrent. ",""))="","✔",TRIM(IF($C554="","Falta l'actuació. ","")&amp;IF($D554="","Falta l'objectiu. ","")&amp;IF($J554="","Falta el tipus de despesa. ","")&amp;IF(AND($J554&lt;&gt;"",$J554&lt;&gt;"Mitjans propis",$J554&lt;&gt;"Altres",$M554=""),"Falta l'import. ","")&amp;IF(AND($J554="Contracte menor a càrrec del RAE",$K554=""),"Falta la partida RAE. ","")&amp;IF(AND($B554&lt;&gt;"",COUNTIF($B$6:$B$705,$B554)&gt;1),"Codi RAE repetit. ","")&amp;IF(AND($B554&lt;&gt;"",$J554&lt;&gt;"",$J554&lt;&gt;"Contracte menor a càrrec del RAE"),"Té codi RAE però no és de tipus RAE. ","")&amp;IF($N554="","Falta l'indicador del Pla. ","")&amp;IF($R554="","Falta el gestor. ","")&amp;IF($S554="","Falta indicar si és recurrent. ",""))))</f>
        <v/>
      </c>
    </row>
    <row r="555">
      <c r="A555" s="10">
        <f>IF($D555="","","27_"&amp;IFERROR(INDEX(Objectius!$E$2:$E$183,MATCH($D555,Objectius!$A$2:$A$183,0)),"??")&amp;"_"&amp;TEXT(COUNTIF($I$6:$I555,$I555),"00"))</f>
        <v/>
      </c>
      <c r="B555" s="11" t="n"/>
      <c r="C555" s="11" t="n"/>
      <c r="D555" s="11" t="n"/>
      <c r="E555" s="10">
        <f>IF($D555="","",IFERROR(INDEX(Objectius!$C$2:$C$183,MATCH($D555,Objectius!$A$2:$A$183,0)),"Objectiu no trobat al Pla"))</f>
        <v/>
      </c>
      <c r="F555" s="11" t="n"/>
      <c r="G555" s="11" t="n"/>
      <c r="H555" s="11" t="n"/>
      <c r="I555" s="10">
        <f>IF($D555="","",IFERROR(INDEX(Objectius!$D$2:$D$183,MATCH($D555,Objectius!$A$2:$A$183,0)),""))</f>
        <v/>
      </c>
      <c r="J555" s="11" t="n"/>
      <c r="K555" s="11" t="n"/>
      <c r="L555" s="11" t="n"/>
      <c r="M555" s="12" t="n"/>
      <c r="N555" s="11" t="n"/>
      <c r="O555" s="10">
        <f>IF($N555="","",IFERROR(INDEX('PLA ESTRATÈGIC'!$G$4:$G$452,MATCH($N555,'PLA ESTRATÈGIC'!$Q$4:$Q$452,0)),""))</f>
        <v/>
      </c>
      <c r="P555" s="10">
        <f>IF($N555="","",IFERROR(INDEX('PLA ESTRATÈGIC'!$H$4:$H$452,MATCH($N555,'PLA ESTRATÈGIC'!$Q$4:$Q$452,0)),""))</f>
        <v/>
      </c>
      <c r="Q555" s="13" t="n"/>
      <c r="R555" s="11" t="n"/>
      <c r="S555" s="11" t="n"/>
      <c r="T555" s="11" t="n"/>
      <c r="U555" s="11" t="n"/>
      <c r="V555" s="10">
        <f>IF(COUNTA($C555,$D555,$J555,$M555)=0,"",IF(TRIM(IF($C555="","Falta l'actuació. ","")&amp;IF($D555="","Falta l'objectiu. ","")&amp;IF($J555="","Falta el tipus de despesa. ","")&amp;IF(AND($J555&lt;&gt;"",$J555&lt;&gt;"Mitjans propis",$J555&lt;&gt;"Altres",$M555=""),"Falta l'import. ","")&amp;IF(AND($J555="Contracte menor a càrrec del RAE",$K555=""),"Falta la partida RAE. ","")&amp;IF(AND($B555&lt;&gt;"",COUNTIF($B$6:$B$705,$B555)&gt;1),"Codi RAE repetit. ","")&amp;IF(AND($B555&lt;&gt;"",$J555&lt;&gt;"",$J555&lt;&gt;"Contracte menor a càrrec del RAE"),"Té codi RAE però no és de tipus RAE. ","")&amp;IF($N555="","Falta l'indicador del Pla. ","")&amp;IF($R555="","Falta el gestor. ","")&amp;IF($S555="","Falta indicar si és recurrent. ",""))="","✔",TRIM(IF($C555="","Falta l'actuació. ","")&amp;IF($D555="","Falta l'objectiu. ","")&amp;IF($J555="","Falta el tipus de despesa. ","")&amp;IF(AND($J555&lt;&gt;"",$J555&lt;&gt;"Mitjans propis",$J555&lt;&gt;"Altres",$M555=""),"Falta l'import. ","")&amp;IF(AND($J555="Contracte menor a càrrec del RAE",$K555=""),"Falta la partida RAE. ","")&amp;IF(AND($B555&lt;&gt;"",COUNTIF($B$6:$B$705,$B555)&gt;1),"Codi RAE repetit. ","")&amp;IF(AND($B555&lt;&gt;"",$J555&lt;&gt;"",$J555&lt;&gt;"Contracte menor a càrrec del RAE"),"Té codi RAE però no és de tipus RAE. ","")&amp;IF($N555="","Falta l'indicador del Pla. ","")&amp;IF($R555="","Falta el gestor. ","")&amp;IF($S555="","Falta indicar si és recurrent. ",""))))</f>
        <v/>
      </c>
    </row>
    <row r="556">
      <c r="A556" s="10">
        <f>IF($D556="","","27_"&amp;IFERROR(INDEX(Objectius!$E$2:$E$183,MATCH($D556,Objectius!$A$2:$A$183,0)),"??")&amp;"_"&amp;TEXT(COUNTIF($I$6:$I556,$I556),"00"))</f>
        <v/>
      </c>
      <c r="B556" s="11" t="n"/>
      <c r="C556" s="11" t="n"/>
      <c r="D556" s="11" t="n"/>
      <c r="E556" s="10">
        <f>IF($D556="","",IFERROR(INDEX(Objectius!$C$2:$C$183,MATCH($D556,Objectius!$A$2:$A$183,0)),"Objectiu no trobat al Pla"))</f>
        <v/>
      </c>
      <c r="F556" s="11" t="n"/>
      <c r="G556" s="11" t="n"/>
      <c r="H556" s="11" t="n"/>
      <c r="I556" s="10">
        <f>IF($D556="","",IFERROR(INDEX(Objectius!$D$2:$D$183,MATCH($D556,Objectius!$A$2:$A$183,0)),""))</f>
        <v/>
      </c>
      <c r="J556" s="11" t="n"/>
      <c r="K556" s="11" t="n"/>
      <c r="L556" s="11" t="n"/>
      <c r="M556" s="12" t="n"/>
      <c r="N556" s="11" t="n"/>
      <c r="O556" s="10">
        <f>IF($N556="","",IFERROR(INDEX('PLA ESTRATÈGIC'!$G$4:$G$452,MATCH($N556,'PLA ESTRATÈGIC'!$Q$4:$Q$452,0)),""))</f>
        <v/>
      </c>
      <c r="P556" s="10">
        <f>IF($N556="","",IFERROR(INDEX('PLA ESTRATÈGIC'!$H$4:$H$452,MATCH($N556,'PLA ESTRATÈGIC'!$Q$4:$Q$452,0)),""))</f>
        <v/>
      </c>
      <c r="Q556" s="13" t="n"/>
      <c r="R556" s="11" t="n"/>
      <c r="S556" s="11" t="n"/>
      <c r="T556" s="11" t="n"/>
      <c r="U556" s="11" t="n"/>
      <c r="V556" s="10">
        <f>IF(COUNTA($C556,$D556,$J556,$M556)=0,"",IF(TRIM(IF($C556="","Falta l'actuació. ","")&amp;IF($D556="","Falta l'objectiu. ","")&amp;IF($J556="","Falta el tipus de despesa. ","")&amp;IF(AND($J556&lt;&gt;"",$J556&lt;&gt;"Mitjans propis",$J556&lt;&gt;"Altres",$M556=""),"Falta l'import. ","")&amp;IF(AND($J556="Contracte menor a càrrec del RAE",$K556=""),"Falta la partida RAE. ","")&amp;IF(AND($B556&lt;&gt;"",COUNTIF($B$6:$B$705,$B556)&gt;1),"Codi RAE repetit. ","")&amp;IF(AND($B556&lt;&gt;"",$J556&lt;&gt;"",$J556&lt;&gt;"Contracte menor a càrrec del RAE"),"Té codi RAE però no és de tipus RAE. ","")&amp;IF($N556="","Falta l'indicador del Pla. ","")&amp;IF($R556="","Falta el gestor. ","")&amp;IF($S556="","Falta indicar si és recurrent. ",""))="","✔",TRIM(IF($C556="","Falta l'actuació. ","")&amp;IF($D556="","Falta l'objectiu. ","")&amp;IF($J556="","Falta el tipus de despesa. ","")&amp;IF(AND($J556&lt;&gt;"",$J556&lt;&gt;"Mitjans propis",$J556&lt;&gt;"Altres",$M556=""),"Falta l'import. ","")&amp;IF(AND($J556="Contracte menor a càrrec del RAE",$K556=""),"Falta la partida RAE. ","")&amp;IF(AND($B556&lt;&gt;"",COUNTIF($B$6:$B$705,$B556)&gt;1),"Codi RAE repetit. ","")&amp;IF(AND($B556&lt;&gt;"",$J556&lt;&gt;"",$J556&lt;&gt;"Contracte menor a càrrec del RAE"),"Té codi RAE però no és de tipus RAE. ","")&amp;IF($N556="","Falta l'indicador del Pla. ","")&amp;IF($R556="","Falta el gestor. ","")&amp;IF($S556="","Falta indicar si és recurrent. ",""))))</f>
        <v/>
      </c>
    </row>
    <row r="557">
      <c r="A557" s="10">
        <f>IF($D557="","","27_"&amp;IFERROR(INDEX(Objectius!$E$2:$E$183,MATCH($D557,Objectius!$A$2:$A$183,0)),"??")&amp;"_"&amp;TEXT(COUNTIF($I$6:$I557,$I557),"00"))</f>
        <v/>
      </c>
      <c r="B557" s="11" t="n"/>
      <c r="C557" s="11" t="n"/>
      <c r="D557" s="11" t="n"/>
      <c r="E557" s="10">
        <f>IF($D557="","",IFERROR(INDEX(Objectius!$C$2:$C$183,MATCH($D557,Objectius!$A$2:$A$183,0)),"Objectiu no trobat al Pla"))</f>
        <v/>
      </c>
      <c r="F557" s="11" t="n"/>
      <c r="G557" s="11" t="n"/>
      <c r="H557" s="11" t="n"/>
      <c r="I557" s="10">
        <f>IF($D557="","",IFERROR(INDEX(Objectius!$D$2:$D$183,MATCH($D557,Objectius!$A$2:$A$183,0)),""))</f>
        <v/>
      </c>
      <c r="J557" s="11" t="n"/>
      <c r="K557" s="11" t="n"/>
      <c r="L557" s="11" t="n"/>
      <c r="M557" s="12" t="n"/>
      <c r="N557" s="11" t="n"/>
      <c r="O557" s="10">
        <f>IF($N557="","",IFERROR(INDEX('PLA ESTRATÈGIC'!$G$4:$G$452,MATCH($N557,'PLA ESTRATÈGIC'!$Q$4:$Q$452,0)),""))</f>
        <v/>
      </c>
      <c r="P557" s="10">
        <f>IF($N557="","",IFERROR(INDEX('PLA ESTRATÈGIC'!$H$4:$H$452,MATCH($N557,'PLA ESTRATÈGIC'!$Q$4:$Q$452,0)),""))</f>
        <v/>
      </c>
      <c r="Q557" s="13" t="n"/>
      <c r="R557" s="11" t="n"/>
      <c r="S557" s="11" t="n"/>
      <c r="T557" s="11" t="n"/>
      <c r="U557" s="11" t="n"/>
      <c r="V557" s="10">
        <f>IF(COUNTA($C557,$D557,$J557,$M557)=0,"",IF(TRIM(IF($C557="","Falta l'actuació. ","")&amp;IF($D557="","Falta l'objectiu. ","")&amp;IF($J557="","Falta el tipus de despesa. ","")&amp;IF(AND($J557&lt;&gt;"",$J557&lt;&gt;"Mitjans propis",$J557&lt;&gt;"Altres",$M557=""),"Falta l'import. ","")&amp;IF(AND($J557="Contracte menor a càrrec del RAE",$K557=""),"Falta la partida RAE. ","")&amp;IF(AND($B557&lt;&gt;"",COUNTIF($B$6:$B$705,$B557)&gt;1),"Codi RAE repetit. ","")&amp;IF(AND($B557&lt;&gt;"",$J557&lt;&gt;"",$J557&lt;&gt;"Contracte menor a càrrec del RAE"),"Té codi RAE però no és de tipus RAE. ","")&amp;IF($N557="","Falta l'indicador del Pla. ","")&amp;IF($R557="","Falta el gestor. ","")&amp;IF($S557="","Falta indicar si és recurrent. ",""))="","✔",TRIM(IF($C557="","Falta l'actuació. ","")&amp;IF($D557="","Falta l'objectiu. ","")&amp;IF($J557="","Falta el tipus de despesa. ","")&amp;IF(AND($J557&lt;&gt;"",$J557&lt;&gt;"Mitjans propis",$J557&lt;&gt;"Altres",$M557=""),"Falta l'import. ","")&amp;IF(AND($J557="Contracte menor a càrrec del RAE",$K557=""),"Falta la partida RAE. ","")&amp;IF(AND($B557&lt;&gt;"",COUNTIF($B$6:$B$705,$B557)&gt;1),"Codi RAE repetit. ","")&amp;IF(AND($B557&lt;&gt;"",$J557&lt;&gt;"",$J557&lt;&gt;"Contracte menor a càrrec del RAE"),"Té codi RAE però no és de tipus RAE. ","")&amp;IF($N557="","Falta l'indicador del Pla. ","")&amp;IF($R557="","Falta el gestor. ","")&amp;IF($S557="","Falta indicar si és recurrent. ",""))))</f>
        <v/>
      </c>
    </row>
    <row r="558">
      <c r="A558" s="10">
        <f>IF($D558="","","27_"&amp;IFERROR(INDEX(Objectius!$E$2:$E$183,MATCH($D558,Objectius!$A$2:$A$183,0)),"??")&amp;"_"&amp;TEXT(COUNTIF($I$6:$I558,$I558),"00"))</f>
        <v/>
      </c>
      <c r="B558" s="11" t="n"/>
      <c r="C558" s="11" t="n"/>
      <c r="D558" s="11" t="n"/>
      <c r="E558" s="10">
        <f>IF($D558="","",IFERROR(INDEX(Objectius!$C$2:$C$183,MATCH($D558,Objectius!$A$2:$A$183,0)),"Objectiu no trobat al Pla"))</f>
        <v/>
      </c>
      <c r="F558" s="11" t="n"/>
      <c r="G558" s="11" t="n"/>
      <c r="H558" s="11" t="n"/>
      <c r="I558" s="10">
        <f>IF($D558="","",IFERROR(INDEX(Objectius!$D$2:$D$183,MATCH($D558,Objectius!$A$2:$A$183,0)),""))</f>
        <v/>
      </c>
      <c r="J558" s="11" t="n"/>
      <c r="K558" s="11" t="n"/>
      <c r="L558" s="11" t="n"/>
      <c r="M558" s="12" t="n"/>
      <c r="N558" s="11" t="n"/>
      <c r="O558" s="10">
        <f>IF($N558="","",IFERROR(INDEX('PLA ESTRATÈGIC'!$G$4:$G$452,MATCH($N558,'PLA ESTRATÈGIC'!$Q$4:$Q$452,0)),""))</f>
        <v/>
      </c>
      <c r="P558" s="10">
        <f>IF($N558="","",IFERROR(INDEX('PLA ESTRATÈGIC'!$H$4:$H$452,MATCH($N558,'PLA ESTRATÈGIC'!$Q$4:$Q$452,0)),""))</f>
        <v/>
      </c>
      <c r="Q558" s="13" t="n"/>
      <c r="R558" s="11" t="n"/>
      <c r="S558" s="11" t="n"/>
      <c r="T558" s="11" t="n"/>
      <c r="U558" s="11" t="n"/>
      <c r="V558" s="10">
        <f>IF(COUNTA($C558,$D558,$J558,$M558)=0,"",IF(TRIM(IF($C558="","Falta l'actuació. ","")&amp;IF($D558="","Falta l'objectiu. ","")&amp;IF($J558="","Falta el tipus de despesa. ","")&amp;IF(AND($J558&lt;&gt;"",$J558&lt;&gt;"Mitjans propis",$J558&lt;&gt;"Altres",$M558=""),"Falta l'import. ","")&amp;IF(AND($J558="Contracte menor a càrrec del RAE",$K558=""),"Falta la partida RAE. ","")&amp;IF(AND($B558&lt;&gt;"",COUNTIF($B$6:$B$705,$B558)&gt;1),"Codi RAE repetit. ","")&amp;IF(AND($B558&lt;&gt;"",$J558&lt;&gt;"",$J558&lt;&gt;"Contracte menor a càrrec del RAE"),"Té codi RAE però no és de tipus RAE. ","")&amp;IF($N558="","Falta l'indicador del Pla. ","")&amp;IF($R558="","Falta el gestor. ","")&amp;IF($S558="","Falta indicar si és recurrent. ",""))="","✔",TRIM(IF($C558="","Falta l'actuació. ","")&amp;IF($D558="","Falta l'objectiu. ","")&amp;IF($J558="","Falta el tipus de despesa. ","")&amp;IF(AND($J558&lt;&gt;"",$J558&lt;&gt;"Mitjans propis",$J558&lt;&gt;"Altres",$M558=""),"Falta l'import. ","")&amp;IF(AND($J558="Contracte menor a càrrec del RAE",$K558=""),"Falta la partida RAE. ","")&amp;IF(AND($B558&lt;&gt;"",COUNTIF($B$6:$B$705,$B558)&gt;1),"Codi RAE repetit. ","")&amp;IF(AND($B558&lt;&gt;"",$J558&lt;&gt;"",$J558&lt;&gt;"Contracte menor a càrrec del RAE"),"Té codi RAE però no és de tipus RAE. ","")&amp;IF($N558="","Falta l'indicador del Pla. ","")&amp;IF($R558="","Falta el gestor. ","")&amp;IF($S558="","Falta indicar si és recurrent. ",""))))</f>
        <v/>
      </c>
    </row>
    <row r="559">
      <c r="A559" s="10">
        <f>IF($D559="","","27_"&amp;IFERROR(INDEX(Objectius!$E$2:$E$183,MATCH($D559,Objectius!$A$2:$A$183,0)),"??")&amp;"_"&amp;TEXT(COUNTIF($I$6:$I559,$I559),"00"))</f>
        <v/>
      </c>
      <c r="B559" s="11" t="n"/>
      <c r="C559" s="11" t="n"/>
      <c r="D559" s="11" t="n"/>
      <c r="E559" s="10">
        <f>IF($D559="","",IFERROR(INDEX(Objectius!$C$2:$C$183,MATCH($D559,Objectius!$A$2:$A$183,0)),"Objectiu no trobat al Pla"))</f>
        <v/>
      </c>
      <c r="F559" s="11" t="n"/>
      <c r="G559" s="11" t="n"/>
      <c r="H559" s="11" t="n"/>
      <c r="I559" s="10">
        <f>IF($D559="","",IFERROR(INDEX(Objectius!$D$2:$D$183,MATCH($D559,Objectius!$A$2:$A$183,0)),""))</f>
        <v/>
      </c>
      <c r="J559" s="11" t="n"/>
      <c r="K559" s="11" t="n"/>
      <c r="L559" s="11" t="n"/>
      <c r="M559" s="12" t="n"/>
      <c r="N559" s="11" t="n"/>
      <c r="O559" s="10">
        <f>IF($N559="","",IFERROR(INDEX('PLA ESTRATÈGIC'!$G$4:$G$452,MATCH($N559,'PLA ESTRATÈGIC'!$Q$4:$Q$452,0)),""))</f>
        <v/>
      </c>
      <c r="P559" s="10">
        <f>IF($N559="","",IFERROR(INDEX('PLA ESTRATÈGIC'!$H$4:$H$452,MATCH($N559,'PLA ESTRATÈGIC'!$Q$4:$Q$452,0)),""))</f>
        <v/>
      </c>
      <c r="Q559" s="13" t="n"/>
      <c r="R559" s="11" t="n"/>
      <c r="S559" s="11" t="n"/>
      <c r="T559" s="11" t="n"/>
      <c r="U559" s="11" t="n"/>
      <c r="V559" s="10">
        <f>IF(COUNTA($C559,$D559,$J559,$M559)=0,"",IF(TRIM(IF($C559="","Falta l'actuació. ","")&amp;IF($D559="","Falta l'objectiu. ","")&amp;IF($J559="","Falta el tipus de despesa. ","")&amp;IF(AND($J559&lt;&gt;"",$J559&lt;&gt;"Mitjans propis",$J559&lt;&gt;"Altres",$M559=""),"Falta l'import. ","")&amp;IF(AND($J559="Contracte menor a càrrec del RAE",$K559=""),"Falta la partida RAE. ","")&amp;IF(AND($B559&lt;&gt;"",COUNTIF($B$6:$B$705,$B559)&gt;1),"Codi RAE repetit. ","")&amp;IF(AND($B559&lt;&gt;"",$J559&lt;&gt;"",$J559&lt;&gt;"Contracte menor a càrrec del RAE"),"Té codi RAE però no és de tipus RAE. ","")&amp;IF($N559="","Falta l'indicador del Pla. ","")&amp;IF($R559="","Falta el gestor. ","")&amp;IF($S559="","Falta indicar si és recurrent. ",""))="","✔",TRIM(IF($C559="","Falta l'actuació. ","")&amp;IF($D559="","Falta l'objectiu. ","")&amp;IF($J559="","Falta el tipus de despesa. ","")&amp;IF(AND($J559&lt;&gt;"",$J559&lt;&gt;"Mitjans propis",$J559&lt;&gt;"Altres",$M559=""),"Falta l'import. ","")&amp;IF(AND($J559="Contracte menor a càrrec del RAE",$K559=""),"Falta la partida RAE. ","")&amp;IF(AND($B559&lt;&gt;"",COUNTIF($B$6:$B$705,$B559)&gt;1),"Codi RAE repetit. ","")&amp;IF(AND($B559&lt;&gt;"",$J559&lt;&gt;"",$J559&lt;&gt;"Contracte menor a càrrec del RAE"),"Té codi RAE però no és de tipus RAE. ","")&amp;IF($N559="","Falta l'indicador del Pla. ","")&amp;IF($R559="","Falta el gestor. ","")&amp;IF($S559="","Falta indicar si és recurrent. ",""))))</f>
        <v/>
      </c>
    </row>
    <row r="560">
      <c r="A560" s="10">
        <f>IF($D560="","","27_"&amp;IFERROR(INDEX(Objectius!$E$2:$E$183,MATCH($D560,Objectius!$A$2:$A$183,0)),"??")&amp;"_"&amp;TEXT(COUNTIF($I$6:$I560,$I560),"00"))</f>
        <v/>
      </c>
      <c r="B560" s="11" t="n"/>
      <c r="C560" s="11" t="n"/>
      <c r="D560" s="11" t="n"/>
      <c r="E560" s="10">
        <f>IF($D560="","",IFERROR(INDEX(Objectius!$C$2:$C$183,MATCH($D560,Objectius!$A$2:$A$183,0)),"Objectiu no trobat al Pla"))</f>
        <v/>
      </c>
      <c r="F560" s="11" t="n"/>
      <c r="G560" s="11" t="n"/>
      <c r="H560" s="11" t="n"/>
      <c r="I560" s="10">
        <f>IF($D560="","",IFERROR(INDEX(Objectius!$D$2:$D$183,MATCH($D560,Objectius!$A$2:$A$183,0)),""))</f>
        <v/>
      </c>
      <c r="J560" s="11" t="n"/>
      <c r="K560" s="11" t="n"/>
      <c r="L560" s="11" t="n"/>
      <c r="M560" s="12" t="n"/>
      <c r="N560" s="11" t="n"/>
      <c r="O560" s="10">
        <f>IF($N560="","",IFERROR(INDEX('PLA ESTRATÈGIC'!$G$4:$G$452,MATCH($N560,'PLA ESTRATÈGIC'!$Q$4:$Q$452,0)),""))</f>
        <v/>
      </c>
      <c r="P560" s="10">
        <f>IF($N560="","",IFERROR(INDEX('PLA ESTRATÈGIC'!$H$4:$H$452,MATCH($N560,'PLA ESTRATÈGIC'!$Q$4:$Q$452,0)),""))</f>
        <v/>
      </c>
      <c r="Q560" s="13" t="n"/>
      <c r="R560" s="11" t="n"/>
      <c r="S560" s="11" t="n"/>
      <c r="T560" s="11" t="n"/>
      <c r="U560" s="11" t="n"/>
      <c r="V560" s="10">
        <f>IF(COUNTA($C560,$D560,$J560,$M560)=0,"",IF(TRIM(IF($C560="","Falta l'actuació. ","")&amp;IF($D560="","Falta l'objectiu. ","")&amp;IF($J560="","Falta el tipus de despesa. ","")&amp;IF(AND($J560&lt;&gt;"",$J560&lt;&gt;"Mitjans propis",$J560&lt;&gt;"Altres",$M560=""),"Falta l'import. ","")&amp;IF(AND($J560="Contracte menor a càrrec del RAE",$K560=""),"Falta la partida RAE. ","")&amp;IF(AND($B560&lt;&gt;"",COUNTIF($B$6:$B$705,$B560)&gt;1),"Codi RAE repetit. ","")&amp;IF(AND($B560&lt;&gt;"",$J560&lt;&gt;"",$J560&lt;&gt;"Contracte menor a càrrec del RAE"),"Té codi RAE però no és de tipus RAE. ","")&amp;IF($N560="","Falta l'indicador del Pla. ","")&amp;IF($R560="","Falta el gestor. ","")&amp;IF($S560="","Falta indicar si és recurrent. ",""))="","✔",TRIM(IF($C560="","Falta l'actuació. ","")&amp;IF($D560="","Falta l'objectiu. ","")&amp;IF($J560="","Falta el tipus de despesa. ","")&amp;IF(AND($J560&lt;&gt;"",$J560&lt;&gt;"Mitjans propis",$J560&lt;&gt;"Altres",$M560=""),"Falta l'import. ","")&amp;IF(AND($J560="Contracte menor a càrrec del RAE",$K560=""),"Falta la partida RAE. ","")&amp;IF(AND($B560&lt;&gt;"",COUNTIF($B$6:$B$705,$B560)&gt;1),"Codi RAE repetit. ","")&amp;IF(AND($B560&lt;&gt;"",$J560&lt;&gt;"",$J560&lt;&gt;"Contracte menor a càrrec del RAE"),"Té codi RAE però no és de tipus RAE. ","")&amp;IF($N560="","Falta l'indicador del Pla. ","")&amp;IF($R560="","Falta el gestor. ","")&amp;IF($S560="","Falta indicar si és recurrent. ",""))))</f>
        <v/>
      </c>
    </row>
    <row r="561">
      <c r="A561" s="10">
        <f>IF($D561="","","27_"&amp;IFERROR(INDEX(Objectius!$E$2:$E$183,MATCH($D561,Objectius!$A$2:$A$183,0)),"??")&amp;"_"&amp;TEXT(COUNTIF($I$6:$I561,$I561),"00"))</f>
        <v/>
      </c>
      <c r="B561" s="11" t="n"/>
      <c r="C561" s="11" t="n"/>
      <c r="D561" s="11" t="n"/>
      <c r="E561" s="10">
        <f>IF($D561="","",IFERROR(INDEX(Objectius!$C$2:$C$183,MATCH($D561,Objectius!$A$2:$A$183,0)),"Objectiu no trobat al Pla"))</f>
        <v/>
      </c>
      <c r="F561" s="11" t="n"/>
      <c r="G561" s="11" t="n"/>
      <c r="H561" s="11" t="n"/>
      <c r="I561" s="10">
        <f>IF($D561="","",IFERROR(INDEX(Objectius!$D$2:$D$183,MATCH($D561,Objectius!$A$2:$A$183,0)),""))</f>
        <v/>
      </c>
      <c r="J561" s="11" t="n"/>
      <c r="K561" s="11" t="n"/>
      <c r="L561" s="11" t="n"/>
      <c r="M561" s="12" t="n"/>
      <c r="N561" s="11" t="n"/>
      <c r="O561" s="10">
        <f>IF($N561="","",IFERROR(INDEX('PLA ESTRATÈGIC'!$G$4:$G$452,MATCH($N561,'PLA ESTRATÈGIC'!$Q$4:$Q$452,0)),""))</f>
        <v/>
      </c>
      <c r="P561" s="10">
        <f>IF($N561="","",IFERROR(INDEX('PLA ESTRATÈGIC'!$H$4:$H$452,MATCH($N561,'PLA ESTRATÈGIC'!$Q$4:$Q$452,0)),""))</f>
        <v/>
      </c>
      <c r="Q561" s="13" t="n"/>
      <c r="R561" s="11" t="n"/>
      <c r="S561" s="11" t="n"/>
      <c r="T561" s="11" t="n"/>
      <c r="U561" s="11" t="n"/>
      <c r="V561" s="10">
        <f>IF(COUNTA($C561,$D561,$J561,$M561)=0,"",IF(TRIM(IF($C561="","Falta l'actuació. ","")&amp;IF($D561="","Falta l'objectiu. ","")&amp;IF($J561="","Falta el tipus de despesa. ","")&amp;IF(AND($J561&lt;&gt;"",$J561&lt;&gt;"Mitjans propis",$J561&lt;&gt;"Altres",$M561=""),"Falta l'import. ","")&amp;IF(AND($J561="Contracte menor a càrrec del RAE",$K561=""),"Falta la partida RAE. ","")&amp;IF(AND($B561&lt;&gt;"",COUNTIF($B$6:$B$705,$B561)&gt;1),"Codi RAE repetit. ","")&amp;IF(AND($B561&lt;&gt;"",$J561&lt;&gt;"",$J561&lt;&gt;"Contracte menor a càrrec del RAE"),"Té codi RAE però no és de tipus RAE. ","")&amp;IF($N561="","Falta l'indicador del Pla. ","")&amp;IF($R561="","Falta el gestor. ","")&amp;IF($S561="","Falta indicar si és recurrent. ",""))="","✔",TRIM(IF($C561="","Falta l'actuació. ","")&amp;IF($D561="","Falta l'objectiu. ","")&amp;IF($J561="","Falta el tipus de despesa. ","")&amp;IF(AND($J561&lt;&gt;"",$J561&lt;&gt;"Mitjans propis",$J561&lt;&gt;"Altres",$M561=""),"Falta l'import. ","")&amp;IF(AND($J561="Contracte menor a càrrec del RAE",$K561=""),"Falta la partida RAE. ","")&amp;IF(AND($B561&lt;&gt;"",COUNTIF($B$6:$B$705,$B561)&gt;1),"Codi RAE repetit. ","")&amp;IF(AND($B561&lt;&gt;"",$J561&lt;&gt;"",$J561&lt;&gt;"Contracte menor a càrrec del RAE"),"Té codi RAE però no és de tipus RAE. ","")&amp;IF($N561="","Falta l'indicador del Pla. ","")&amp;IF($R561="","Falta el gestor. ","")&amp;IF($S561="","Falta indicar si és recurrent. ",""))))</f>
        <v/>
      </c>
    </row>
    <row r="562">
      <c r="A562" s="10">
        <f>IF($D562="","","27_"&amp;IFERROR(INDEX(Objectius!$E$2:$E$183,MATCH($D562,Objectius!$A$2:$A$183,0)),"??")&amp;"_"&amp;TEXT(COUNTIF($I$6:$I562,$I562),"00"))</f>
        <v/>
      </c>
      <c r="B562" s="11" t="n"/>
      <c r="C562" s="11" t="n"/>
      <c r="D562" s="11" t="n"/>
      <c r="E562" s="10">
        <f>IF($D562="","",IFERROR(INDEX(Objectius!$C$2:$C$183,MATCH($D562,Objectius!$A$2:$A$183,0)),"Objectiu no trobat al Pla"))</f>
        <v/>
      </c>
      <c r="F562" s="11" t="n"/>
      <c r="G562" s="11" t="n"/>
      <c r="H562" s="11" t="n"/>
      <c r="I562" s="10">
        <f>IF($D562="","",IFERROR(INDEX(Objectius!$D$2:$D$183,MATCH($D562,Objectius!$A$2:$A$183,0)),""))</f>
        <v/>
      </c>
      <c r="J562" s="11" t="n"/>
      <c r="K562" s="11" t="n"/>
      <c r="L562" s="11" t="n"/>
      <c r="M562" s="12" t="n"/>
      <c r="N562" s="11" t="n"/>
      <c r="O562" s="10">
        <f>IF($N562="","",IFERROR(INDEX('PLA ESTRATÈGIC'!$G$4:$G$452,MATCH($N562,'PLA ESTRATÈGIC'!$Q$4:$Q$452,0)),""))</f>
        <v/>
      </c>
      <c r="P562" s="10">
        <f>IF($N562="","",IFERROR(INDEX('PLA ESTRATÈGIC'!$H$4:$H$452,MATCH($N562,'PLA ESTRATÈGIC'!$Q$4:$Q$452,0)),""))</f>
        <v/>
      </c>
      <c r="Q562" s="13" t="n"/>
      <c r="R562" s="11" t="n"/>
      <c r="S562" s="11" t="n"/>
      <c r="T562" s="11" t="n"/>
      <c r="U562" s="11" t="n"/>
      <c r="V562" s="10">
        <f>IF(COUNTA($C562,$D562,$J562,$M562)=0,"",IF(TRIM(IF($C562="","Falta l'actuació. ","")&amp;IF($D562="","Falta l'objectiu. ","")&amp;IF($J562="","Falta el tipus de despesa. ","")&amp;IF(AND($J562&lt;&gt;"",$J562&lt;&gt;"Mitjans propis",$J562&lt;&gt;"Altres",$M562=""),"Falta l'import. ","")&amp;IF(AND($J562="Contracte menor a càrrec del RAE",$K562=""),"Falta la partida RAE. ","")&amp;IF(AND($B562&lt;&gt;"",COUNTIF($B$6:$B$705,$B562)&gt;1),"Codi RAE repetit. ","")&amp;IF(AND($B562&lt;&gt;"",$J562&lt;&gt;"",$J562&lt;&gt;"Contracte menor a càrrec del RAE"),"Té codi RAE però no és de tipus RAE. ","")&amp;IF($N562="","Falta l'indicador del Pla. ","")&amp;IF($R562="","Falta el gestor. ","")&amp;IF($S562="","Falta indicar si és recurrent. ",""))="","✔",TRIM(IF($C562="","Falta l'actuació. ","")&amp;IF($D562="","Falta l'objectiu. ","")&amp;IF($J562="","Falta el tipus de despesa. ","")&amp;IF(AND($J562&lt;&gt;"",$J562&lt;&gt;"Mitjans propis",$J562&lt;&gt;"Altres",$M562=""),"Falta l'import. ","")&amp;IF(AND($J562="Contracte menor a càrrec del RAE",$K562=""),"Falta la partida RAE. ","")&amp;IF(AND($B562&lt;&gt;"",COUNTIF($B$6:$B$705,$B562)&gt;1),"Codi RAE repetit. ","")&amp;IF(AND($B562&lt;&gt;"",$J562&lt;&gt;"",$J562&lt;&gt;"Contracte menor a càrrec del RAE"),"Té codi RAE però no és de tipus RAE. ","")&amp;IF($N562="","Falta l'indicador del Pla. ","")&amp;IF($R562="","Falta el gestor. ","")&amp;IF($S562="","Falta indicar si és recurrent. ",""))))</f>
        <v/>
      </c>
    </row>
    <row r="563">
      <c r="A563" s="10">
        <f>IF($D563="","","27_"&amp;IFERROR(INDEX(Objectius!$E$2:$E$183,MATCH($D563,Objectius!$A$2:$A$183,0)),"??")&amp;"_"&amp;TEXT(COUNTIF($I$6:$I563,$I563),"00"))</f>
        <v/>
      </c>
      <c r="B563" s="11" t="n"/>
      <c r="C563" s="11" t="n"/>
      <c r="D563" s="11" t="n"/>
      <c r="E563" s="10">
        <f>IF($D563="","",IFERROR(INDEX(Objectius!$C$2:$C$183,MATCH($D563,Objectius!$A$2:$A$183,0)),"Objectiu no trobat al Pla"))</f>
        <v/>
      </c>
      <c r="F563" s="11" t="n"/>
      <c r="G563" s="11" t="n"/>
      <c r="H563" s="11" t="n"/>
      <c r="I563" s="10">
        <f>IF($D563="","",IFERROR(INDEX(Objectius!$D$2:$D$183,MATCH($D563,Objectius!$A$2:$A$183,0)),""))</f>
        <v/>
      </c>
      <c r="J563" s="11" t="n"/>
      <c r="K563" s="11" t="n"/>
      <c r="L563" s="11" t="n"/>
      <c r="M563" s="12" t="n"/>
      <c r="N563" s="11" t="n"/>
      <c r="O563" s="10">
        <f>IF($N563="","",IFERROR(INDEX('PLA ESTRATÈGIC'!$G$4:$G$452,MATCH($N563,'PLA ESTRATÈGIC'!$Q$4:$Q$452,0)),""))</f>
        <v/>
      </c>
      <c r="P563" s="10">
        <f>IF($N563="","",IFERROR(INDEX('PLA ESTRATÈGIC'!$H$4:$H$452,MATCH($N563,'PLA ESTRATÈGIC'!$Q$4:$Q$452,0)),""))</f>
        <v/>
      </c>
      <c r="Q563" s="13" t="n"/>
      <c r="R563" s="11" t="n"/>
      <c r="S563" s="11" t="n"/>
      <c r="T563" s="11" t="n"/>
      <c r="U563" s="11" t="n"/>
      <c r="V563" s="10">
        <f>IF(COUNTA($C563,$D563,$J563,$M563)=0,"",IF(TRIM(IF($C563="","Falta l'actuació. ","")&amp;IF($D563="","Falta l'objectiu. ","")&amp;IF($J563="","Falta el tipus de despesa. ","")&amp;IF(AND($J563&lt;&gt;"",$J563&lt;&gt;"Mitjans propis",$J563&lt;&gt;"Altres",$M563=""),"Falta l'import. ","")&amp;IF(AND($J563="Contracte menor a càrrec del RAE",$K563=""),"Falta la partida RAE. ","")&amp;IF(AND($B563&lt;&gt;"",COUNTIF($B$6:$B$705,$B563)&gt;1),"Codi RAE repetit. ","")&amp;IF(AND($B563&lt;&gt;"",$J563&lt;&gt;"",$J563&lt;&gt;"Contracte menor a càrrec del RAE"),"Té codi RAE però no és de tipus RAE. ","")&amp;IF($N563="","Falta l'indicador del Pla. ","")&amp;IF($R563="","Falta el gestor. ","")&amp;IF($S563="","Falta indicar si és recurrent. ",""))="","✔",TRIM(IF($C563="","Falta l'actuació. ","")&amp;IF($D563="","Falta l'objectiu. ","")&amp;IF($J563="","Falta el tipus de despesa. ","")&amp;IF(AND($J563&lt;&gt;"",$J563&lt;&gt;"Mitjans propis",$J563&lt;&gt;"Altres",$M563=""),"Falta l'import. ","")&amp;IF(AND($J563="Contracte menor a càrrec del RAE",$K563=""),"Falta la partida RAE. ","")&amp;IF(AND($B563&lt;&gt;"",COUNTIF($B$6:$B$705,$B563)&gt;1),"Codi RAE repetit. ","")&amp;IF(AND($B563&lt;&gt;"",$J563&lt;&gt;"",$J563&lt;&gt;"Contracte menor a càrrec del RAE"),"Té codi RAE però no és de tipus RAE. ","")&amp;IF($N563="","Falta l'indicador del Pla. ","")&amp;IF($R563="","Falta el gestor. ","")&amp;IF($S563="","Falta indicar si és recurrent. ",""))))</f>
        <v/>
      </c>
    </row>
    <row r="564">
      <c r="A564" s="10">
        <f>IF($D564="","","27_"&amp;IFERROR(INDEX(Objectius!$E$2:$E$183,MATCH($D564,Objectius!$A$2:$A$183,0)),"??")&amp;"_"&amp;TEXT(COUNTIF($I$6:$I564,$I564),"00"))</f>
        <v/>
      </c>
      <c r="B564" s="11" t="n"/>
      <c r="C564" s="11" t="n"/>
      <c r="D564" s="11" t="n"/>
      <c r="E564" s="10">
        <f>IF($D564="","",IFERROR(INDEX(Objectius!$C$2:$C$183,MATCH($D564,Objectius!$A$2:$A$183,0)),"Objectiu no trobat al Pla"))</f>
        <v/>
      </c>
      <c r="F564" s="11" t="n"/>
      <c r="G564" s="11" t="n"/>
      <c r="H564" s="11" t="n"/>
      <c r="I564" s="10">
        <f>IF($D564="","",IFERROR(INDEX(Objectius!$D$2:$D$183,MATCH($D564,Objectius!$A$2:$A$183,0)),""))</f>
        <v/>
      </c>
      <c r="J564" s="11" t="n"/>
      <c r="K564" s="11" t="n"/>
      <c r="L564" s="11" t="n"/>
      <c r="M564" s="12" t="n"/>
      <c r="N564" s="11" t="n"/>
      <c r="O564" s="10">
        <f>IF($N564="","",IFERROR(INDEX('PLA ESTRATÈGIC'!$G$4:$G$452,MATCH($N564,'PLA ESTRATÈGIC'!$Q$4:$Q$452,0)),""))</f>
        <v/>
      </c>
      <c r="P564" s="10">
        <f>IF($N564="","",IFERROR(INDEX('PLA ESTRATÈGIC'!$H$4:$H$452,MATCH($N564,'PLA ESTRATÈGIC'!$Q$4:$Q$452,0)),""))</f>
        <v/>
      </c>
      <c r="Q564" s="13" t="n"/>
      <c r="R564" s="11" t="n"/>
      <c r="S564" s="11" t="n"/>
      <c r="T564" s="11" t="n"/>
      <c r="U564" s="11" t="n"/>
      <c r="V564" s="10">
        <f>IF(COUNTA($C564,$D564,$J564,$M564)=0,"",IF(TRIM(IF($C564="","Falta l'actuació. ","")&amp;IF($D564="","Falta l'objectiu. ","")&amp;IF($J564="","Falta el tipus de despesa. ","")&amp;IF(AND($J564&lt;&gt;"",$J564&lt;&gt;"Mitjans propis",$J564&lt;&gt;"Altres",$M564=""),"Falta l'import. ","")&amp;IF(AND($J564="Contracte menor a càrrec del RAE",$K564=""),"Falta la partida RAE. ","")&amp;IF(AND($B564&lt;&gt;"",COUNTIF($B$6:$B$705,$B564)&gt;1),"Codi RAE repetit. ","")&amp;IF(AND($B564&lt;&gt;"",$J564&lt;&gt;"",$J564&lt;&gt;"Contracte menor a càrrec del RAE"),"Té codi RAE però no és de tipus RAE. ","")&amp;IF($N564="","Falta l'indicador del Pla. ","")&amp;IF($R564="","Falta el gestor. ","")&amp;IF($S564="","Falta indicar si és recurrent. ",""))="","✔",TRIM(IF($C564="","Falta l'actuació. ","")&amp;IF($D564="","Falta l'objectiu. ","")&amp;IF($J564="","Falta el tipus de despesa. ","")&amp;IF(AND($J564&lt;&gt;"",$J564&lt;&gt;"Mitjans propis",$J564&lt;&gt;"Altres",$M564=""),"Falta l'import. ","")&amp;IF(AND($J564="Contracte menor a càrrec del RAE",$K564=""),"Falta la partida RAE. ","")&amp;IF(AND($B564&lt;&gt;"",COUNTIF($B$6:$B$705,$B564)&gt;1),"Codi RAE repetit. ","")&amp;IF(AND($B564&lt;&gt;"",$J564&lt;&gt;"",$J564&lt;&gt;"Contracte menor a càrrec del RAE"),"Té codi RAE però no és de tipus RAE. ","")&amp;IF($N564="","Falta l'indicador del Pla. ","")&amp;IF($R564="","Falta el gestor. ","")&amp;IF($S564="","Falta indicar si és recurrent. ",""))))</f>
        <v/>
      </c>
    </row>
    <row r="565">
      <c r="A565" s="10">
        <f>IF($D565="","","27_"&amp;IFERROR(INDEX(Objectius!$E$2:$E$183,MATCH($D565,Objectius!$A$2:$A$183,0)),"??")&amp;"_"&amp;TEXT(COUNTIF($I$6:$I565,$I565),"00"))</f>
        <v/>
      </c>
      <c r="B565" s="11" t="n"/>
      <c r="C565" s="11" t="n"/>
      <c r="D565" s="11" t="n"/>
      <c r="E565" s="10">
        <f>IF($D565="","",IFERROR(INDEX(Objectius!$C$2:$C$183,MATCH($D565,Objectius!$A$2:$A$183,0)),"Objectiu no trobat al Pla"))</f>
        <v/>
      </c>
      <c r="F565" s="11" t="n"/>
      <c r="G565" s="11" t="n"/>
      <c r="H565" s="11" t="n"/>
      <c r="I565" s="10">
        <f>IF($D565="","",IFERROR(INDEX(Objectius!$D$2:$D$183,MATCH($D565,Objectius!$A$2:$A$183,0)),""))</f>
        <v/>
      </c>
      <c r="J565" s="11" t="n"/>
      <c r="K565" s="11" t="n"/>
      <c r="L565" s="11" t="n"/>
      <c r="M565" s="12" t="n"/>
      <c r="N565" s="11" t="n"/>
      <c r="O565" s="10">
        <f>IF($N565="","",IFERROR(INDEX('PLA ESTRATÈGIC'!$G$4:$G$452,MATCH($N565,'PLA ESTRATÈGIC'!$Q$4:$Q$452,0)),""))</f>
        <v/>
      </c>
      <c r="P565" s="10">
        <f>IF($N565="","",IFERROR(INDEX('PLA ESTRATÈGIC'!$H$4:$H$452,MATCH($N565,'PLA ESTRATÈGIC'!$Q$4:$Q$452,0)),""))</f>
        <v/>
      </c>
      <c r="Q565" s="13" t="n"/>
      <c r="R565" s="11" t="n"/>
      <c r="S565" s="11" t="n"/>
      <c r="T565" s="11" t="n"/>
      <c r="U565" s="11" t="n"/>
      <c r="V565" s="10">
        <f>IF(COUNTA($C565,$D565,$J565,$M565)=0,"",IF(TRIM(IF($C565="","Falta l'actuació. ","")&amp;IF($D565="","Falta l'objectiu. ","")&amp;IF($J565="","Falta el tipus de despesa. ","")&amp;IF(AND($J565&lt;&gt;"",$J565&lt;&gt;"Mitjans propis",$J565&lt;&gt;"Altres",$M565=""),"Falta l'import. ","")&amp;IF(AND($J565="Contracte menor a càrrec del RAE",$K565=""),"Falta la partida RAE. ","")&amp;IF(AND($B565&lt;&gt;"",COUNTIF($B$6:$B$705,$B565)&gt;1),"Codi RAE repetit. ","")&amp;IF(AND($B565&lt;&gt;"",$J565&lt;&gt;"",$J565&lt;&gt;"Contracte menor a càrrec del RAE"),"Té codi RAE però no és de tipus RAE. ","")&amp;IF($N565="","Falta l'indicador del Pla. ","")&amp;IF($R565="","Falta el gestor. ","")&amp;IF($S565="","Falta indicar si és recurrent. ",""))="","✔",TRIM(IF($C565="","Falta l'actuació. ","")&amp;IF($D565="","Falta l'objectiu. ","")&amp;IF($J565="","Falta el tipus de despesa. ","")&amp;IF(AND($J565&lt;&gt;"",$J565&lt;&gt;"Mitjans propis",$J565&lt;&gt;"Altres",$M565=""),"Falta l'import. ","")&amp;IF(AND($J565="Contracte menor a càrrec del RAE",$K565=""),"Falta la partida RAE. ","")&amp;IF(AND($B565&lt;&gt;"",COUNTIF($B$6:$B$705,$B565)&gt;1),"Codi RAE repetit. ","")&amp;IF(AND($B565&lt;&gt;"",$J565&lt;&gt;"",$J565&lt;&gt;"Contracte menor a càrrec del RAE"),"Té codi RAE però no és de tipus RAE. ","")&amp;IF($N565="","Falta l'indicador del Pla. ","")&amp;IF($R565="","Falta el gestor. ","")&amp;IF($S565="","Falta indicar si és recurrent. ",""))))</f>
        <v/>
      </c>
    </row>
    <row r="566">
      <c r="A566" s="10">
        <f>IF($D566="","","27_"&amp;IFERROR(INDEX(Objectius!$E$2:$E$183,MATCH($D566,Objectius!$A$2:$A$183,0)),"??")&amp;"_"&amp;TEXT(COUNTIF($I$6:$I566,$I566),"00"))</f>
        <v/>
      </c>
      <c r="B566" s="11" t="n"/>
      <c r="C566" s="11" t="n"/>
      <c r="D566" s="11" t="n"/>
      <c r="E566" s="10">
        <f>IF($D566="","",IFERROR(INDEX(Objectius!$C$2:$C$183,MATCH($D566,Objectius!$A$2:$A$183,0)),"Objectiu no trobat al Pla"))</f>
        <v/>
      </c>
      <c r="F566" s="11" t="n"/>
      <c r="G566" s="11" t="n"/>
      <c r="H566" s="11" t="n"/>
      <c r="I566" s="10">
        <f>IF($D566="","",IFERROR(INDEX(Objectius!$D$2:$D$183,MATCH($D566,Objectius!$A$2:$A$183,0)),""))</f>
        <v/>
      </c>
      <c r="J566" s="11" t="n"/>
      <c r="K566" s="11" t="n"/>
      <c r="L566" s="11" t="n"/>
      <c r="M566" s="12" t="n"/>
      <c r="N566" s="11" t="n"/>
      <c r="O566" s="10">
        <f>IF($N566="","",IFERROR(INDEX('PLA ESTRATÈGIC'!$G$4:$G$452,MATCH($N566,'PLA ESTRATÈGIC'!$Q$4:$Q$452,0)),""))</f>
        <v/>
      </c>
      <c r="P566" s="10">
        <f>IF($N566="","",IFERROR(INDEX('PLA ESTRATÈGIC'!$H$4:$H$452,MATCH($N566,'PLA ESTRATÈGIC'!$Q$4:$Q$452,0)),""))</f>
        <v/>
      </c>
      <c r="Q566" s="13" t="n"/>
      <c r="R566" s="11" t="n"/>
      <c r="S566" s="11" t="n"/>
      <c r="T566" s="11" t="n"/>
      <c r="U566" s="11" t="n"/>
      <c r="V566" s="10">
        <f>IF(COUNTA($C566,$D566,$J566,$M566)=0,"",IF(TRIM(IF($C566="","Falta l'actuació. ","")&amp;IF($D566="","Falta l'objectiu. ","")&amp;IF($J566="","Falta el tipus de despesa. ","")&amp;IF(AND($J566&lt;&gt;"",$J566&lt;&gt;"Mitjans propis",$J566&lt;&gt;"Altres",$M566=""),"Falta l'import. ","")&amp;IF(AND($J566="Contracte menor a càrrec del RAE",$K566=""),"Falta la partida RAE. ","")&amp;IF(AND($B566&lt;&gt;"",COUNTIF($B$6:$B$705,$B566)&gt;1),"Codi RAE repetit. ","")&amp;IF(AND($B566&lt;&gt;"",$J566&lt;&gt;"",$J566&lt;&gt;"Contracte menor a càrrec del RAE"),"Té codi RAE però no és de tipus RAE. ","")&amp;IF($N566="","Falta l'indicador del Pla. ","")&amp;IF($R566="","Falta el gestor. ","")&amp;IF($S566="","Falta indicar si és recurrent. ",""))="","✔",TRIM(IF($C566="","Falta l'actuació. ","")&amp;IF($D566="","Falta l'objectiu. ","")&amp;IF($J566="","Falta el tipus de despesa. ","")&amp;IF(AND($J566&lt;&gt;"",$J566&lt;&gt;"Mitjans propis",$J566&lt;&gt;"Altres",$M566=""),"Falta l'import. ","")&amp;IF(AND($J566="Contracte menor a càrrec del RAE",$K566=""),"Falta la partida RAE. ","")&amp;IF(AND($B566&lt;&gt;"",COUNTIF($B$6:$B$705,$B566)&gt;1),"Codi RAE repetit. ","")&amp;IF(AND($B566&lt;&gt;"",$J566&lt;&gt;"",$J566&lt;&gt;"Contracte menor a càrrec del RAE"),"Té codi RAE però no és de tipus RAE. ","")&amp;IF($N566="","Falta l'indicador del Pla. ","")&amp;IF($R566="","Falta el gestor. ","")&amp;IF($S566="","Falta indicar si és recurrent. ",""))))</f>
        <v/>
      </c>
    </row>
    <row r="567">
      <c r="A567" s="10">
        <f>IF($D567="","","27_"&amp;IFERROR(INDEX(Objectius!$E$2:$E$183,MATCH($D567,Objectius!$A$2:$A$183,0)),"??")&amp;"_"&amp;TEXT(COUNTIF($I$6:$I567,$I567),"00"))</f>
        <v/>
      </c>
      <c r="B567" s="11" t="n"/>
      <c r="C567" s="11" t="n"/>
      <c r="D567" s="11" t="n"/>
      <c r="E567" s="10">
        <f>IF($D567="","",IFERROR(INDEX(Objectius!$C$2:$C$183,MATCH($D567,Objectius!$A$2:$A$183,0)),"Objectiu no trobat al Pla"))</f>
        <v/>
      </c>
      <c r="F567" s="11" t="n"/>
      <c r="G567" s="11" t="n"/>
      <c r="H567" s="11" t="n"/>
      <c r="I567" s="10">
        <f>IF($D567="","",IFERROR(INDEX(Objectius!$D$2:$D$183,MATCH($D567,Objectius!$A$2:$A$183,0)),""))</f>
        <v/>
      </c>
      <c r="J567" s="11" t="n"/>
      <c r="K567" s="11" t="n"/>
      <c r="L567" s="11" t="n"/>
      <c r="M567" s="12" t="n"/>
      <c r="N567" s="11" t="n"/>
      <c r="O567" s="10">
        <f>IF($N567="","",IFERROR(INDEX('PLA ESTRATÈGIC'!$G$4:$G$452,MATCH($N567,'PLA ESTRATÈGIC'!$Q$4:$Q$452,0)),""))</f>
        <v/>
      </c>
      <c r="P567" s="10">
        <f>IF($N567="","",IFERROR(INDEX('PLA ESTRATÈGIC'!$H$4:$H$452,MATCH($N567,'PLA ESTRATÈGIC'!$Q$4:$Q$452,0)),""))</f>
        <v/>
      </c>
      <c r="Q567" s="13" t="n"/>
      <c r="R567" s="11" t="n"/>
      <c r="S567" s="11" t="n"/>
      <c r="T567" s="11" t="n"/>
      <c r="U567" s="11" t="n"/>
      <c r="V567" s="10">
        <f>IF(COUNTA($C567,$D567,$J567,$M567)=0,"",IF(TRIM(IF($C567="","Falta l'actuació. ","")&amp;IF($D567="","Falta l'objectiu. ","")&amp;IF($J567="","Falta el tipus de despesa. ","")&amp;IF(AND($J567&lt;&gt;"",$J567&lt;&gt;"Mitjans propis",$J567&lt;&gt;"Altres",$M567=""),"Falta l'import. ","")&amp;IF(AND($J567="Contracte menor a càrrec del RAE",$K567=""),"Falta la partida RAE. ","")&amp;IF(AND($B567&lt;&gt;"",COUNTIF($B$6:$B$705,$B567)&gt;1),"Codi RAE repetit. ","")&amp;IF(AND($B567&lt;&gt;"",$J567&lt;&gt;"",$J567&lt;&gt;"Contracte menor a càrrec del RAE"),"Té codi RAE però no és de tipus RAE. ","")&amp;IF($N567="","Falta l'indicador del Pla. ","")&amp;IF($R567="","Falta el gestor. ","")&amp;IF($S567="","Falta indicar si és recurrent. ",""))="","✔",TRIM(IF($C567="","Falta l'actuació. ","")&amp;IF($D567="","Falta l'objectiu. ","")&amp;IF($J567="","Falta el tipus de despesa. ","")&amp;IF(AND($J567&lt;&gt;"",$J567&lt;&gt;"Mitjans propis",$J567&lt;&gt;"Altres",$M567=""),"Falta l'import. ","")&amp;IF(AND($J567="Contracte menor a càrrec del RAE",$K567=""),"Falta la partida RAE. ","")&amp;IF(AND($B567&lt;&gt;"",COUNTIF($B$6:$B$705,$B567)&gt;1),"Codi RAE repetit. ","")&amp;IF(AND($B567&lt;&gt;"",$J567&lt;&gt;"",$J567&lt;&gt;"Contracte menor a càrrec del RAE"),"Té codi RAE però no és de tipus RAE. ","")&amp;IF($N567="","Falta l'indicador del Pla. ","")&amp;IF($R567="","Falta el gestor. ","")&amp;IF($S567="","Falta indicar si és recurrent. ",""))))</f>
        <v/>
      </c>
    </row>
    <row r="568">
      <c r="A568" s="10">
        <f>IF($D568="","","27_"&amp;IFERROR(INDEX(Objectius!$E$2:$E$183,MATCH($D568,Objectius!$A$2:$A$183,0)),"??")&amp;"_"&amp;TEXT(COUNTIF($I$6:$I568,$I568),"00"))</f>
        <v/>
      </c>
      <c r="B568" s="11" t="n"/>
      <c r="C568" s="11" t="n"/>
      <c r="D568" s="11" t="n"/>
      <c r="E568" s="10">
        <f>IF($D568="","",IFERROR(INDEX(Objectius!$C$2:$C$183,MATCH($D568,Objectius!$A$2:$A$183,0)),"Objectiu no trobat al Pla"))</f>
        <v/>
      </c>
      <c r="F568" s="11" t="n"/>
      <c r="G568" s="11" t="n"/>
      <c r="H568" s="11" t="n"/>
      <c r="I568" s="10">
        <f>IF($D568="","",IFERROR(INDEX(Objectius!$D$2:$D$183,MATCH($D568,Objectius!$A$2:$A$183,0)),""))</f>
        <v/>
      </c>
      <c r="J568" s="11" t="n"/>
      <c r="K568" s="11" t="n"/>
      <c r="L568" s="11" t="n"/>
      <c r="M568" s="12" t="n"/>
      <c r="N568" s="11" t="n"/>
      <c r="O568" s="10">
        <f>IF($N568="","",IFERROR(INDEX('PLA ESTRATÈGIC'!$G$4:$G$452,MATCH($N568,'PLA ESTRATÈGIC'!$Q$4:$Q$452,0)),""))</f>
        <v/>
      </c>
      <c r="P568" s="10">
        <f>IF($N568="","",IFERROR(INDEX('PLA ESTRATÈGIC'!$H$4:$H$452,MATCH($N568,'PLA ESTRATÈGIC'!$Q$4:$Q$452,0)),""))</f>
        <v/>
      </c>
      <c r="Q568" s="13" t="n"/>
      <c r="R568" s="11" t="n"/>
      <c r="S568" s="11" t="n"/>
      <c r="T568" s="11" t="n"/>
      <c r="U568" s="11" t="n"/>
      <c r="V568" s="10">
        <f>IF(COUNTA($C568,$D568,$J568,$M568)=0,"",IF(TRIM(IF($C568="","Falta l'actuació. ","")&amp;IF($D568="","Falta l'objectiu. ","")&amp;IF($J568="","Falta el tipus de despesa. ","")&amp;IF(AND($J568&lt;&gt;"",$J568&lt;&gt;"Mitjans propis",$J568&lt;&gt;"Altres",$M568=""),"Falta l'import. ","")&amp;IF(AND($J568="Contracte menor a càrrec del RAE",$K568=""),"Falta la partida RAE. ","")&amp;IF(AND($B568&lt;&gt;"",COUNTIF($B$6:$B$705,$B568)&gt;1),"Codi RAE repetit. ","")&amp;IF(AND($B568&lt;&gt;"",$J568&lt;&gt;"",$J568&lt;&gt;"Contracte menor a càrrec del RAE"),"Té codi RAE però no és de tipus RAE. ","")&amp;IF($N568="","Falta l'indicador del Pla. ","")&amp;IF($R568="","Falta el gestor. ","")&amp;IF($S568="","Falta indicar si és recurrent. ",""))="","✔",TRIM(IF($C568="","Falta l'actuació. ","")&amp;IF($D568="","Falta l'objectiu. ","")&amp;IF($J568="","Falta el tipus de despesa. ","")&amp;IF(AND($J568&lt;&gt;"",$J568&lt;&gt;"Mitjans propis",$J568&lt;&gt;"Altres",$M568=""),"Falta l'import. ","")&amp;IF(AND($J568="Contracte menor a càrrec del RAE",$K568=""),"Falta la partida RAE. ","")&amp;IF(AND($B568&lt;&gt;"",COUNTIF($B$6:$B$705,$B568)&gt;1),"Codi RAE repetit. ","")&amp;IF(AND($B568&lt;&gt;"",$J568&lt;&gt;"",$J568&lt;&gt;"Contracte menor a càrrec del RAE"),"Té codi RAE però no és de tipus RAE. ","")&amp;IF($N568="","Falta l'indicador del Pla. ","")&amp;IF($R568="","Falta el gestor. ","")&amp;IF($S568="","Falta indicar si és recurrent. ",""))))</f>
        <v/>
      </c>
    </row>
    <row r="569">
      <c r="A569" s="10">
        <f>IF($D569="","","27_"&amp;IFERROR(INDEX(Objectius!$E$2:$E$183,MATCH($D569,Objectius!$A$2:$A$183,0)),"??")&amp;"_"&amp;TEXT(COUNTIF($I$6:$I569,$I569),"00"))</f>
        <v/>
      </c>
      <c r="B569" s="11" t="n"/>
      <c r="C569" s="11" t="n"/>
      <c r="D569" s="11" t="n"/>
      <c r="E569" s="10">
        <f>IF($D569="","",IFERROR(INDEX(Objectius!$C$2:$C$183,MATCH($D569,Objectius!$A$2:$A$183,0)),"Objectiu no trobat al Pla"))</f>
        <v/>
      </c>
      <c r="F569" s="11" t="n"/>
      <c r="G569" s="11" t="n"/>
      <c r="H569" s="11" t="n"/>
      <c r="I569" s="10">
        <f>IF($D569="","",IFERROR(INDEX(Objectius!$D$2:$D$183,MATCH($D569,Objectius!$A$2:$A$183,0)),""))</f>
        <v/>
      </c>
      <c r="J569" s="11" t="n"/>
      <c r="K569" s="11" t="n"/>
      <c r="L569" s="11" t="n"/>
      <c r="M569" s="12" t="n"/>
      <c r="N569" s="11" t="n"/>
      <c r="O569" s="10">
        <f>IF($N569="","",IFERROR(INDEX('PLA ESTRATÈGIC'!$G$4:$G$452,MATCH($N569,'PLA ESTRATÈGIC'!$Q$4:$Q$452,0)),""))</f>
        <v/>
      </c>
      <c r="P569" s="10">
        <f>IF($N569="","",IFERROR(INDEX('PLA ESTRATÈGIC'!$H$4:$H$452,MATCH($N569,'PLA ESTRATÈGIC'!$Q$4:$Q$452,0)),""))</f>
        <v/>
      </c>
      <c r="Q569" s="13" t="n"/>
      <c r="R569" s="11" t="n"/>
      <c r="S569" s="11" t="n"/>
      <c r="T569" s="11" t="n"/>
      <c r="U569" s="11" t="n"/>
      <c r="V569" s="10">
        <f>IF(COUNTA($C569,$D569,$J569,$M569)=0,"",IF(TRIM(IF($C569="","Falta l'actuació. ","")&amp;IF($D569="","Falta l'objectiu. ","")&amp;IF($J569="","Falta el tipus de despesa. ","")&amp;IF(AND($J569&lt;&gt;"",$J569&lt;&gt;"Mitjans propis",$J569&lt;&gt;"Altres",$M569=""),"Falta l'import. ","")&amp;IF(AND($J569="Contracte menor a càrrec del RAE",$K569=""),"Falta la partida RAE. ","")&amp;IF(AND($B569&lt;&gt;"",COUNTIF($B$6:$B$705,$B569)&gt;1),"Codi RAE repetit. ","")&amp;IF(AND($B569&lt;&gt;"",$J569&lt;&gt;"",$J569&lt;&gt;"Contracte menor a càrrec del RAE"),"Té codi RAE però no és de tipus RAE. ","")&amp;IF($N569="","Falta l'indicador del Pla. ","")&amp;IF($R569="","Falta el gestor. ","")&amp;IF($S569="","Falta indicar si és recurrent. ",""))="","✔",TRIM(IF($C569="","Falta l'actuació. ","")&amp;IF($D569="","Falta l'objectiu. ","")&amp;IF($J569="","Falta el tipus de despesa. ","")&amp;IF(AND($J569&lt;&gt;"",$J569&lt;&gt;"Mitjans propis",$J569&lt;&gt;"Altres",$M569=""),"Falta l'import. ","")&amp;IF(AND($J569="Contracte menor a càrrec del RAE",$K569=""),"Falta la partida RAE. ","")&amp;IF(AND($B569&lt;&gt;"",COUNTIF($B$6:$B$705,$B569)&gt;1),"Codi RAE repetit. ","")&amp;IF(AND($B569&lt;&gt;"",$J569&lt;&gt;"",$J569&lt;&gt;"Contracte menor a càrrec del RAE"),"Té codi RAE però no és de tipus RAE. ","")&amp;IF($N569="","Falta l'indicador del Pla. ","")&amp;IF($R569="","Falta el gestor. ","")&amp;IF($S569="","Falta indicar si és recurrent. ",""))))</f>
        <v/>
      </c>
    </row>
    <row r="570">
      <c r="A570" s="10">
        <f>IF($D570="","","27_"&amp;IFERROR(INDEX(Objectius!$E$2:$E$183,MATCH($D570,Objectius!$A$2:$A$183,0)),"??")&amp;"_"&amp;TEXT(COUNTIF($I$6:$I570,$I570),"00"))</f>
        <v/>
      </c>
      <c r="B570" s="11" t="n"/>
      <c r="C570" s="11" t="n"/>
      <c r="D570" s="11" t="n"/>
      <c r="E570" s="10">
        <f>IF($D570="","",IFERROR(INDEX(Objectius!$C$2:$C$183,MATCH($D570,Objectius!$A$2:$A$183,0)),"Objectiu no trobat al Pla"))</f>
        <v/>
      </c>
      <c r="F570" s="11" t="n"/>
      <c r="G570" s="11" t="n"/>
      <c r="H570" s="11" t="n"/>
      <c r="I570" s="10">
        <f>IF($D570="","",IFERROR(INDEX(Objectius!$D$2:$D$183,MATCH($D570,Objectius!$A$2:$A$183,0)),""))</f>
        <v/>
      </c>
      <c r="J570" s="11" t="n"/>
      <c r="K570" s="11" t="n"/>
      <c r="L570" s="11" t="n"/>
      <c r="M570" s="12" t="n"/>
      <c r="N570" s="11" t="n"/>
      <c r="O570" s="10">
        <f>IF($N570="","",IFERROR(INDEX('PLA ESTRATÈGIC'!$G$4:$G$452,MATCH($N570,'PLA ESTRATÈGIC'!$Q$4:$Q$452,0)),""))</f>
        <v/>
      </c>
      <c r="P570" s="10">
        <f>IF($N570="","",IFERROR(INDEX('PLA ESTRATÈGIC'!$H$4:$H$452,MATCH($N570,'PLA ESTRATÈGIC'!$Q$4:$Q$452,0)),""))</f>
        <v/>
      </c>
      <c r="Q570" s="13" t="n"/>
      <c r="R570" s="11" t="n"/>
      <c r="S570" s="11" t="n"/>
      <c r="T570" s="11" t="n"/>
      <c r="U570" s="11" t="n"/>
      <c r="V570" s="10">
        <f>IF(COUNTA($C570,$D570,$J570,$M570)=0,"",IF(TRIM(IF($C570="","Falta l'actuació. ","")&amp;IF($D570="","Falta l'objectiu. ","")&amp;IF($J570="","Falta el tipus de despesa. ","")&amp;IF(AND($J570&lt;&gt;"",$J570&lt;&gt;"Mitjans propis",$J570&lt;&gt;"Altres",$M570=""),"Falta l'import. ","")&amp;IF(AND($J570="Contracte menor a càrrec del RAE",$K570=""),"Falta la partida RAE. ","")&amp;IF(AND($B570&lt;&gt;"",COUNTIF($B$6:$B$705,$B570)&gt;1),"Codi RAE repetit. ","")&amp;IF(AND($B570&lt;&gt;"",$J570&lt;&gt;"",$J570&lt;&gt;"Contracte menor a càrrec del RAE"),"Té codi RAE però no és de tipus RAE. ","")&amp;IF($N570="","Falta l'indicador del Pla. ","")&amp;IF($R570="","Falta el gestor. ","")&amp;IF($S570="","Falta indicar si és recurrent. ",""))="","✔",TRIM(IF($C570="","Falta l'actuació. ","")&amp;IF($D570="","Falta l'objectiu. ","")&amp;IF($J570="","Falta el tipus de despesa. ","")&amp;IF(AND($J570&lt;&gt;"",$J570&lt;&gt;"Mitjans propis",$J570&lt;&gt;"Altres",$M570=""),"Falta l'import. ","")&amp;IF(AND($J570="Contracte menor a càrrec del RAE",$K570=""),"Falta la partida RAE. ","")&amp;IF(AND($B570&lt;&gt;"",COUNTIF($B$6:$B$705,$B570)&gt;1),"Codi RAE repetit. ","")&amp;IF(AND($B570&lt;&gt;"",$J570&lt;&gt;"",$J570&lt;&gt;"Contracte menor a càrrec del RAE"),"Té codi RAE però no és de tipus RAE. ","")&amp;IF($N570="","Falta l'indicador del Pla. ","")&amp;IF($R570="","Falta el gestor. ","")&amp;IF($S570="","Falta indicar si és recurrent. ",""))))</f>
        <v/>
      </c>
    </row>
    <row r="571">
      <c r="A571" s="10">
        <f>IF($D571="","","27_"&amp;IFERROR(INDEX(Objectius!$E$2:$E$183,MATCH($D571,Objectius!$A$2:$A$183,0)),"??")&amp;"_"&amp;TEXT(COUNTIF($I$6:$I571,$I571),"00"))</f>
        <v/>
      </c>
      <c r="B571" s="11" t="n"/>
      <c r="C571" s="11" t="n"/>
      <c r="D571" s="11" t="n"/>
      <c r="E571" s="10">
        <f>IF($D571="","",IFERROR(INDEX(Objectius!$C$2:$C$183,MATCH($D571,Objectius!$A$2:$A$183,0)),"Objectiu no trobat al Pla"))</f>
        <v/>
      </c>
      <c r="F571" s="11" t="n"/>
      <c r="G571" s="11" t="n"/>
      <c r="H571" s="11" t="n"/>
      <c r="I571" s="10">
        <f>IF($D571="","",IFERROR(INDEX(Objectius!$D$2:$D$183,MATCH($D571,Objectius!$A$2:$A$183,0)),""))</f>
        <v/>
      </c>
      <c r="J571" s="11" t="n"/>
      <c r="K571" s="11" t="n"/>
      <c r="L571" s="11" t="n"/>
      <c r="M571" s="12" t="n"/>
      <c r="N571" s="11" t="n"/>
      <c r="O571" s="10">
        <f>IF($N571="","",IFERROR(INDEX('PLA ESTRATÈGIC'!$G$4:$G$452,MATCH($N571,'PLA ESTRATÈGIC'!$Q$4:$Q$452,0)),""))</f>
        <v/>
      </c>
      <c r="P571" s="10">
        <f>IF($N571="","",IFERROR(INDEX('PLA ESTRATÈGIC'!$H$4:$H$452,MATCH($N571,'PLA ESTRATÈGIC'!$Q$4:$Q$452,0)),""))</f>
        <v/>
      </c>
      <c r="Q571" s="13" t="n"/>
      <c r="R571" s="11" t="n"/>
      <c r="S571" s="11" t="n"/>
      <c r="T571" s="11" t="n"/>
      <c r="U571" s="11" t="n"/>
      <c r="V571" s="10">
        <f>IF(COUNTA($C571,$D571,$J571,$M571)=0,"",IF(TRIM(IF($C571="","Falta l'actuació. ","")&amp;IF($D571="","Falta l'objectiu. ","")&amp;IF($J571="","Falta el tipus de despesa. ","")&amp;IF(AND($J571&lt;&gt;"",$J571&lt;&gt;"Mitjans propis",$J571&lt;&gt;"Altres",$M571=""),"Falta l'import. ","")&amp;IF(AND($J571="Contracte menor a càrrec del RAE",$K571=""),"Falta la partida RAE. ","")&amp;IF(AND($B571&lt;&gt;"",COUNTIF($B$6:$B$705,$B571)&gt;1),"Codi RAE repetit. ","")&amp;IF(AND($B571&lt;&gt;"",$J571&lt;&gt;"",$J571&lt;&gt;"Contracte menor a càrrec del RAE"),"Té codi RAE però no és de tipus RAE. ","")&amp;IF($N571="","Falta l'indicador del Pla. ","")&amp;IF($R571="","Falta el gestor. ","")&amp;IF($S571="","Falta indicar si és recurrent. ",""))="","✔",TRIM(IF($C571="","Falta l'actuació. ","")&amp;IF($D571="","Falta l'objectiu. ","")&amp;IF($J571="","Falta el tipus de despesa. ","")&amp;IF(AND($J571&lt;&gt;"",$J571&lt;&gt;"Mitjans propis",$J571&lt;&gt;"Altres",$M571=""),"Falta l'import. ","")&amp;IF(AND($J571="Contracte menor a càrrec del RAE",$K571=""),"Falta la partida RAE. ","")&amp;IF(AND($B571&lt;&gt;"",COUNTIF($B$6:$B$705,$B571)&gt;1),"Codi RAE repetit. ","")&amp;IF(AND($B571&lt;&gt;"",$J571&lt;&gt;"",$J571&lt;&gt;"Contracte menor a càrrec del RAE"),"Té codi RAE però no és de tipus RAE. ","")&amp;IF($N571="","Falta l'indicador del Pla. ","")&amp;IF($R571="","Falta el gestor. ","")&amp;IF($S571="","Falta indicar si és recurrent. ",""))))</f>
        <v/>
      </c>
    </row>
    <row r="572">
      <c r="A572" s="10">
        <f>IF($D572="","","27_"&amp;IFERROR(INDEX(Objectius!$E$2:$E$183,MATCH($D572,Objectius!$A$2:$A$183,0)),"??")&amp;"_"&amp;TEXT(COUNTIF($I$6:$I572,$I572),"00"))</f>
        <v/>
      </c>
      <c r="B572" s="11" t="n"/>
      <c r="C572" s="11" t="n"/>
      <c r="D572" s="11" t="n"/>
      <c r="E572" s="10">
        <f>IF($D572="","",IFERROR(INDEX(Objectius!$C$2:$C$183,MATCH($D572,Objectius!$A$2:$A$183,0)),"Objectiu no trobat al Pla"))</f>
        <v/>
      </c>
      <c r="F572" s="11" t="n"/>
      <c r="G572" s="11" t="n"/>
      <c r="H572" s="11" t="n"/>
      <c r="I572" s="10">
        <f>IF($D572="","",IFERROR(INDEX(Objectius!$D$2:$D$183,MATCH($D572,Objectius!$A$2:$A$183,0)),""))</f>
        <v/>
      </c>
      <c r="J572" s="11" t="n"/>
      <c r="K572" s="11" t="n"/>
      <c r="L572" s="11" t="n"/>
      <c r="M572" s="12" t="n"/>
      <c r="N572" s="11" t="n"/>
      <c r="O572" s="10">
        <f>IF($N572="","",IFERROR(INDEX('PLA ESTRATÈGIC'!$G$4:$G$452,MATCH($N572,'PLA ESTRATÈGIC'!$Q$4:$Q$452,0)),""))</f>
        <v/>
      </c>
      <c r="P572" s="10">
        <f>IF($N572="","",IFERROR(INDEX('PLA ESTRATÈGIC'!$H$4:$H$452,MATCH($N572,'PLA ESTRATÈGIC'!$Q$4:$Q$452,0)),""))</f>
        <v/>
      </c>
      <c r="Q572" s="13" t="n"/>
      <c r="R572" s="11" t="n"/>
      <c r="S572" s="11" t="n"/>
      <c r="T572" s="11" t="n"/>
      <c r="U572" s="11" t="n"/>
      <c r="V572" s="10">
        <f>IF(COUNTA($C572,$D572,$J572,$M572)=0,"",IF(TRIM(IF($C572="","Falta l'actuació. ","")&amp;IF($D572="","Falta l'objectiu. ","")&amp;IF($J572="","Falta el tipus de despesa. ","")&amp;IF(AND($J572&lt;&gt;"",$J572&lt;&gt;"Mitjans propis",$J572&lt;&gt;"Altres",$M572=""),"Falta l'import. ","")&amp;IF(AND($J572="Contracte menor a càrrec del RAE",$K572=""),"Falta la partida RAE. ","")&amp;IF(AND($B572&lt;&gt;"",COUNTIF($B$6:$B$705,$B572)&gt;1),"Codi RAE repetit. ","")&amp;IF(AND($B572&lt;&gt;"",$J572&lt;&gt;"",$J572&lt;&gt;"Contracte menor a càrrec del RAE"),"Té codi RAE però no és de tipus RAE. ","")&amp;IF($N572="","Falta l'indicador del Pla. ","")&amp;IF($R572="","Falta el gestor. ","")&amp;IF($S572="","Falta indicar si és recurrent. ",""))="","✔",TRIM(IF($C572="","Falta l'actuació. ","")&amp;IF($D572="","Falta l'objectiu. ","")&amp;IF($J572="","Falta el tipus de despesa. ","")&amp;IF(AND($J572&lt;&gt;"",$J572&lt;&gt;"Mitjans propis",$J572&lt;&gt;"Altres",$M572=""),"Falta l'import. ","")&amp;IF(AND($J572="Contracte menor a càrrec del RAE",$K572=""),"Falta la partida RAE. ","")&amp;IF(AND($B572&lt;&gt;"",COUNTIF($B$6:$B$705,$B572)&gt;1),"Codi RAE repetit. ","")&amp;IF(AND($B572&lt;&gt;"",$J572&lt;&gt;"",$J572&lt;&gt;"Contracte menor a càrrec del RAE"),"Té codi RAE però no és de tipus RAE. ","")&amp;IF($N572="","Falta l'indicador del Pla. ","")&amp;IF($R572="","Falta el gestor. ","")&amp;IF($S572="","Falta indicar si és recurrent. ",""))))</f>
        <v/>
      </c>
    </row>
    <row r="573">
      <c r="A573" s="10">
        <f>IF($D573="","","27_"&amp;IFERROR(INDEX(Objectius!$E$2:$E$183,MATCH($D573,Objectius!$A$2:$A$183,0)),"??")&amp;"_"&amp;TEXT(COUNTIF($I$6:$I573,$I573),"00"))</f>
        <v/>
      </c>
      <c r="B573" s="11" t="n"/>
      <c r="C573" s="11" t="n"/>
      <c r="D573" s="11" t="n"/>
      <c r="E573" s="10">
        <f>IF($D573="","",IFERROR(INDEX(Objectius!$C$2:$C$183,MATCH($D573,Objectius!$A$2:$A$183,0)),"Objectiu no trobat al Pla"))</f>
        <v/>
      </c>
      <c r="F573" s="11" t="n"/>
      <c r="G573" s="11" t="n"/>
      <c r="H573" s="11" t="n"/>
      <c r="I573" s="10">
        <f>IF($D573="","",IFERROR(INDEX(Objectius!$D$2:$D$183,MATCH($D573,Objectius!$A$2:$A$183,0)),""))</f>
        <v/>
      </c>
      <c r="J573" s="11" t="n"/>
      <c r="K573" s="11" t="n"/>
      <c r="L573" s="11" t="n"/>
      <c r="M573" s="12" t="n"/>
      <c r="N573" s="11" t="n"/>
      <c r="O573" s="10">
        <f>IF($N573="","",IFERROR(INDEX('PLA ESTRATÈGIC'!$G$4:$G$452,MATCH($N573,'PLA ESTRATÈGIC'!$Q$4:$Q$452,0)),""))</f>
        <v/>
      </c>
      <c r="P573" s="10">
        <f>IF($N573="","",IFERROR(INDEX('PLA ESTRATÈGIC'!$H$4:$H$452,MATCH($N573,'PLA ESTRATÈGIC'!$Q$4:$Q$452,0)),""))</f>
        <v/>
      </c>
      <c r="Q573" s="13" t="n"/>
      <c r="R573" s="11" t="n"/>
      <c r="S573" s="11" t="n"/>
      <c r="T573" s="11" t="n"/>
      <c r="U573" s="11" t="n"/>
      <c r="V573" s="10">
        <f>IF(COUNTA($C573,$D573,$J573,$M573)=0,"",IF(TRIM(IF($C573="","Falta l'actuació. ","")&amp;IF($D573="","Falta l'objectiu. ","")&amp;IF($J573="","Falta el tipus de despesa. ","")&amp;IF(AND($J573&lt;&gt;"",$J573&lt;&gt;"Mitjans propis",$J573&lt;&gt;"Altres",$M573=""),"Falta l'import. ","")&amp;IF(AND($J573="Contracte menor a càrrec del RAE",$K573=""),"Falta la partida RAE. ","")&amp;IF(AND($B573&lt;&gt;"",COUNTIF($B$6:$B$705,$B573)&gt;1),"Codi RAE repetit. ","")&amp;IF(AND($B573&lt;&gt;"",$J573&lt;&gt;"",$J573&lt;&gt;"Contracte menor a càrrec del RAE"),"Té codi RAE però no és de tipus RAE. ","")&amp;IF($N573="","Falta l'indicador del Pla. ","")&amp;IF($R573="","Falta el gestor. ","")&amp;IF($S573="","Falta indicar si és recurrent. ",""))="","✔",TRIM(IF($C573="","Falta l'actuació. ","")&amp;IF($D573="","Falta l'objectiu. ","")&amp;IF($J573="","Falta el tipus de despesa. ","")&amp;IF(AND($J573&lt;&gt;"",$J573&lt;&gt;"Mitjans propis",$J573&lt;&gt;"Altres",$M573=""),"Falta l'import. ","")&amp;IF(AND($J573="Contracte menor a càrrec del RAE",$K573=""),"Falta la partida RAE. ","")&amp;IF(AND($B573&lt;&gt;"",COUNTIF($B$6:$B$705,$B573)&gt;1),"Codi RAE repetit. ","")&amp;IF(AND($B573&lt;&gt;"",$J573&lt;&gt;"",$J573&lt;&gt;"Contracte menor a càrrec del RAE"),"Té codi RAE però no és de tipus RAE. ","")&amp;IF($N573="","Falta l'indicador del Pla. ","")&amp;IF($R573="","Falta el gestor. ","")&amp;IF($S573="","Falta indicar si és recurrent. ",""))))</f>
        <v/>
      </c>
    </row>
    <row r="574">
      <c r="A574" s="10">
        <f>IF($D574="","","27_"&amp;IFERROR(INDEX(Objectius!$E$2:$E$183,MATCH($D574,Objectius!$A$2:$A$183,0)),"??")&amp;"_"&amp;TEXT(COUNTIF($I$6:$I574,$I574),"00"))</f>
        <v/>
      </c>
      <c r="B574" s="11" t="n"/>
      <c r="C574" s="11" t="n"/>
      <c r="D574" s="11" t="n"/>
      <c r="E574" s="10">
        <f>IF($D574="","",IFERROR(INDEX(Objectius!$C$2:$C$183,MATCH($D574,Objectius!$A$2:$A$183,0)),"Objectiu no trobat al Pla"))</f>
        <v/>
      </c>
      <c r="F574" s="11" t="n"/>
      <c r="G574" s="11" t="n"/>
      <c r="H574" s="11" t="n"/>
      <c r="I574" s="10">
        <f>IF($D574="","",IFERROR(INDEX(Objectius!$D$2:$D$183,MATCH($D574,Objectius!$A$2:$A$183,0)),""))</f>
        <v/>
      </c>
      <c r="J574" s="11" t="n"/>
      <c r="K574" s="11" t="n"/>
      <c r="L574" s="11" t="n"/>
      <c r="M574" s="12" t="n"/>
      <c r="N574" s="11" t="n"/>
      <c r="O574" s="10">
        <f>IF($N574="","",IFERROR(INDEX('PLA ESTRATÈGIC'!$G$4:$G$452,MATCH($N574,'PLA ESTRATÈGIC'!$Q$4:$Q$452,0)),""))</f>
        <v/>
      </c>
      <c r="P574" s="10">
        <f>IF($N574="","",IFERROR(INDEX('PLA ESTRATÈGIC'!$H$4:$H$452,MATCH($N574,'PLA ESTRATÈGIC'!$Q$4:$Q$452,0)),""))</f>
        <v/>
      </c>
      <c r="Q574" s="13" t="n"/>
      <c r="R574" s="11" t="n"/>
      <c r="S574" s="11" t="n"/>
      <c r="T574" s="11" t="n"/>
      <c r="U574" s="11" t="n"/>
      <c r="V574" s="10">
        <f>IF(COUNTA($C574,$D574,$J574,$M574)=0,"",IF(TRIM(IF($C574="","Falta l'actuació. ","")&amp;IF($D574="","Falta l'objectiu. ","")&amp;IF($J574="","Falta el tipus de despesa. ","")&amp;IF(AND($J574&lt;&gt;"",$J574&lt;&gt;"Mitjans propis",$J574&lt;&gt;"Altres",$M574=""),"Falta l'import. ","")&amp;IF(AND($J574="Contracte menor a càrrec del RAE",$K574=""),"Falta la partida RAE. ","")&amp;IF(AND($B574&lt;&gt;"",COUNTIF($B$6:$B$705,$B574)&gt;1),"Codi RAE repetit. ","")&amp;IF(AND($B574&lt;&gt;"",$J574&lt;&gt;"",$J574&lt;&gt;"Contracte menor a càrrec del RAE"),"Té codi RAE però no és de tipus RAE. ","")&amp;IF($N574="","Falta l'indicador del Pla. ","")&amp;IF($R574="","Falta el gestor. ","")&amp;IF($S574="","Falta indicar si és recurrent. ",""))="","✔",TRIM(IF($C574="","Falta l'actuació. ","")&amp;IF($D574="","Falta l'objectiu. ","")&amp;IF($J574="","Falta el tipus de despesa. ","")&amp;IF(AND($J574&lt;&gt;"",$J574&lt;&gt;"Mitjans propis",$J574&lt;&gt;"Altres",$M574=""),"Falta l'import. ","")&amp;IF(AND($J574="Contracte menor a càrrec del RAE",$K574=""),"Falta la partida RAE. ","")&amp;IF(AND($B574&lt;&gt;"",COUNTIF($B$6:$B$705,$B574)&gt;1),"Codi RAE repetit. ","")&amp;IF(AND($B574&lt;&gt;"",$J574&lt;&gt;"",$J574&lt;&gt;"Contracte menor a càrrec del RAE"),"Té codi RAE però no és de tipus RAE. ","")&amp;IF($N574="","Falta l'indicador del Pla. ","")&amp;IF($R574="","Falta el gestor. ","")&amp;IF($S574="","Falta indicar si és recurrent. ",""))))</f>
        <v/>
      </c>
    </row>
    <row r="575">
      <c r="A575" s="10">
        <f>IF($D575="","","27_"&amp;IFERROR(INDEX(Objectius!$E$2:$E$183,MATCH($D575,Objectius!$A$2:$A$183,0)),"??")&amp;"_"&amp;TEXT(COUNTIF($I$6:$I575,$I575),"00"))</f>
        <v/>
      </c>
      <c r="B575" s="11" t="n"/>
      <c r="C575" s="11" t="n"/>
      <c r="D575" s="11" t="n"/>
      <c r="E575" s="10">
        <f>IF($D575="","",IFERROR(INDEX(Objectius!$C$2:$C$183,MATCH($D575,Objectius!$A$2:$A$183,0)),"Objectiu no trobat al Pla"))</f>
        <v/>
      </c>
      <c r="F575" s="11" t="n"/>
      <c r="G575" s="11" t="n"/>
      <c r="H575" s="11" t="n"/>
      <c r="I575" s="10">
        <f>IF($D575="","",IFERROR(INDEX(Objectius!$D$2:$D$183,MATCH($D575,Objectius!$A$2:$A$183,0)),""))</f>
        <v/>
      </c>
      <c r="J575" s="11" t="n"/>
      <c r="K575" s="11" t="n"/>
      <c r="L575" s="11" t="n"/>
      <c r="M575" s="12" t="n"/>
      <c r="N575" s="11" t="n"/>
      <c r="O575" s="10">
        <f>IF($N575="","",IFERROR(INDEX('PLA ESTRATÈGIC'!$G$4:$G$452,MATCH($N575,'PLA ESTRATÈGIC'!$Q$4:$Q$452,0)),""))</f>
        <v/>
      </c>
      <c r="P575" s="10">
        <f>IF($N575="","",IFERROR(INDEX('PLA ESTRATÈGIC'!$H$4:$H$452,MATCH($N575,'PLA ESTRATÈGIC'!$Q$4:$Q$452,0)),""))</f>
        <v/>
      </c>
      <c r="Q575" s="13" t="n"/>
      <c r="R575" s="11" t="n"/>
      <c r="S575" s="11" t="n"/>
      <c r="T575" s="11" t="n"/>
      <c r="U575" s="11" t="n"/>
      <c r="V575" s="10">
        <f>IF(COUNTA($C575,$D575,$J575,$M575)=0,"",IF(TRIM(IF($C575="","Falta l'actuació. ","")&amp;IF($D575="","Falta l'objectiu. ","")&amp;IF($J575="","Falta el tipus de despesa. ","")&amp;IF(AND($J575&lt;&gt;"",$J575&lt;&gt;"Mitjans propis",$J575&lt;&gt;"Altres",$M575=""),"Falta l'import. ","")&amp;IF(AND($J575="Contracte menor a càrrec del RAE",$K575=""),"Falta la partida RAE. ","")&amp;IF(AND($B575&lt;&gt;"",COUNTIF($B$6:$B$705,$B575)&gt;1),"Codi RAE repetit. ","")&amp;IF(AND($B575&lt;&gt;"",$J575&lt;&gt;"",$J575&lt;&gt;"Contracte menor a càrrec del RAE"),"Té codi RAE però no és de tipus RAE. ","")&amp;IF($N575="","Falta l'indicador del Pla. ","")&amp;IF($R575="","Falta el gestor. ","")&amp;IF($S575="","Falta indicar si és recurrent. ",""))="","✔",TRIM(IF($C575="","Falta l'actuació. ","")&amp;IF($D575="","Falta l'objectiu. ","")&amp;IF($J575="","Falta el tipus de despesa. ","")&amp;IF(AND($J575&lt;&gt;"",$J575&lt;&gt;"Mitjans propis",$J575&lt;&gt;"Altres",$M575=""),"Falta l'import. ","")&amp;IF(AND($J575="Contracte menor a càrrec del RAE",$K575=""),"Falta la partida RAE. ","")&amp;IF(AND($B575&lt;&gt;"",COUNTIF($B$6:$B$705,$B575)&gt;1),"Codi RAE repetit. ","")&amp;IF(AND($B575&lt;&gt;"",$J575&lt;&gt;"",$J575&lt;&gt;"Contracte menor a càrrec del RAE"),"Té codi RAE però no és de tipus RAE. ","")&amp;IF($N575="","Falta l'indicador del Pla. ","")&amp;IF($R575="","Falta el gestor. ","")&amp;IF($S575="","Falta indicar si és recurrent. ",""))))</f>
        <v/>
      </c>
    </row>
    <row r="576">
      <c r="A576" s="10">
        <f>IF($D576="","","27_"&amp;IFERROR(INDEX(Objectius!$E$2:$E$183,MATCH($D576,Objectius!$A$2:$A$183,0)),"??")&amp;"_"&amp;TEXT(COUNTIF($I$6:$I576,$I576),"00"))</f>
        <v/>
      </c>
      <c r="B576" s="11" t="n"/>
      <c r="C576" s="11" t="n"/>
      <c r="D576" s="11" t="n"/>
      <c r="E576" s="10">
        <f>IF($D576="","",IFERROR(INDEX(Objectius!$C$2:$C$183,MATCH($D576,Objectius!$A$2:$A$183,0)),"Objectiu no trobat al Pla"))</f>
        <v/>
      </c>
      <c r="F576" s="11" t="n"/>
      <c r="G576" s="11" t="n"/>
      <c r="H576" s="11" t="n"/>
      <c r="I576" s="10">
        <f>IF($D576="","",IFERROR(INDEX(Objectius!$D$2:$D$183,MATCH($D576,Objectius!$A$2:$A$183,0)),""))</f>
        <v/>
      </c>
      <c r="J576" s="11" t="n"/>
      <c r="K576" s="11" t="n"/>
      <c r="L576" s="11" t="n"/>
      <c r="M576" s="12" t="n"/>
      <c r="N576" s="11" t="n"/>
      <c r="O576" s="10">
        <f>IF($N576="","",IFERROR(INDEX('PLA ESTRATÈGIC'!$G$4:$G$452,MATCH($N576,'PLA ESTRATÈGIC'!$Q$4:$Q$452,0)),""))</f>
        <v/>
      </c>
      <c r="P576" s="10">
        <f>IF($N576="","",IFERROR(INDEX('PLA ESTRATÈGIC'!$H$4:$H$452,MATCH($N576,'PLA ESTRATÈGIC'!$Q$4:$Q$452,0)),""))</f>
        <v/>
      </c>
      <c r="Q576" s="13" t="n"/>
      <c r="R576" s="11" t="n"/>
      <c r="S576" s="11" t="n"/>
      <c r="T576" s="11" t="n"/>
      <c r="U576" s="11" t="n"/>
      <c r="V576" s="10">
        <f>IF(COUNTA($C576,$D576,$J576,$M576)=0,"",IF(TRIM(IF($C576="","Falta l'actuació. ","")&amp;IF($D576="","Falta l'objectiu. ","")&amp;IF($J576="","Falta el tipus de despesa. ","")&amp;IF(AND($J576&lt;&gt;"",$J576&lt;&gt;"Mitjans propis",$J576&lt;&gt;"Altres",$M576=""),"Falta l'import. ","")&amp;IF(AND($J576="Contracte menor a càrrec del RAE",$K576=""),"Falta la partida RAE. ","")&amp;IF(AND($B576&lt;&gt;"",COUNTIF($B$6:$B$705,$B576)&gt;1),"Codi RAE repetit. ","")&amp;IF(AND($B576&lt;&gt;"",$J576&lt;&gt;"",$J576&lt;&gt;"Contracte menor a càrrec del RAE"),"Té codi RAE però no és de tipus RAE. ","")&amp;IF($N576="","Falta l'indicador del Pla. ","")&amp;IF($R576="","Falta el gestor. ","")&amp;IF($S576="","Falta indicar si és recurrent. ",""))="","✔",TRIM(IF($C576="","Falta l'actuació. ","")&amp;IF($D576="","Falta l'objectiu. ","")&amp;IF($J576="","Falta el tipus de despesa. ","")&amp;IF(AND($J576&lt;&gt;"",$J576&lt;&gt;"Mitjans propis",$J576&lt;&gt;"Altres",$M576=""),"Falta l'import. ","")&amp;IF(AND($J576="Contracte menor a càrrec del RAE",$K576=""),"Falta la partida RAE. ","")&amp;IF(AND($B576&lt;&gt;"",COUNTIF($B$6:$B$705,$B576)&gt;1),"Codi RAE repetit. ","")&amp;IF(AND($B576&lt;&gt;"",$J576&lt;&gt;"",$J576&lt;&gt;"Contracte menor a càrrec del RAE"),"Té codi RAE però no és de tipus RAE. ","")&amp;IF($N576="","Falta l'indicador del Pla. ","")&amp;IF($R576="","Falta el gestor. ","")&amp;IF($S576="","Falta indicar si és recurrent. ",""))))</f>
        <v/>
      </c>
    </row>
    <row r="577">
      <c r="A577" s="10">
        <f>IF($D577="","","27_"&amp;IFERROR(INDEX(Objectius!$E$2:$E$183,MATCH($D577,Objectius!$A$2:$A$183,0)),"??")&amp;"_"&amp;TEXT(COUNTIF($I$6:$I577,$I577),"00"))</f>
        <v/>
      </c>
      <c r="B577" s="11" t="n"/>
      <c r="C577" s="11" t="n"/>
      <c r="D577" s="11" t="n"/>
      <c r="E577" s="10">
        <f>IF($D577="","",IFERROR(INDEX(Objectius!$C$2:$C$183,MATCH($D577,Objectius!$A$2:$A$183,0)),"Objectiu no trobat al Pla"))</f>
        <v/>
      </c>
      <c r="F577" s="11" t="n"/>
      <c r="G577" s="11" t="n"/>
      <c r="H577" s="11" t="n"/>
      <c r="I577" s="10">
        <f>IF($D577="","",IFERROR(INDEX(Objectius!$D$2:$D$183,MATCH($D577,Objectius!$A$2:$A$183,0)),""))</f>
        <v/>
      </c>
      <c r="J577" s="11" t="n"/>
      <c r="K577" s="11" t="n"/>
      <c r="L577" s="11" t="n"/>
      <c r="M577" s="12" t="n"/>
      <c r="N577" s="11" t="n"/>
      <c r="O577" s="10">
        <f>IF($N577="","",IFERROR(INDEX('PLA ESTRATÈGIC'!$G$4:$G$452,MATCH($N577,'PLA ESTRATÈGIC'!$Q$4:$Q$452,0)),""))</f>
        <v/>
      </c>
      <c r="P577" s="10">
        <f>IF($N577="","",IFERROR(INDEX('PLA ESTRATÈGIC'!$H$4:$H$452,MATCH($N577,'PLA ESTRATÈGIC'!$Q$4:$Q$452,0)),""))</f>
        <v/>
      </c>
      <c r="Q577" s="13" t="n"/>
      <c r="R577" s="11" t="n"/>
      <c r="S577" s="11" t="n"/>
      <c r="T577" s="11" t="n"/>
      <c r="U577" s="11" t="n"/>
      <c r="V577" s="10">
        <f>IF(COUNTA($C577,$D577,$J577,$M577)=0,"",IF(TRIM(IF($C577="","Falta l'actuació. ","")&amp;IF($D577="","Falta l'objectiu. ","")&amp;IF($J577="","Falta el tipus de despesa. ","")&amp;IF(AND($J577&lt;&gt;"",$J577&lt;&gt;"Mitjans propis",$J577&lt;&gt;"Altres",$M577=""),"Falta l'import. ","")&amp;IF(AND($J577="Contracte menor a càrrec del RAE",$K577=""),"Falta la partida RAE. ","")&amp;IF(AND($B577&lt;&gt;"",COUNTIF($B$6:$B$705,$B577)&gt;1),"Codi RAE repetit. ","")&amp;IF(AND($B577&lt;&gt;"",$J577&lt;&gt;"",$J577&lt;&gt;"Contracte menor a càrrec del RAE"),"Té codi RAE però no és de tipus RAE. ","")&amp;IF($N577="","Falta l'indicador del Pla. ","")&amp;IF($R577="","Falta el gestor. ","")&amp;IF($S577="","Falta indicar si és recurrent. ",""))="","✔",TRIM(IF($C577="","Falta l'actuació. ","")&amp;IF($D577="","Falta l'objectiu. ","")&amp;IF($J577="","Falta el tipus de despesa. ","")&amp;IF(AND($J577&lt;&gt;"",$J577&lt;&gt;"Mitjans propis",$J577&lt;&gt;"Altres",$M577=""),"Falta l'import. ","")&amp;IF(AND($J577="Contracte menor a càrrec del RAE",$K577=""),"Falta la partida RAE. ","")&amp;IF(AND($B577&lt;&gt;"",COUNTIF($B$6:$B$705,$B577)&gt;1),"Codi RAE repetit. ","")&amp;IF(AND($B577&lt;&gt;"",$J577&lt;&gt;"",$J577&lt;&gt;"Contracte menor a càrrec del RAE"),"Té codi RAE però no és de tipus RAE. ","")&amp;IF($N577="","Falta l'indicador del Pla. ","")&amp;IF($R577="","Falta el gestor. ","")&amp;IF($S577="","Falta indicar si és recurrent. ",""))))</f>
        <v/>
      </c>
    </row>
    <row r="578">
      <c r="A578" s="10">
        <f>IF($D578="","","27_"&amp;IFERROR(INDEX(Objectius!$E$2:$E$183,MATCH($D578,Objectius!$A$2:$A$183,0)),"??")&amp;"_"&amp;TEXT(COUNTIF($I$6:$I578,$I578),"00"))</f>
        <v/>
      </c>
      <c r="B578" s="11" t="n"/>
      <c r="C578" s="11" t="n"/>
      <c r="D578" s="11" t="n"/>
      <c r="E578" s="10">
        <f>IF($D578="","",IFERROR(INDEX(Objectius!$C$2:$C$183,MATCH($D578,Objectius!$A$2:$A$183,0)),"Objectiu no trobat al Pla"))</f>
        <v/>
      </c>
      <c r="F578" s="11" t="n"/>
      <c r="G578" s="11" t="n"/>
      <c r="H578" s="11" t="n"/>
      <c r="I578" s="10">
        <f>IF($D578="","",IFERROR(INDEX(Objectius!$D$2:$D$183,MATCH($D578,Objectius!$A$2:$A$183,0)),""))</f>
        <v/>
      </c>
      <c r="J578" s="11" t="n"/>
      <c r="K578" s="11" t="n"/>
      <c r="L578" s="11" t="n"/>
      <c r="M578" s="12" t="n"/>
      <c r="N578" s="11" t="n"/>
      <c r="O578" s="10">
        <f>IF($N578="","",IFERROR(INDEX('PLA ESTRATÈGIC'!$G$4:$G$452,MATCH($N578,'PLA ESTRATÈGIC'!$Q$4:$Q$452,0)),""))</f>
        <v/>
      </c>
      <c r="P578" s="10">
        <f>IF($N578="","",IFERROR(INDEX('PLA ESTRATÈGIC'!$H$4:$H$452,MATCH($N578,'PLA ESTRATÈGIC'!$Q$4:$Q$452,0)),""))</f>
        <v/>
      </c>
      <c r="Q578" s="13" t="n"/>
      <c r="R578" s="11" t="n"/>
      <c r="S578" s="11" t="n"/>
      <c r="T578" s="11" t="n"/>
      <c r="U578" s="11" t="n"/>
      <c r="V578" s="10">
        <f>IF(COUNTA($C578,$D578,$J578,$M578)=0,"",IF(TRIM(IF($C578="","Falta l'actuació. ","")&amp;IF($D578="","Falta l'objectiu. ","")&amp;IF($J578="","Falta el tipus de despesa. ","")&amp;IF(AND($J578&lt;&gt;"",$J578&lt;&gt;"Mitjans propis",$J578&lt;&gt;"Altres",$M578=""),"Falta l'import. ","")&amp;IF(AND($J578="Contracte menor a càrrec del RAE",$K578=""),"Falta la partida RAE. ","")&amp;IF(AND($B578&lt;&gt;"",COUNTIF($B$6:$B$705,$B578)&gt;1),"Codi RAE repetit. ","")&amp;IF(AND($B578&lt;&gt;"",$J578&lt;&gt;"",$J578&lt;&gt;"Contracte menor a càrrec del RAE"),"Té codi RAE però no és de tipus RAE. ","")&amp;IF($N578="","Falta l'indicador del Pla. ","")&amp;IF($R578="","Falta el gestor. ","")&amp;IF($S578="","Falta indicar si és recurrent. ",""))="","✔",TRIM(IF($C578="","Falta l'actuació. ","")&amp;IF($D578="","Falta l'objectiu. ","")&amp;IF($J578="","Falta el tipus de despesa. ","")&amp;IF(AND($J578&lt;&gt;"",$J578&lt;&gt;"Mitjans propis",$J578&lt;&gt;"Altres",$M578=""),"Falta l'import. ","")&amp;IF(AND($J578="Contracte menor a càrrec del RAE",$K578=""),"Falta la partida RAE. ","")&amp;IF(AND($B578&lt;&gt;"",COUNTIF($B$6:$B$705,$B578)&gt;1),"Codi RAE repetit. ","")&amp;IF(AND($B578&lt;&gt;"",$J578&lt;&gt;"",$J578&lt;&gt;"Contracte menor a càrrec del RAE"),"Té codi RAE però no és de tipus RAE. ","")&amp;IF($N578="","Falta l'indicador del Pla. ","")&amp;IF($R578="","Falta el gestor. ","")&amp;IF($S578="","Falta indicar si és recurrent. ",""))))</f>
        <v/>
      </c>
    </row>
    <row r="579">
      <c r="A579" s="10">
        <f>IF($D579="","","27_"&amp;IFERROR(INDEX(Objectius!$E$2:$E$183,MATCH($D579,Objectius!$A$2:$A$183,0)),"??")&amp;"_"&amp;TEXT(COUNTIF($I$6:$I579,$I579),"00"))</f>
        <v/>
      </c>
      <c r="B579" s="11" t="n"/>
      <c r="C579" s="11" t="n"/>
      <c r="D579" s="11" t="n"/>
      <c r="E579" s="10">
        <f>IF($D579="","",IFERROR(INDEX(Objectius!$C$2:$C$183,MATCH($D579,Objectius!$A$2:$A$183,0)),"Objectiu no trobat al Pla"))</f>
        <v/>
      </c>
      <c r="F579" s="11" t="n"/>
      <c r="G579" s="11" t="n"/>
      <c r="H579" s="11" t="n"/>
      <c r="I579" s="10">
        <f>IF($D579="","",IFERROR(INDEX(Objectius!$D$2:$D$183,MATCH($D579,Objectius!$A$2:$A$183,0)),""))</f>
        <v/>
      </c>
      <c r="J579" s="11" t="n"/>
      <c r="K579" s="11" t="n"/>
      <c r="L579" s="11" t="n"/>
      <c r="M579" s="12" t="n"/>
      <c r="N579" s="11" t="n"/>
      <c r="O579" s="10">
        <f>IF($N579="","",IFERROR(INDEX('PLA ESTRATÈGIC'!$G$4:$G$452,MATCH($N579,'PLA ESTRATÈGIC'!$Q$4:$Q$452,0)),""))</f>
        <v/>
      </c>
      <c r="P579" s="10">
        <f>IF($N579="","",IFERROR(INDEX('PLA ESTRATÈGIC'!$H$4:$H$452,MATCH($N579,'PLA ESTRATÈGIC'!$Q$4:$Q$452,0)),""))</f>
        <v/>
      </c>
      <c r="Q579" s="13" t="n"/>
      <c r="R579" s="11" t="n"/>
      <c r="S579" s="11" t="n"/>
      <c r="T579" s="11" t="n"/>
      <c r="U579" s="11" t="n"/>
      <c r="V579" s="10">
        <f>IF(COUNTA($C579,$D579,$J579,$M579)=0,"",IF(TRIM(IF($C579="","Falta l'actuació. ","")&amp;IF($D579="","Falta l'objectiu. ","")&amp;IF($J579="","Falta el tipus de despesa. ","")&amp;IF(AND($J579&lt;&gt;"",$J579&lt;&gt;"Mitjans propis",$J579&lt;&gt;"Altres",$M579=""),"Falta l'import. ","")&amp;IF(AND($J579="Contracte menor a càrrec del RAE",$K579=""),"Falta la partida RAE. ","")&amp;IF(AND($B579&lt;&gt;"",COUNTIF($B$6:$B$705,$B579)&gt;1),"Codi RAE repetit. ","")&amp;IF(AND($B579&lt;&gt;"",$J579&lt;&gt;"",$J579&lt;&gt;"Contracte menor a càrrec del RAE"),"Té codi RAE però no és de tipus RAE. ","")&amp;IF($N579="","Falta l'indicador del Pla. ","")&amp;IF($R579="","Falta el gestor. ","")&amp;IF($S579="","Falta indicar si és recurrent. ",""))="","✔",TRIM(IF($C579="","Falta l'actuació. ","")&amp;IF($D579="","Falta l'objectiu. ","")&amp;IF($J579="","Falta el tipus de despesa. ","")&amp;IF(AND($J579&lt;&gt;"",$J579&lt;&gt;"Mitjans propis",$J579&lt;&gt;"Altres",$M579=""),"Falta l'import. ","")&amp;IF(AND($J579="Contracte menor a càrrec del RAE",$K579=""),"Falta la partida RAE. ","")&amp;IF(AND($B579&lt;&gt;"",COUNTIF($B$6:$B$705,$B579)&gt;1),"Codi RAE repetit. ","")&amp;IF(AND($B579&lt;&gt;"",$J579&lt;&gt;"",$J579&lt;&gt;"Contracte menor a càrrec del RAE"),"Té codi RAE però no és de tipus RAE. ","")&amp;IF($N579="","Falta l'indicador del Pla. ","")&amp;IF($R579="","Falta el gestor. ","")&amp;IF($S579="","Falta indicar si és recurrent. ",""))))</f>
        <v/>
      </c>
    </row>
    <row r="580">
      <c r="A580" s="10">
        <f>IF($D580="","","27_"&amp;IFERROR(INDEX(Objectius!$E$2:$E$183,MATCH($D580,Objectius!$A$2:$A$183,0)),"??")&amp;"_"&amp;TEXT(COUNTIF($I$6:$I580,$I580),"00"))</f>
        <v/>
      </c>
      <c r="B580" s="11" t="n"/>
      <c r="C580" s="11" t="n"/>
      <c r="D580" s="11" t="n"/>
      <c r="E580" s="10">
        <f>IF($D580="","",IFERROR(INDEX(Objectius!$C$2:$C$183,MATCH($D580,Objectius!$A$2:$A$183,0)),"Objectiu no trobat al Pla"))</f>
        <v/>
      </c>
      <c r="F580" s="11" t="n"/>
      <c r="G580" s="11" t="n"/>
      <c r="H580" s="11" t="n"/>
      <c r="I580" s="10">
        <f>IF($D580="","",IFERROR(INDEX(Objectius!$D$2:$D$183,MATCH($D580,Objectius!$A$2:$A$183,0)),""))</f>
        <v/>
      </c>
      <c r="J580" s="11" t="n"/>
      <c r="K580" s="11" t="n"/>
      <c r="L580" s="11" t="n"/>
      <c r="M580" s="12" t="n"/>
      <c r="N580" s="11" t="n"/>
      <c r="O580" s="10">
        <f>IF($N580="","",IFERROR(INDEX('PLA ESTRATÈGIC'!$G$4:$G$452,MATCH($N580,'PLA ESTRATÈGIC'!$Q$4:$Q$452,0)),""))</f>
        <v/>
      </c>
      <c r="P580" s="10">
        <f>IF($N580="","",IFERROR(INDEX('PLA ESTRATÈGIC'!$H$4:$H$452,MATCH($N580,'PLA ESTRATÈGIC'!$Q$4:$Q$452,0)),""))</f>
        <v/>
      </c>
      <c r="Q580" s="13" t="n"/>
      <c r="R580" s="11" t="n"/>
      <c r="S580" s="11" t="n"/>
      <c r="T580" s="11" t="n"/>
      <c r="U580" s="11" t="n"/>
      <c r="V580" s="10">
        <f>IF(COUNTA($C580,$D580,$J580,$M580)=0,"",IF(TRIM(IF($C580="","Falta l'actuació. ","")&amp;IF($D580="","Falta l'objectiu. ","")&amp;IF($J580="","Falta el tipus de despesa. ","")&amp;IF(AND($J580&lt;&gt;"",$J580&lt;&gt;"Mitjans propis",$J580&lt;&gt;"Altres",$M580=""),"Falta l'import. ","")&amp;IF(AND($J580="Contracte menor a càrrec del RAE",$K580=""),"Falta la partida RAE. ","")&amp;IF(AND($B580&lt;&gt;"",COUNTIF($B$6:$B$705,$B580)&gt;1),"Codi RAE repetit. ","")&amp;IF(AND($B580&lt;&gt;"",$J580&lt;&gt;"",$J580&lt;&gt;"Contracte menor a càrrec del RAE"),"Té codi RAE però no és de tipus RAE. ","")&amp;IF($N580="","Falta l'indicador del Pla. ","")&amp;IF($R580="","Falta el gestor. ","")&amp;IF($S580="","Falta indicar si és recurrent. ",""))="","✔",TRIM(IF($C580="","Falta l'actuació. ","")&amp;IF($D580="","Falta l'objectiu. ","")&amp;IF($J580="","Falta el tipus de despesa. ","")&amp;IF(AND($J580&lt;&gt;"",$J580&lt;&gt;"Mitjans propis",$J580&lt;&gt;"Altres",$M580=""),"Falta l'import. ","")&amp;IF(AND($J580="Contracte menor a càrrec del RAE",$K580=""),"Falta la partida RAE. ","")&amp;IF(AND($B580&lt;&gt;"",COUNTIF($B$6:$B$705,$B580)&gt;1),"Codi RAE repetit. ","")&amp;IF(AND($B580&lt;&gt;"",$J580&lt;&gt;"",$J580&lt;&gt;"Contracte menor a càrrec del RAE"),"Té codi RAE però no és de tipus RAE. ","")&amp;IF($N580="","Falta l'indicador del Pla. ","")&amp;IF($R580="","Falta el gestor. ","")&amp;IF($S580="","Falta indicar si és recurrent. ",""))))</f>
        <v/>
      </c>
    </row>
    <row r="581">
      <c r="A581" s="10">
        <f>IF($D581="","","27_"&amp;IFERROR(INDEX(Objectius!$E$2:$E$183,MATCH($D581,Objectius!$A$2:$A$183,0)),"??")&amp;"_"&amp;TEXT(COUNTIF($I$6:$I581,$I581),"00"))</f>
        <v/>
      </c>
      <c r="B581" s="11" t="n"/>
      <c r="C581" s="11" t="n"/>
      <c r="D581" s="11" t="n"/>
      <c r="E581" s="10">
        <f>IF($D581="","",IFERROR(INDEX(Objectius!$C$2:$C$183,MATCH($D581,Objectius!$A$2:$A$183,0)),"Objectiu no trobat al Pla"))</f>
        <v/>
      </c>
      <c r="F581" s="11" t="n"/>
      <c r="G581" s="11" t="n"/>
      <c r="H581" s="11" t="n"/>
      <c r="I581" s="10">
        <f>IF($D581="","",IFERROR(INDEX(Objectius!$D$2:$D$183,MATCH($D581,Objectius!$A$2:$A$183,0)),""))</f>
        <v/>
      </c>
      <c r="J581" s="11" t="n"/>
      <c r="K581" s="11" t="n"/>
      <c r="L581" s="11" t="n"/>
      <c r="M581" s="12" t="n"/>
      <c r="N581" s="11" t="n"/>
      <c r="O581" s="10">
        <f>IF($N581="","",IFERROR(INDEX('PLA ESTRATÈGIC'!$G$4:$G$452,MATCH($N581,'PLA ESTRATÈGIC'!$Q$4:$Q$452,0)),""))</f>
        <v/>
      </c>
      <c r="P581" s="10">
        <f>IF($N581="","",IFERROR(INDEX('PLA ESTRATÈGIC'!$H$4:$H$452,MATCH($N581,'PLA ESTRATÈGIC'!$Q$4:$Q$452,0)),""))</f>
        <v/>
      </c>
      <c r="Q581" s="13" t="n"/>
      <c r="R581" s="11" t="n"/>
      <c r="S581" s="11" t="n"/>
      <c r="T581" s="11" t="n"/>
      <c r="U581" s="11" t="n"/>
      <c r="V581" s="10">
        <f>IF(COUNTA($C581,$D581,$J581,$M581)=0,"",IF(TRIM(IF($C581="","Falta l'actuació. ","")&amp;IF($D581="","Falta l'objectiu. ","")&amp;IF($J581="","Falta el tipus de despesa. ","")&amp;IF(AND($J581&lt;&gt;"",$J581&lt;&gt;"Mitjans propis",$J581&lt;&gt;"Altres",$M581=""),"Falta l'import. ","")&amp;IF(AND($J581="Contracte menor a càrrec del RAE",$K581=""),"Falta la partida RAE. ","")&amp;IF(AND($B581&lt;&gt;"",COUNTIF($B$6:$B$705,$B581)&gt;1),"Codi RAE repetit. ","")&amp;IF(AND($B581&lt;&gt;"",$J581&lt;&gt;"",$J581&lt;&gt;"Contracte menor a càrrec del RAE"),"Té codi RAE però no és de tipus RAE. ","")&amp;IF($N581="","Falta l'indicador del Pla. ","")&amp;IF($R581="","Falta el gestor. ","")&amp;IF($S581="","Falta indicar si és recurrent. ",""))="","✔",TRIM(IF($C581="","Falta l'actuació. ","")&amp;IF($D581="","Falta l'objectiu. ","")&amp;IF($J581="","Falta el tipus de despesa. ","")&amp;IF(AND($J581&lt;&gt;"",$J581&lt;&gt;"Mitjans propis",$J581&lt;&gt;"Altres",$M581=""),"Falta l'import. ","")&amp;IF(AND($J581="Contracte menor a càrrec del RAE",$K581=""),"Falta la partida RAE. ","")&amp;IF(AND($B581&lt;&gt;"",COUNTIF($B$6:$B$705,$B581)&gt;1),"Codi RAE repetit. ","")&amp;IF(AND($B581&lt;&gt;"",$J581&lt;&gt;"",$J581&lt;&gt;"Contracte menor a càrrec del RAE"),"Té codi RAE però no és de tipus RAE. ","")&amp;IF($N581="","Falta l'indicador del Pla. ","")&amp;IF($R581="","Falta el gestor. ","")&amp;IF($S581="","Falta indicar si és recurrent. ",""))))</f>
        <v/>
      </c>
    </row>
    <row r="582">
      <c r="A582" s="10">
        <f>IF($D582="","","27_"&amp;IFERROR(INDEX(Objectius!$E$2:$E$183,MATCH($D582,Objectius!$A$2:$A$183,0)),"??")&amp;"_"&amp;TEXT(COUNTIF($I$6:$I582,$I582),"00"))</f>
        <v/>
      </c>
      <c r="B582" s="11" t="n"/>
      <c r="C582" s="11" t="n"/>
      <c r="D582" s="11" t="n"/>
      <c r="E582" s="10">
        <f>IF($D582="","",IFERROR(INDEX(Objectius!$C$2:$C$183,MATCH($D582,Objectius!$A$2:$A$183,0)),"Objectiu no trobat al Pla"))</f>
        <v/>
      </c>
      <c r="F582" s="11" t="n"/>
      <c r="G582" s="11" t="n"/>
      <c r="H582" s="11" t="n"/>
      <c r="I582" s="10">
        <f>IF($D582="","",IFERROR(INDEX(Objectius!$D$2:$D$183,MATCH($D582,Objectius!$A$2:$A$183,0)),""))</f>
        <v/>
      </c>
      <c r="J582" s="11" t="n"/>
      <c r="K582" s="11" t="n"/>
      <c r="L582" s="11" t="n"/>
      <c r="M582" s="12" t="n"/>
      <c r="N582" s="11" t="n"/>
      <c r="O582" s="10">
        <f>IF($N582="","",IFERROR(INDEX('PLA ESTRATÈGIC'!$G$4:$G$452,MATCH($N582,'PLA ESTRATÈGIC'!$Q$4:$Q$452,0)),""))</f>
        <v/>
      </c>
      <c r="P582" s="10">
        <f>IF($N582="","",IFERROR(INDEX('PLA ESTRATÈGIC'!$H$4:$H$452,MATCH($N582,'PLA ESTRATÈGIC'!$Q$4:$Q$452,0)),""))</f>
        <v/>
      </c>
      <c r="Q582" s="13" t="n"/>
      <c r="R582" s="11" t="n"/>
      <c r="S582" s="11" t="n"/>
      <c r="T582" s="11" t="n"/>
      <c r="U582" s="11" t="n"/>
      <c r="V582" s="10">
        <f>IF(COUNTA($C582,$D582,$J582,$M582)=0,"",IF(TRIM(IF($C582="","Falta l'actuació. ","")&amp;IF($D582="","Falta l'objectiu. ","")&amp;IF($J582="","Falta el tipus de despesa. ","")&amp;IF(AND($J582&lt;&gt;"",$J582&lt;&gt;"Mitjans propis",$J582&lt;&gt;"Altres",$M582=""),"Falta l'import. ","")&amp;IF(AND($J582="Contracte menor a càrrec del RAE",$K582=""),"Falta la partida RAE. ","")&amp;IF(AND($B582&lt;&gt;"",COUNTIF($B$6:$B$705,$B582)&gt;1),"Codi RAE repetit. ","")&amp;IF(AND($B582&lt;&gt;"",$J582&lt;&gt;"",$J582&lt;&gt;"Contracte menor a càrrec del RAE"),"Té codi RAE però no és de tipus RAE. ","")&amp;IF($N582="","Falta l'indicador del Pla. ","")&amp;IF($R582="","Falta el gestor. ","")&amp;IF($S582="","Falta indicar si és recurrent. ",""))="","✔",TRIM(IF($C582="","Falta l'actuació. ","")&amp;IF($D582="","Falta l'objectiu. ","")&amp;IF($J582="","Falta el tipus de despesa. ","")&amp;IF(AND($J582&lt;&gt;"",$J582&lt;&gt;"Mitjans propis",$J582&lt;&gt;"Altres",$M582=""),"Falta l'import. ","")&amp;IF(AND($J582="Contracte menor a càrrec del RAE",$K582=""),"Falta la partida RAE. ","")&amp;IF(AND($B582&lt;&gt;"",COUNTIF($B$6:$B$705,$B582)&gt;1),"Codi RAE repetit. ","")&amp;IF(AND($B582&lt;&gt;"",$J582&lt;&gt;"",$J582&lt;&gt;"Contracte menor a càrrec del RAE"),"Té codi RAE però no és de tipus RAE. ","")&amp;IF($N582="","Falta l'indicador del Pla. ","")&amp;IF($R582="","Falta el gestor. ","")&amp;IF($S582="","Falta indicar si és recurrent. ",""))))</f>
        <v/>
      </c>
    </row>
    <row r="583">
      <c r="A583" s="10">
        <f>IF($D583="","","27_"&amp;IFERROR(INDEX(Objectius!$E$2:$E$183,MATCH($D583,Objectius!$A$2:$A$183,0)),"??")&amp;"_"&amp;TEXT(COUNTIF($I$6:$I583,$I583),"00"))</f>
        <v/>
      </c>
      <c r="B583" s="11" t="n"/>
      <c r="C583" s="11" t="n"/>
      <c r="D583" s="11" t="n"/>
      <c r="E583" s="10">
        <f>IF($D583="","",IFERROR(INDEX(Objectius!$C$2:$C$183,MATCH($D583,Objectius!$A$2:$A$183,0)),"Objectiu no trobat al Pla"))</f>
        <v/>
      </c>
      <c r="F583" s="11" t="n"/>
      <c r="G583" s="11" t="n"/>
      <c r="H583" s="11" t="n"/>
      <c r="I583" s="10">
        <f>IF($D583="","",IFERROR(INDEX(Objectius!$D$2:$D$183,MATCH($D583,Objectius!$A$2:$A$183,0)),""))</f>
        <v/>
      </c>
      <c r="J583" s="11" t="n"/>
      <c r="K583" s="11" t="n"/>
      <c r="L583" s="11" t="n"/>
      <c r="M583" s="12" t="n"/>
      <c r="N583" s="11" t="n"/>
      <c r="O583" s="10">
        <f>IF($N583="","",IFERROR(INDEX('PLA ESTRATÈGIC'!$G$4:$G$452,MATCH($N583,'PLA ESTRATÈGIC'!$Q$4:$Q$452,0)),""))</f>
        <v/>
      </c>
      <c r="P583" s="10">
        <f>IF($N583="","",IFERROR(INDEX('PLA ESTRATÈGIC'!$H$4:$H$452,MATCH($N583,'PLA ESTRATÈGIC'!$Q$4:$Q$452,0)),""))</f>
        <v/>
      </c>
      <c r="Q583" s="13" t="n"/>
      <c r="R583" s="11" t="n"/>
      <c r="S583" s="11" t="n"/>
      <c r="T583" s="11" t="n"/>
      <c r="U583" s="11" t="n"/>
      <c r="V583" s="10">
        <f>IF(COUNTA($C583,$D583,$J583,$M583)=0,"",IF(TRIM(IF($C583="","Falta l'actuació. ","")&amp;IF($D583="","Falta l'objectiu. ","")&amp;IF($J583="","Falta el tipus de despesa. ","")&amp;IF(AND($J583&lt;&gt;"",$J583&lt;&gt;"Mitjans propis",$J583&lt;&gt;"Altres",$M583=""),"Falta l'import. ","")&amp;IF(AND($J583="Contracte menor a càrrec del RAE",$K583=""),"Falta la partida RAE. ","")&amp;IF(AND($B583&lt;&gt;"",COUNTIF($B$6:$B$705,$B583)&gt;1),"Codi RAE repetit. ","")&amp;IF(AND($B583&lt;&gt;"",$J583&lt;&gt;"",$J583&lt;&gt;"Contracte menor a càrrec del RAE"),"Té codi RAE però no és de tipus RAE. ","")&amp;IF($N583="","Falta l'indicador del Pla. ","")&amp;IF($R583="","Falta el gestor. ","")&amp;IF($S583="","Falta indicar si és recurrent. ",""))="","✔",TRIM(IF($C583="","Falta l'actuació. ","")&amp;IF($D583="","Falta l'objectiu. ","")&amp;IF($J583="","Falta el tipus de despesa. ","")&amp;IF(AND($J583&lt;&gt;"",$J583&lt;&gt;"Mitjans propis",$J583&lt;&gt;"Altres",$M583=""),"Falta l'import. ","")&amp;IF(AND($J583="Contracte menor a càrrec del RAE",$K583=""),"Falta la partida RAE. ","")&amp;IF(AND($B583&lt;&gt;"",COUNTIF($B$6:$B$705,$B583)&gt;1),"Codi RAE repetit. ","")&amp;IF(AND($B583&lt;&gt;"",$J583&lt;&gt;"",$J583&lt;&gt;"Contracte menor a càrrec del RAE"),"Té codi RAE però no és de tipus RAE. ","")&amp;IF($N583="","Falta l'indicador del Pla. ","")&amp;IF($R583="","Falta el gestor. ","")&amp;IF($S583="","Falta indicar si és recurrent. ",""))))</f>
        <v/>
      </c>
    </row>
    <row r="584">
      <c r="A584" s="10">
        <f>IF($D584="","","27_"&amp;IFERROR(INDEX(Objectius!$E$2:$E$183,MATCH($D584,Objectius!$A$2:$A$183,0)),"??")&amp;"_"&amp;TEXT(COUNTIF($I$6:$I584,$I584),"00"))</f>
        <v/>
      </c>
      <c r="B584" s="11" t="n"/>
      <c r="C584" s="11" t="n"/>
      <c r="D584" s="11" t="n"/>
      <c r="E584" s="10">
        <f>IF($D584="","",IFERROR(INDEX(Objectius!$C$2:$C$183,MATCH($D584,Objectius!$A$2:$A$183,0)),"Objectiu no trobat al Pla"))</f>
        <v/>
      </c>
      <c r="F584" s="11" t="n"/>
      <c r="G584" s="11" t="n"/>
      <c r="H584" s="11" t="n"/>
      <c r="I584" s="10">
        <f>IF($D584="","",IFERROR(INDEX(Objectius!$D$2:$D$183,MATCH($D584,Objectius!$A$2:$A$183,0)),""))</f>
        <v/>
      </c>
      <c r="J584" s="11" t="n"/>
      <c r="K584" s="11" t="n"/>
      <c r="L584" s="11" t="n"/>
      <c r="M584" s="12" t="n"/>
      <c r="N584" s="11" t="n"/>
      <c r="O584" s="10">
        <f>IF($N584="","",IFERROR(INDEX('PLA ESTRATÈGIC'!$G$4:$G$452,MATCH($N584,'PLA ESTRATÈGIC'!$Q$4:$Q$452,0)),""))</f>
        <v/>
      </c>
      <c r="P584" s="10">
        <f>IF($N584="","",IFERROR(INDEX('PLA ESTRATÈGIC'!$H$4:$H$452,MATCH($N584,'PLA ESTRATÈGIC'!$Q$4:$Q$452,0)),""))</f>
        <v/>
      </c>
      <c r="Q584" s="13" t="n"/>
      <c r="R584" s="11" t="n"/>
      <c r="S584" s="11" t="n"/>
      <c r="T584" s="11" t="n"/>
      <c r="U584" s="11" t="n"/>
      <c r="V584" s="10">
        <f>IF(COUNTA($C584,$D584,$J584,$M584)=0,"",IF(TRIM(IF($C584="","Falta l'actuació. ","")&amp;IF($D584="","Falta l'objectiu. ","")&amp;IF($J584="","Falta el tipus de despesa. ","")&amp;IF(AND($J584&lt;&gt;"",$J584&lt;&gt;"Mitjans propis",$J584&lt;&gt;"Altres",$M584=""),"Falta l'import. ","")&amp;IF(AND($J584="Contracte menor a càrrec del RAE",$K584=""),"Falta la partida RAE. ","")&amp;IF(AND($B584&lt;&gt;"",COUNTIF($B$6:$B$705,$B584)&gt;1),"Codi RAE repetit. ","")&amp;IF(AND($B584&lt;&gt;"",$J584&lt;&gt;"",$J584&lt;&gt;"Contracte menor a càrrec del RAE"),"Té codi RAE però no és de tipus RAE. ","")&amp;IF($N584="","Falta l'indicador del Pla. ","")&amp;IF($R584="","Falta el gestor. ","")&amp;IF($S584="","Falta indicar si és recurrent. ",""))="","✔",TRIM(IF($C584="","Falta l'actuació. ","")&amp;IF($D584="","Falta l'objectiu. ","")&amp;IF($J584="","Falta el tipus de despesa. ","")&amp;IF(AND($J584&lt;&gt;"",$J584&lt;&gt;"Mitjans propis",$J584&lt;&gt;"Altres",$M584=""),"Falta l'import. ","")&amp;IF(AND($J584="Contracte menor a càrrec del RAE",$K584=""),"Falta la partida RAE. ","")&amp;IF(AND($B584&lt;&gt;"",COUNTIF($B$6:$B$705,$B584)&gt;1),"Codi RAE repetit. ","")&amp;IF(AND($B584&lt;&gt;"",$J584&lt;&gt;"",$J584&lt;&gt;"Contracte menor a càrrec del RAE"),"Té codi RAE però no és de tipus RAE. ","")&amp;IF($N584="","Falta l'indicador del Pla. ","")&amp;IF($R584="","Falta el gestor. ","")&amp;IF($S584="","Falta indicar si és recurrent. ",""))))</f>
        <v/>
      </c>
    </row>
    <row r="585">
      <c r="A585" s="10">
        <f>IF($D585="","","27_"&amp;IFERROR(INDEX(Objectius!$E$2:$E$183,MATCH($D585,Objectius!$A$2:$A$183,0)),"??")&amp;"_"&amp;TEXT(COUNTIF($I$6:$I585,$I585),"00"))</f>
        <v/>
      </c>
      <c r="B585" s="11" t="n"/>
      <c r="C585" s="11" t="n"/>
      <c r="D585" s="11" t="n"/>
      <c r="E585" s="10">
        <f>IF($D585="","",IFERROR(INDEX(Objectius!$C$2:$C$183,MATCH($D585,Objectius!$A$2:$A$183,0)),"Objectiu no trobat al Pla"))</f>
        <v/>
      </c>
      <c r="F585" s="11" t="n"/>
      <c r="G585" s="11" t="n"/>
      <c r="H585" s="11" t="n"/>
      <c r="I585" s="10">
        <f>IF($D585="","",IFERROR(INDEX(Objectius!$D$2:$D$183,MATCH($D585,Objectius!$A$2:$A$183,0)),""))</f>
        <v/>
      </c>
      <c r="J585" s="11" t="n"/>
      <c r="K585" s="11" t="n"/>
      <c r="L585" s="11" t="n"/>
      <c r="M585" s="12" t="n"/>
      <c r="N585" s="11" t="n"/>
      <c r="O585" s="10">
        <f>IF($N585="","",IFERROR(INDEX('PLA ESTRATÈGIC'!$G$4:$G$452,MATCH($N585,'PLA ESTRATÈGIC'!$Q$4:$Q$452,0)),""))</f>
        <v/>
      </c>
      <c r="P585" s="10">
        <f>IF($N585="","",IFERROR(INDEX('PLA ESTRATÈGIC'!$H$4:$H$452,MATCH($N585,'PLA ESTRATÈGIC'!$Q$4:$Q$452,0)),""))</f>
        <v/>
      </c>
      <c r="Q585" s="13" t="n"/>
      <c r="R585" s="11" t="n"/>
      <c r="S585" s="11" t="n"/>
      <c r="T585" s="11" t="n"/>
      <c r="U585" s="11" t="n"/>
      <c r="V585" s="10">
        <f>IF(COUNTA($C585,$D585,$J585,$M585)=0,"",IF(TRIM(IF($C585="","Falta l'actuació. ","")&amp;IF($D585="","Falta l'objectiu. ","")&amp;IF($J585="","Falta el tipus de despesa. ","")&amp;IF(AND($J585&lt;&gt;"",$J585&lt;&gt;"Mitjans propis",$J585&lt;&gt;"Altres",$M585=""),"Falta l'import. ","")&amp;IF(AND($J585="Contracte menor a càrrec del RAE",$K585=""),"Falta la partida RAE. ","")&amp;IF(AND($B585&lt;&gt;"",COUNTIF($B$6:$B$705,$B585)&gt;1),"Codi RAE repetit. ","")&amp;IF(AND($B585&lt;&gt;"",$J585&lt;&gt;"",$J585&lt;&gt;"Contracte menor a càrrec del RAE"),"Té codi RAE però no és de tipus RAE. ","")&amp;IF($N585="","Falta l'indicador del Pla. ","")&amp;IF($R585="","Falta el gestor. ","")&amp;IF($S585="","Falta indicar si és recurrent. ",""))="","✔",TRIM(IF($C585="","Falta l'actuació. ","")&amp;IF($D585="","Falta l'objectiu. ","")&amp;IF($J585="","Falta el tipus de despesa. ","")&amp;IF(AND($J585&lt;&gt;"",$J585&lt;&gt;"Mitjans propis",$J585&lt;&gt;"Altres",$M585=""),"Falta l'import. ","")&amp;IF(AND($J585="Contracte menor a càrrec del RAE",$K585=""),"Falta la partida RAE. ","")&amp;IF(AND($B585&lt;&gt;"",COUNTIF($B$6:$B$705,$B585)&gt;1),"Codi RAE repetit. ","")&amp;IF(AND($B585&lt;&gt;"",$J585&lt;&gt;"",$J585&lt;&gt;"Contracte menor a càrrec del RAE"),"Té codi RAE però no és de tipus RAE. ","")&amp;IF($N585="","Falta l'indicador del Pla. ","")&amp;IF($R585="","Falta el gestor. ","")&amp;IF($S585="","Falta indicar si és recurrent. ",""))))</f>
        <v/>
      </c>
    </row>
    <row r="586">
      <c r="A586" s="10">
        <f>IF($D586="","","27_"&amp;IFERROR(INDEX(Objectius!$E$2:$E$183,MATCH($D586,Objectius!$A$2:$A$183,0)),"??")&amp;"_"&amp;TEXT(COUNTIF($I$6:$I586,$I586),"00"))</f>
        <v/>
      </c>
      <c r="B586" s="11" t="n"/>
      <c r="C586" s="11" t="n"/>
      <c r="D586" s="11" t="n"/>
      <c r="E586" s="10">
        <f>IF($D586="","",IFERROR(INDEX(Objectius!$C$2:$C$183,MATCH($D586,Objectius!$A$2:$A$183,0)),"Objectiu no trobat al Pla"))</f>
        <v/>
      </c>
      <c r="F586" s="11" t="n"/>
      <c r="G586" s="11" t="n"/>
      <c r="H586" s="11" t="n"/>
      <c r="I586" s="10">
        <f>IF($D586="","",IFERROR(INDEX(Objectius!$D$2:$D$183,MATCH($D586,Objectius!$A$2:$A$183,0)),""))</f>
        <v/>
      </c>
      <c r="J586" s="11" t="n"/>
      <c r="K586" s="11" t="n"/>
      <c r="L586" s="11" t="n"/>
      <c r="M586" s="12" t="n"/>
      <c r="N586" s="11" t="n"/>
      <c r="O586" s="10">
        <f>IF($N586="","",IFERROR(INDEX('PLA ESTRATÈGIC'!$G$4:$G$452,MATCH($N586,'PLA ESTRATÈGIC'!$Q$4:$Q$452,0)),""))</f>
        <v/>
      </c>
      <c r="P586" s="10">
        <f>IF($N586="","",IFERROR(INDEX('PLA ESTRATÈGIC'!$H$4:$H$452,MATCH($N586,'PLA ESTRATÈGIC'!$Q$4:$Q$452,0)),""))</f>
        <v/>
      </c>
      <c r="Q586" s="13" t="n"/>
      <c r="R586" s="11" t="n"/>
      <c r="S586" s="11" t="n"/>
      <c r="T586" s="11" t="n"/>
      <c r="U586" s="11" t="n"/>
      <c r="V586" s="10">
        <f>IF(COUNTA($C586,$D586,$J586,$M586)=0,"",IF(TRIM(IF($C586="","Falta l'actuació. ","")&amp;IF($D586="","Falta l'objectiu. ","")&amp;IF($J586="","Falta el tipus de despesa. ","")&amp;IF(AND($J586&lt;&gt;"",$J586&lt;&gt;"Mitjans propis",$J586&lt;&gt;"Altres",$M586=""),"Falta l'import. ","")&amp;IF(AND($J586="Contracte menor a càrrec del RAE",$K586=""),"Falta la partida RAE. ","")&amp;IF(AND($B586&lt;&gt;"",COUNTIF($B$6:$B$705,$B586)&gt;1),"Codi RAE repetit. ","")&amp;IF(AND($B586&lt;&gt;"",$J586&lt;&gt;"",$J586&lt;&gt;"Contracte menor a càrrec del RAE"),"Té codi RAE però no és de tipus RAE. ","")&amp;IF($N586="","Falta l'indicador del Pla. ","")&amp;IF($R586="","Falta el gestor. ","")&amp;IF($S586="","Falta indicar si és recurrent. ",""))="","✔",TRIM(IF($C586="","Falta l'actuació. ","")&amp;IF($D586="","Falta l'objectiu. ","")&amp;IF($J586="","Falta el tipus de despesa. ","")&amp;IF(AND($J586&lt;&gt;"",$J586&lt;&gt;"Mitjans propis",$J586&lt;&gt;"Altres",$M586=""),"Falta l'import. ","")&amp;IF(AND($J586="Contracte menor a càrrec del RAE",$K586=""),"Falta la partida RAE. ","")&amp;IF(AND($B586&lt;&gt;"",COUNTIF($B$6:$B$705,$B586)&gt;1),"Codi RAE repetit. ","")&amp;IF(AND($B586&lt;&gt;"",$J586&lt;&gt;"",$J586&lt;&gt;"Contracte menor a càrrec del RAE"),"Té codi RAE però no és de tipus RAE. ","")&amp;IF($N586="","Falta l'indicador del Pla. ","")&amp;IF($R586="","Falta el gestor. ","")&amp;IF($S586="","Falta indicar si és recurrent. ",""))))</f>
        <v/>
      </c>
    </row>
    <row r="587">
      <c r="A587" s="10">
        <f>IF($D587="","","27_"&amp;IFERROR(INDEX(Objectius!$E$2:$E$183,MATCH($D587,Objectius!$A$2:$A$183,0)),"??")&amp;"_"&amp;TEXT(COUNTIF($I$6:$I587,$I587),"00"))</f>
        <v/>
      </c>
      <c r="B587" s="11" t="n"/>
      <c r="C587" s="11" t="n"/>
      <c r="D587" s="11" t="n"/>
      <c r="E587" s="10">
        <f>IF($D587="","",IFERROR(INDEX(Objectius!$C$2:$C$183,MATCH($D587,Objectius!$A$2:$A$183,0)),"Objectiu no trobat al Pla"))</f>
        <v/>
      </c>
      <c r="F587" s="11" t="n"/>
      <c r="G587" s="11" t="n"/>
      <c r="H587" s="11" t="n"/>
      <c r="I587" s="10">
        <f>IF($D587="","",IFERROR(INDEX(Objectius!$D$2:$D$183,MATCH($D587,Objectius!$A$2:$A$183,0)),""))</f>
        <v/>
      </c>
      <c r="J587" s="11" t="n"/>
      <c r="K587" s="11" t="n"/>
      <c r="L587" s="11" t="n"/>
      <c r="M587" s="12" t="n"/>
      <c r="N587" s="11" t="n"/>
      <c r="O587" s="10">
        <f>IF($N587="","",IFERROR(INDEX('PLA ESTRATÈGIC'!$G$4:$G$452,MATCH($N587,'PLA ESTRATÈGIC'!$Q$4:$Q$452,0)),""))</f>
        <v/>
      </c>
      <c r="P587" s="10">
        <f>IF($N587="","",IFERROR(INDEX('PLA ESTRATÈGIC'!$H$4:$H$452,MATCH($N587,'PLA ESTRATÈGIC'!$Q$4:$Q$452,0)),""))</f>
        <v/>
      </c>
      <c r="Q587" s="13" t="n"/>
      <c r="R587" s="11" t="n"/>
      <c r="S587" s="11" t="n"/>
      <c r="T587" s="11" t="n"/>
      <c r="U587" s="11" t="n"/>
      <c r="V587" s="10">
        <f>IF(COUNTA($C587,$D587,$J587,$M587)=0,"",IF(TRIM(IF($C587="","Falta l'actuació. ","")&amp;IF($D587="","Falta l'objectiu. ","")&amp;IF($J587="","Falta el tipus de despesa. ","")&amp;IF(AND($J587&lt;&gt;"",$J587&lt;&gt;"Mitjans propis",$J587&lt;&gt;"Altres",$M587=""),"Falta l'import. ","")&amp;IF(AND($J587="Contracte menor a càrrec del RAE",$K587=""),"Falta la partida RAE. ","")&amp;IF(AND($B587&lt;&gt;"",COUNTIF($B$6:$B$705,$B587)&gt;1),"Codi RAE repetit. ","")&amp;IF(AND($B587&lt;&gt;"",$J587&lt;&gt;"",$J587&lt;&gt;"Contracte menor a càrrec del RAE"),"Té codi RAE però no és de tipus RAE. ","")&amp;IF($N587="","Falta l'indicador del Pla. ","")&amp;IF($R587="","Falta el gestor. ","")&amp;IF($S587="","Falta indicar si és recurrent. ",""))="","✔",TRIM(IF($C587="","Falta l'actuació. ","")&amp;IF($D587="","Falta l'objectiu. ","")&amp;IF($J587="","Falta el tipus de despesa. ","")&amp;IF(AND($J587&lt;&gt;"",$J587&lt;&gt;"Mitjans propis",$J587&lt;&gt;"Altres",$M587=""),"Falta l'import. ","")&amp;IF(AND($J587="Contracte menor a càrrec del RAE",$K587=""),"Falta la partida RAE. ","")&amp;IF(AND($B587&lt;&gt;"",COUNTIF($B$6:$B$705,$B587)&gt;1),"Codi RAE repetit. ","")&amp;IF(AND($B587&lt;&gt;"",$J587&lt;&gt;"",$J587&lt;&gt;"Contracte menor a càrrec del RAE"),"Té codi RAE però no és de tipus RAE. ","")&amp;IF($N587="","Falta l'indicador del Pla. ","")&amp;IF($R587="","Falta el gestor. ","")&amp;IF($S587="","Falta indicar si és recurrent. ",""))))</f>
        <v/>
      </c>
    </row>
    <row r="588">
      <c r="A588" s="10">
        <f>IF($D588="","","27_"&amp;IFERROR(INDEX(Objectius!$E$2:$E$183,MATCH($D588,Objectius!$A$2:$A$183,0)),"??")&amp;"_"&amp;TEXT(COUNTIF($I$6:$I588,$I588),"00"))</f>
        <v/>
      </c>
      <c r="B588" s="11" t="n"/>
      <c r="C588" s="11" t="n"/>
      <c r="D588" s="11" t="n"/>
      <c r="E588" s="10">
        <f>IF($D588="","",IFERROR(INDEX(Objectius!$C$2:$C$183,MATCH($D588,Objectius!$A$2:$A$183,0)),"Objectiu no trobat al Pla"))</f>
        <v/>
      </c>
      <c r="F588" s="11" t="n"/>
      <c r="G588" s="11" t="n"/>
      <c r="H588" s="11" t="n"/>
      <c r="I588" s="10">
        <f>IF($D588="","",IFERROR(INDEX(Objectius!$D$2:$D$183,MATCH($D588,Objectius!$A$2:$A$183,0)),""))</f>
        <v/>
      </c>
      <c r="J588" s="11" t="n"/>
      <c r="K588" s="11" t="n"/>
      <c r="L588" s="11" t="n"/>
      <c r="M588" s="12" t="n"/>
      <c r="N588" s="11" t="n"/>
      <c r="O588" s="10">
        <f>IF($N588="","",IFERROR(INDEX('PLA ESTRATÈGIC'!$G$4:$G$452,MATCH($N588,'PLA ESTRATÈGIC'!$Q$4:$Q$452,0)),""))</f>
        <v/>
      </c>
      <c r="P588" s="10">
        <f>IF($N588="","",IFERROR(INDEX('PLA ESTRATÈGIC'!$H$4:$H$452,MATCH($N588,'PLA ESTRATÈGIC'!$Q$4:$Q$452,0)),""))</f>
        <v/>
      </c>
      <c r="Q588" s="13" t="n"/>
      <c r="R588" s="11" t="n"/>
      <c r="S588" s="11" t="n"/>
      <c r="T588" s="11" t="n"/>
      <c r="U588" s="11" t="n"/>
      <c r="V588" s="10">
        <f>IF(COUNTA($C588,$D588,$J588,$M588)=0,"",IF(TRIM(IF($C588="","Falta l'actuació. ","")&amp;IF($D588="","Falta l'objectiu. ","")&amp;IF($J588="","Falta el tipus de despesa. ","")&amp;IF(AND($J588&lt;&gt;"",$J588&lt;&gt;"Mitjans propis",$J588&lt;&gt;"Altres",$M588=""),"Falta l'import. ","")&amp;IF(AND($J588="Contracte menor a càrrec del RAE",$K588=""),"Falta la partida RAE. ","")&amp;IF(AND($B588&lt;&gt;"",COUNTIF($B$6:$B$705,$B588)&gt;1),"Codi RAE repetit. ","")&amp;IF(AND($B588&lt;&gt;"",$J588&lt;&gt;"",$J588&lt;&gt;"Contracte menor a càrrec del RAE"),"Té codi RAE però no és de tipus RAE. ","")&amp;IF($N588="","Falta l'indicador del Pla. ","")&amp;IF($R588="","Falta el gestor. ","")&amp;IF($S588="","Falta indicar si és recurrent. ",""))="","✔",TRIM(IF($C588="","Falta l'actuació. ","")&amp;IF($D588="","Falta l'objectiu. ","")&amp;IF($J588="","Falta el tipus de despesa. ","")&amp;IF(AND($J588&lt;&gt;"",$J588&lt;&gt;"Mitjans propis",$J588&lt;&gt;"Altres",$M588=""),"Falta l'import. ","")&amp;IF(AND($J588="Contracte menor a càrrec del RAE",$K588=""),"Falta la partida RAE. ","")&amp;IF(AND($B588&lt;&gt;"",COUNTIF($B$6:$B$705,$B588)&gt;1),"Codi RAE repetit. ","")&amp;IF(AND($B588&lt;&gt;"",$J588&lt;&gt;"",$J588&lt;&gt;"Contracte menor a càrrec del RAE"),"Té codi RAE però no és de tipus RAE. ","")&amp;IF($N588="","Falta l'indicador del Pla. ","")&amp;IF($R588="","Falta el gestor. ","")&amp;IF($S588="","Falta indicar si és recurrent. ",""))))</f>
        <v/>
      </c>
    </row>
    <row r="589">
      <c r="A589" s="10">
        <f>IF($D589="","","27_"&amp;IFERROR(INDEX(Objectius!$E$2:$E$183,MATCH($D589,Objectius!$A$2:$A$183,0)),"??")&amp;"_"&amp;TEXT(COUNTIF($I$6:$I589,$I589),"00"))</f>
        <v/>
      </c>
      <c r="B589" s="11" t="n"/>
      <c r="C589" s="11" t="n"/>
      <c r="D589" s="11" t="n"/>
      <c r="E589" s="10">
        <f>IF($D589="","",IFERROR(INDEX(Objectius!$C$2:$C$183,MATCH($D589,Objectius!$A$2:$A$183,0)),"Objectiu no trobat al Pla"))</f>
        <v/>
      </c>
      <c r="F589" s="11" t="n"/>
      <c r="G589" s="11" t="n"/>
      <c r="H589" s="11" t="n"/>
      <c r="I589" s="10">
        <f>IF($D589="","",IFERROR(INDEX(Objectius!$D$2:$D$183,MATCH($D589,Objectius!$A$2:$A$183,0)),""))</f>
        <v/>
      </c>
      <c r="J589" s="11" t="n"/>
      <c r="K589" s="11" t="n"/>
      <c r="L589" s="11" t="n"/>
      <c r="M589" s="12" t="n"/>
      <c r="N589" s="11" t="n"/>
      <c r="O589" s="10">
        <f>IF($N589="","",IFERROR(INDEX('PLA ESTRATÈGIC'!$G$4:$G$452,MATCH($N589,'PLA ESTRATÈGIC'!$Q$4:$Q$452,0)),""))</f>
        <v/>
      </c>
      <c r="P589" s="10">
        <f>IF($N589="","",IFERROR(INDEX('PLA ESTRATÈGIC'!$H$4:$H$452,MATCH($N589,'PLA ESTRATÈGIC'!$Q$4:$Q$452,0)),""))</f>
        <v/>
      </c>
      <c r="Q589" s="13" t="n"/>
      <c r="R589" s="11" t="n"/>
      <c r="S589" s="11" t="n"/>
      <c r="T589" s="11" t="n"/>
      <c r="U589" s="11" t="n"/>
      <c r="V589" s="10">
        <f>IF(COUNTA($C589,$D589,$J589,$M589)=0,"",IF(TRIM(IF($C589="","Falta l'actuació. ","")&amp;IF($D589="","Falta l'objectiu. ","")&amp;IF($J589="","Falta el tipus de despesa. ","")&amp;IF(AND($J589&lt;&gt;"",$J589&lt;&gt;"Mitjans propis",$J589&lt;&gt;"Altres",$M589=""),"Falta l'import. ","")&amp;IF(AND($J589="Contracte menor a càrrec del RAE",$K589=""),"Falta la partida RAE. ","")&amp;IF(AND($B589&lt;&gt;"",COUNTIF($B$6:$B$705,$B589)&gt;1),"Codi RAE repetit. ","")&amp;IF(AND($B589&lt;&gt;"",$J589&lt;&gt;"",$J589&lt;&gt;"Contracte menor a càrrec del RAE"),"Té codi RAE però no és de tipus RAE. ","")&amp;IF($N589="","Falta l'indicador del Pla. ","")&amp;IF($R589="","Falta el gestor. ","")&amp;IF($S589="","Falta indicar si és recurrent. ",""))="","✔",TRIM(IF($C589="","Falta l'actuació. ","")&amp;IF($D589="","Falta l'objectiu. ","")&amp;IF($J589="","Falta el tipus de despesa. ","")&amp;IF(AND($J589&lt;&gt;"",$J589&lt;&gt;"Mitjans propis",$J589&lt;&gt;"Altres",$M589=""),"Falta l'import. ","")&amp;IF(AND($J589="Contracte menor a càrrec del RAE",$K589=""),"Falta la partida RAE. ","")&amp;IF(AND($B589&lt;&gt;"",COUNTIF($B$6:$B$705,$B589)&gt;1),"Codi RAE repetit. ","")&amp;IF(AND($B589&lt;&gt;"",$J589&lt;&gt;"",$J589&lt;&gt;"Contracte menor a càrrec del RAE"),"Té codi RAE però no és de tipus RAE. ","")&amp;IF($N589="","Falta l'indicador del Pla. ","")&amp;IF($R589="","Falta el gestor. ","")&amp;IF($S589="","Falta indicar si és recurrent. ",""))))</f>
        <v/>
      </c>
    </row>
    <row r="590">
      <c r="A590" s="10">
        <f>IF($D590="","","27_"&amp;IFERROR(INDEX(Objectius!$E$2:$E$183,MATCH($D590,Objectius!$A$2:$A$183,0)),"??")&amp;"_"&amp;TEXT(COUNTIF($I$6:$I590,$I590),"00"))</f>
        <v/>
      </c>
      <c r="B590" s="11" t="n"/>
      <c r="C590" s="11" t="n"/>
      <c r="D590" s="11" t="n"/>
      <c r="E590" s="10">
        <f>IF($D590="","",IFERROR(INDEX(Objectius!$C$2:$C$183,MATCH($D590,Objectius!$A$2:$A$183,0)),"Objectiu no trobat al Pla"))</f>
        <v/>
      </c>
      <c r="F590" s="11" t="n"/>
      <c r="G590" s="11" t="n"/>
      <c r="H590" s="11" t="n"/>
      <c r="I590" s="10">
        <f>IF($D590="","",IFERROR(INDEX(Objectius!$D$2:$D$183,MATCH($D590,Objectius!$A$2:$A$183,0)),""))</f>
        <v/>
      </c>
      <c r="J590" s="11" t="n"/>
      <c r="K590" s="11" t="n"/>
      <c r="L590" s="11" t="n"/>
      <c r="M590" s="12" t="n"/>
      <c r="N590" s="11" t="n"/>
      <c r="O590" s="10">
        <f>IF($N590="","",IFERROR(INDEX('PLA ESTRATÈGIC'!$G$4:$G$452,MATCH($N590,'PLA ESTRATÈGIC'!$Q$4:$Q$452,0)),""))</f>
        <v/>
      </c>
      <c r="P590" s="10">
        <f>IF($N590="","",IFERROR(INDEX('PLA ESTRATÈGIC'!$H$4:$H$452,MATCH($N590,'PLA ESTRATÈGIC'!$Q$4:$Q$452,0)),""))</f>
        <v/>
      </c>
      <c r="Q590" s="13" t="n"/>
      <c r="R590" s="11" t="n"/>
      <c r="S590" s="11" t="n"/>
      <c r="T590" s="11" t="n"/>
      <c r="U590" s="11" t="n"/>
      <c r="V590" s="10">
        <f>IF(COUNTA($C590,$D590,$J590,$M590)=0,"",IF(TRIM(IF($C590="","Falta l'actuació. ","")&amp;IF($D590="","Falta l'objectiu. ","")&amp;IF($J590="","Falta el tipus de despesa. ","")&amp;IF(AND($J590&lt;&gt;"",$J590&lt;&gt;"Mitjans propis",$J590&lt;&gt;"Altres",$M590=""),"Falta l'import. ","")&amp;IF(AND($J590="Contracte menor a càrrec del RAE",$K590=""),"Falta la partida RAE. ","")&amp;IF(AND($B590&lt;&gt;"",COUNTIF($B$6:$B$705,$B590)&gt;1),"Codi RAE repetit. ","")&amp;IF(AND($B590&lt;&gt;"",$J590&lt;&gt;"",$J590&lt;&gt;"Contracte menor a càrrec del RAE"),"Té codi RAE però no és de tipus RAE. ","")&amp;IF($N590="","Falta l'indicador del Pla. ","")&amp;IF($R590="","Falta el gestor. ","")&amp;IF($S590="","Falta indicar si és recurrent. ",""))="","✔",TRIM(IF($C590="","Falta l'actuació. ","")&amp;IF($D590="","Falta l'objectiu. ","")&amp;IF($J590="","Falta el tipus de despesa. ","")&amp;IF(AND($J590&lt;&gt;"",$J590&lt;&gt;"Mitjans propis",$J590&lt;&gt;"Altres",$M590=""),"Falta l'import. ","")&amp;IF(AND($J590="Contracte menor a càrrec del RAE",$K590=""),"Falta la partida RAE. ","")&amp;IF(AND($B590&lt;&gt;"",COUNTIF($B$6:$B$705,$B590)&gt;1),"Codi RAE repetit. ","")&amp;IF(AND($B590&lt;&gt;"",$J590&lt;&gt;"",$J590&lt;&gt;"Contracte menor a càrrec del RAE"),"Té codi RAE però no és de tipus RAE. ","")&amp;IF($N590="","Falta l'indicador del Pla. ","")&amp;IF($R590="","Falta el gestor. ","")&amp;IF($S590="","Falta indicar si és recurrent. ",""))))</f>
        <v/>
      </c>
    </row>
    <row r="591">
      <c r="A591" s="10">
        <f>IF($D591="","","27_"&amp;IFERROR(INDEX(Objectius!$E$2:$E$183,MATCH($D591,Objectius!$A$2:$A$183,0)),"??")&amp;"_"&amp;TEXT(COUNTIF($I$6:$I591,$I591),"00"))</f>
        <v/>
      </c>
      <c r="B591" s="11" t="n"/>
      <c r="C591" s="11" t="n"/>
      <c r="D591" s="11" t="n"/>
      <c r="E591" s="10">
        <f>IF($D591="","",IFERROR(INDEX(Objectius!$C$2:$C$183,MATCH($D591,Objectius!$A$2:$A$183,0)),"Objectiu no trobat al Pla"))</f>
        <v/>
      </c>
      <c r="F591" s="11" t="n"/>
      <c r="G591" s="11" t="n"/>
      <c r="H591" s="11" t="n"/>
      <c r="I591" s="10">
        <f>IF($D591="","",IFERROR(INDEX(Objectius!$D$2:$D$183,MATCH($D591,Objectius!$A$2:$A$183,0)),""))</f>
        <v/>
      </c>
      <c r="J591" s="11" t="n"/>
      <c r="K591" s="11" t="n"/>
      <c r="L591" s="11" t="n"/>
      <c r="M591" s="12" t="n"/>
      <c r="N591" s="11" t="n"/>
      <c r="O591" s="10">
        <f>IF($N591="","",IFERROR(INDEX('PLA ESTRATÈGIC'!$G$4:$G$452,MATCH($N591,'PLA ESTRATÈGIC'!$Q$4:$Q$452,0)),""))</f>
        <v/>
      </c>
      <c r="P591" s="10">
        <f>IF($N591="","",IFERROR(INDEX('PLA ESTRATÈGIC'!$H$4:$H$452,MATCH($N591,'PLA ESTRATÈGIC'!$Q$4:$Q$452,0)),""))</f>
        <v/>
      </c>
      <c r="Q591" s="13" t="n"/>
      <c r="R591" s="11" t="n"/>
      <c r="S591" s="11" t="n"/>
      <c r="T591" s="11" t="n"/>
      <c r="U591" s="11" t="n"/>
      <c r="V591" s="10">
        <f>IF(COUNTA($C591,$D591,$J591,$M591)=0,"",IF(TRIM(IF($C591="","Falta l'actuació. ","")&amp;IF($D591="","Falta l'objectiu. ","")&amp;IF($J591="","Falta el tipus de despesa. ","")&amp;IF(AND($J591&lt;&gt;"",$J591&lt;&gt;"Mitjans propis",$J591&lt;&gt;"Altres",$M591=""),"Falta l'import. ","")&amp;IF(AND($J591="Contracte menor a càrrec del RAE",$K591=""),"Falta la partida RAE. ","")&amp;IF(AND($B591&lt;&gt;"",COUNTIF($B$6:$B$705,$B591)&gt;1),"Codi RAE repetit. ","")&amp;IF(AND($B591&lt;&gt;"",$J591&lt;&gt;"",$J591&lt;&gt;"Contracte menor a càrrec del RAE"),"Té codi RAE però no és de tipus RAE. ","")&amp;IF($N591="","Falta l'indicador del Pla. ","")&amp;IF($R591="","Falta el gestor. ","")&amp;IF($S591="","Falta indicar si és recurrent. ",""))="","✔",TRIM(IF($C591="","Falta l'actuació. ","")&amp;IF($D591="","Falta l'objectiu. ","")&amp;IF($J591="","Falta el tipus de despesa. ","")&amp;IF(AND($J591&lt;&gt;"",$J591&lt;&gt;"Mitjans propis",$J591&lt;&gt;"Altres",$M591=""),"Falta l'import. ","")&amp;IF(AND($J591="Contracte menor a càrrec del RAE",$K591=""),"Falta la partida RAE. ","")&amp;IF(AND($B591&lt;&gt;"",COUNTIF($B$6:$B$705,$B591)&gt;1),"Codi RAE repetit. ","")&amp;IF(AND($B591&lt;&gt;"",$J591&lt;&gt;"",$J591&lt;&gt;"Contracte menor a càrrec del RAE"),"Té codi RAE però no és de tipus RAE. ","")&amp;IF($N591="","Falta l'indicador del Pla. ","")&amp;IF($R591="","Falta el gestor. ","")&amp;IF($S591="","Falta indicar si és recurrent. ",""))))</f>
        <v/>
      </c>
    </row>
    <row r="592">
      <c r="A592" s="10">
        <f>IF($D592="","","27_"&amp;IFERROR(INDEX(Objectius!$E$2:$E$183,MATCH($D592,Objectius!$A$2:$A$183,0)),"??")&amp;"_"&amp;TEXT(COUNTIF($I$6:$I592,$I592),"00"))</f>
        <v/>
      </c>
      <c r="B592" s="11" t="n"/>
      <c r="C592" s="11" t="n"/>
      <c r="D592" s="11" t="n"/>
      <c r="E592" s="10">
        <f>IF($D592="","",IFERROR(INDEX(Objectius!$C$2:$C$183,MATCH($D592,Objectius!$A$2:$A$183,0)),"Objectiu no trobat al Pla"))</f>
        <v/>
      </c>
      <c r="F592" s="11" t="n"/>
      <c r="G592" s="11" t="n"/>
      <c r="H592" s="11" t="n"/>
      <c r="I592" s="10">
        <f>IF($D592="","",IFERROR(INDEX(Objectius!$D$2:$D$183,MATCH($D592,Objectius!$A$2:$A$183,0)),""))</f>
        <v/>
      </c>
      <c r="J592" s="11" t="n"/>
      <c r="K592" s="11" t="n"/>
      <c r="L592" s="11" t="n"/>
      <c r="M592" s="12" t="n"/>
      <c r="N592" s="11" t="n"/>
      <c r="O592" s="10">
        <f>IF($N592="","",IFERROR(INDEX('PLA ESTRATÈGIC'!$G$4:$G$452,MATCH($N592,'PLA ESTRATÈGIC'!$Q$4:$Q$452,0)),""))</f>
        <v/>
      </c>
      <c r="P592" s="10">
        <f>IF($N592="","",IFERROR(INDEX('PLA ESTRATÈGIC'!$H$4:$H$452,MATCH($N592,'PLA ESTRATÈGIC'!$Q$4:$Q$452,0)),""))</f>
        <v/>
      </c>
      <c r="Q592" s="13" t="n"/>
      <c r="R592" s="11" t="n"/>
      <c r="S592" s="11" t="n"/>
      <c r="T592" s="11" t="n"/>
      <c r="U592" s="11" t="n"/>
      <c r="V592" s="10">
        <f>IF(COUNTA($C592,$D592,$J592,$M592)=0,"",IF(TRIM(IF($C592="","Falta l'actuació. ","")&amp;IF($D592="","Falta l'objectiu. ","")&amp;IF($J592="","Falta el tipus de despesa. ","")&amp;IF(AND($J592&lt;&gt;"",$J592&lt;&gt;"Mitjans propis",$J592&lt;&gt;"Altres",$M592=""),"Falta l'import. ","")&amp;IF(AND($J592="Contracte menor a càrrec del RAE",$K592=""),"Falta la partida RAE. ","")&amp;IF(AND($B592&lt;&gt;"",COUNTIF($B$6:$B$705,$B592)&gt;1),"Codi RAE repetit. ","")&amp;IF(AND($B592&lt;&gt;"",$J592&lt;&gt;"",$J592&lt;&gt;"Contracte menor a càrrec del RAE"),"Té codi RAE però no és de tipus RAE. ","")&amp;IF($N592="","Falta l'indicador del Pla. ","")&amp;IF($R592="","Falta el gestor. ","")&amp;IF($S592="","Falta indicar si és recurrent. ",""))="","✔",TRIM(IF($C592="","Falta l'actuació. ","")&amp;IF($D592="","Falta l'objectiu. ","")&amp;IF($J592="","Falta el tipus de despesa. ","")&amp;IF(AND($J592&lt;&gt;"",$J592&lt;&gt;"Mitjans propis",$J592&lt;&gt;"Altres",$M592=""),"Falta l'import. ","")&amp;IF(AND($J592="Contracte menor a càrrec del RAE",$K592=""),"Falta la partida RAE. ","")&amp;IF(AND($B592&lt;&gt;"",COUNTIF($B$6:$B$705,$B592)&gt;1),"Codi RAE repetit. ","")&amp;IF(AND($B592&lt;&gt;"",$J592&lt;&gt;"",$J592&lt;&gt;"Contracte menor a càrrec del RAE"),"Té codi RAE però no és de tipus RAE. ","")&amp;IF($N592="","Falta l'indicador del Pla. ","")&amp;IF($R592="","Falta el gestor. ","")&amp;IF($S592="","Falta indicar si és recurrent. ",""))))</f>
        <v/>
      </c>
    </row>
    <row r="593">
      <c r="A593" s="10">
        <f>IF($D593="","","27_"&amp;IFERROR(INDEX(Objectius!$E$2:$E$183,MATCH($D593,Objectius!$A$2:$A$183,0)),"??")&amp;"_"&amp;TEXT(COUNTIF($I$6:$I593,$I593),"00"))</f>
        <v/>
      </c>
      <c r="B593" s="11" t="n"/>
      <c r="C593" s="11" t="n"/>
      <c r="D593" s="11" t="n"/>
      <c r="E593" s="10">
        <f>IF($D593="","",IFERROR(INDEX(Objectius!$C$2:$C$183,MATCH($D593,Objectius!$A$2:$A$183,0)),"Objectiu no trobat al Pla"))</f>
        <v/>
      </c>
      <c r="F593" s="11" t="n"/>
      <c r="G593" s="11" t="n"/>
      <c r="H593" s="11" t="n"/>
      <c r="I593" s="10">
        <f>IF($D593="","",IFERROR(INDEX(Objectius!$D$2:$D$183,MATCH($D593,Objectius!$A$2:$A$183,0)),""))</f>
        <v/>
      </c>
      <c r="J593" s="11" t="n"/>
      <c r="K593" s="11" t="n"/>
      <c r="L593" s="11" t="n"/>
      <c r="M593" s="12" t="n"/>
      <c r="N593" s="11" t="n"/>
      <c r="O593" s="10">
        <f>IF($N593="","",IFERROR(INDEX('PLA ESTRATÈGIC'!$G$4:$G$452,MATCH($N593,'PLA ESTRATÈGIC'!$Q$4:$Q$452,0)),""))</f>
        <v/>
      </c>
      <c r="P593" s="10">
        <f>IF($N593="","",IFERROR(INDEX('PLA ESTRATÈGIC'!$H$4:$H$452,MATCH($N593,'PLA ESTRATÈGIC'!$Q$4:$Q$452,0)),""))</f>
        <v/>
      </c>
      <c r="Q593" s="13" t="n"/>
      <c r="R593" s="11" t="n"/>
      <c r="S593" s="11" t="n"/>
      <c r="T593" s="11" t="n"/>
      <c r="U593" s="11" t="n"/>
      <c r="V593" s="10">
        <f>IF(COUNTA($C593,$D593,$J593,$M593)=0,"",IF(TRIM(IF($C593="","Falta l'actuació. ","")&amp;IF($D593="","Falta l'objectiu. ","")&amp;IF($J593="","Falta el tipus de despesa. ","")&amp;IF(AND($J593&lt;&gt;"",$J593&lt;&gt;"Mitjans propis",$J593&lt;&gt;"Altres",$M593=""),"Falta l'import. ","")&amp;IF(AND($J593="Contracte menor a càrrec del RAE",$K593=""),"Falta la partida RAE. ","")&amp;IF(AND($B593&lt;&gt;"",COUNTIF($B$6:$B$705,$B593)&gt;1),"Codi RAE repetit. ","")&amp;IF(AND($B593&lt;&gt;"",$J593&lt;&gt;"",$J593&lt;&gt;"Contracte menor a càrrec del RAE"),"Té codi RAE però no és de tipus RAE. ","")&amp;IF($N593="","Falta l'indicador del Pla. ","")&amp;IF($R593="","Falta el gestor. ","")&amp;IF($S593="","Falta indicar si és recurrent. ",""))="","✔",TRIM(IF($C593="","Falta l'actuació. ","")&amp;IF($D593="","Falta l'objectiu. ","")&amp;IF($J593="","Falta el tipus de despesa. ","")&amp;IF(AND($J593&lt;&gt;"",$J593&lt;&gt;"Mitjans propis",$J593&lt;&gt;"Altres",$M593=""),"Falta l'import. ","")&amp;IF(AND($J593="Contracte menor a càrrec del RAE",$K593=""),"Falta la partida RAE. ","")&amp;IF(AND($B593&lt;&gt;"",COUNTIF($B$6:$B$705,$B593)&gt;1),"Codi RAE repetit. ","")&amp;IF(AND($B593&lt;&gt;"",$J593&lt;&gt;"",$J593&lt;&gt;"Contracte menor a càrrec del RAE"),"Té codi RAE però no és de tipus RAE. ","")&amp;IF($N593="","Falta l'indicador del Pla. ","")&amp;IF($R593="","Falta el gestor. ","")&amp;IF($S593="","Falta indicar si és recurrent. ",""))))</f>
        <v/>
      </c>
    </row>
    <row r="594">
      <c r="A594" s="10">
        <f>IF($D594="","","27_"&amp;IFERROR(INDEX(Objectius!$E$2:$E$183,MATCH($D594,Objectius!$A$2:$A$183,0)),"??")&amp;"_"&amp;TEXT(COUNTIF($I$6:$I594,$I594),"00"))</f>
        <v/>
      </c>
      <c r="B594" s="11" t="n"/>
      <c r="C594" s="11" t="n"/>
      <c r="D594" s="11" t="n"/>
      <c r="E594" s="10">
        <f>IF($D594="","",IFERROR(INDEX(Objectius!$C$2:$C$183,MATCH($D594,Objectius!$A$2:$A$183,0)),"Objectiu no trobat al Pla"))</f>
        <v/>
      </c>
      <c r="F594" s="11" t="n"/>
      <c r="G594" s="11" t="n"/>
      <c r="H594" s="11" t="n"/>
      <c r="I594" s="10">
        <f>IF($D594="","",IFERROR(INDEX(Objectius!$D$2:$D$183,MATCH($D594,Objectius!$A$2:$A$183,0)),""))</f>
        <v/>
      </c>
      <c r="J594" s="11" t="n"/>
      <c r="K594" s="11" t="n"/>
      <c r="L594" s="11" t="n"/>
      <c r="M594" s="12" t="n"/>
      <c r="N594" s="11" t="n"/>
      <c r="O594" s="10">
        <f>IF($N594="","",IFERROR(INDEX('PLA ESTRATÈGIC'!$G$4:$G$452,MATCH($N594,'PLA ESTRATÈGIC'!$Q$4:$Q$452,0)),""))</f>
        <v/>
      </c>
      <c r="P594" s="10">
        <f>IF($N594="","",IFERROR(INDEX('PLA ESTRATÈGIC'!$H$4:$H$452,MATCH($N594,'PLA ESTRATÈGIC'!$Q$4:$Q$452,0)),""))</f>
        <v/>
      </c>
      <c r="Q594" s="13" t="n"/>
      <c r="R594" s="11" t="n"/>
      <c r="S594" s="11" t="n"/>
      <c r="T594" s="11" t="n"/>
      <c r="U594" s="11" t="n"/>
      <c r="V594" s="10">
        <f>IF(COUNTA($C594,$D594,$J594,$M594)=0,"",IF(TRIM(IF($C594="","Falta l'actuació. ","")&amp;IF($D594="","Falta l'objectiu. ","")&amp;IF($J594="","Falta el tipus de despesa. ","")&amp;IF(AND($J594&lt;&gt;"",$J594&lt;&gt;"Mitjans propis",$J594&lt;&gt;"Altres",$M594=""),"Falta l'import. ","")&amp;IF(AND($J594="Contracte menor a càrrec del RAE",$K594=""),"Falta la partida RAE. ","")&amp;IF(AND($B594&lt;&gt;"",COUNTIF($B$6:$B$705,$B594)&gt;1),"Codi RAE repetit. ","")&amp;IF(AND($B594&lt;&gt;"",$J594&lt;&gt;"",$J594&lt;&gt;"Contracte menor a càrrec del RAE"),"Té codi RAE però no és de tipus RAE. ","")&amp;IF($N594="","Falta l'indicador del Pla. ","")&amp;IF($R594="","Falta el gestor. ","")&amp;IF($S594="","Falta indicar si és recurrent. ",""))="","✔",TRIM(IF($C594="","Falta l'actuació. ","")&amp;IF($D594="","Falta l'objectiu. ","")&amp;IF($J594="","Falta el tipus de despesa. ","")&amp;IF(AND($J594&lt;&gt;"",$J594&lt;&gt;"Mitjans propis",$J594&lt;&gt;"Altres",$M594=""),"Falta l'import. ","")&amp;IF(AND($J594="Contracte menor a càrrec del RAE",$K594=""),"Falta la partida RAE. ","")&amp;IF(AND($B594&lt;&gt;"",COUNTIF($B$6:$B$705,$B594)&gt;1),"Codi RAE repetit. ","")&amp;IF(AND($B594&lt;&gt;"",$J594&lt;&gt;"",$J594&lt;&gt;"Contracte menor a càrrec del RAE"),"Té codi RAE però no és de tipus RAE. ","")&amp;IF($N594="","Falta l'indicador del Pla. ","")&amp;IF($R594="","Falta el gestor. ","")&amp;IF($S594="","Falta indicar si és recurrent. ",""))))</f>
        <v/>
      </c>
    </row>
    <row r="595">
      <c r="A595" s="10">
        <f>IF($D595="","","27_"&amp;IFERROR(INDEX(Objectius!$E$2:$E$183,MATCH($D595,Objectius!$A$2:$A$183,0)),"??")&amp;"_"&amp;TEXT(COUNTIF($I$6:$I595,$I595),"00"))</f>
        <v/>
      </c>
      <c r="B595" s="11" t="n"/>
      <c r="C595" s="11" t="n"/>
      <c r="D595" s="11" t="n"/>
      <c r="E595" s="10">
        <f>IF($D595="","",IFERROR(INDEX(Objectius!$C$2:$C$183,MATCH($D595,Objectius!$A$2:$A$183,0)),"Objectiu no trobat al Pla"))</f>
        <v/>
      </c>
      <c r="F595" s="11" t="n"/>
      <c r="G595" s="11" t="n"/>
      <c r="H595" s="11" t="n"/>
      <c r="I595" s="10">
        <f>IF($D595="","",IFERROR(INDEX(Objectius!$D$2:$D$183,MATCH($D595,Objectius!$A$2:$A$183,0)),""))</f>
        <v/>
      </c>
      <c r="J595" s="11" t="n"/>
      <c r="K595" s="11" t="n"/>
      <c r="L595" s="11" t="n"/>
      <c r="M595" s="12" t="n"/>
      <c r="N595" s="11" t="n"/>
      <c r="O595" s="10">
        <f>IF($N595="","",IFERROR(INDEX('PLA ESTRATÈGIC'!$G$4:$G$452,MATCH($N595,'PLA ESTRATÈGIC'!$Q$4:$Q$452,0)),""))</f>
        <v/>
      </c>
      <c r="P595" s="10">
        <f>IF($N595="","",IFERROR(INDEX('PLA ESTRATÈGIC'!$H$4:$H$452,MATCH($N595,'PLA ESTRATÈGIC'!$Q$4:$Q$452,0)),""))</f>
        <v/>
      </c>
      <c r="Q595" s="13" t="n"/>
      <c r="R595" s="11" t="n"/>
      <c r="S595" s="11" t="n"/>
      <c r="T595" s="11" t="n"/>
      <c r="U595" s="11" t="n"/>
      <c r="V595" s="10">
        <f>IF(COUNTA($C595,$D595,$J595,$M595)=0,"",IF(TRIM(IF($C595="","Falta l'actuació. ","")&amp;IF($D595="","Falta l'objectiu. ","")&amp;IF($J595="","Falta el tipus de despesa. ","")&amp;IF(AND($J595&lt;&gt;"",$J595&lt;&gt;"Mitjans propis",$J595&lt;&gt;"Altres",$M595=""),"Falta l'import. ","")&amp;IF(AND($J595="Contracte menor a càrrec del RAE",$K595=""),"Falta la partida RAE. ","")&amp;IF(AND($B595&lt;&gt;"",COUNTIF($B$6:$B$705,$B595)&gt;1),"Codi RAE repetit. ","")&amp;IF(AND($B595&lt;&gt;"",$J595&lt;&gt;"",$J595&lt;&gt;"Contracte menor a càrrec del RAE"),"Té codi RAE però no és de tipus RAE. ","")&amp;IF($N595="","Falta l'indicador del Pla. ","")&amp;IF($R595="","Falta el gestor. ","")&amp;IF($S595="","Falta indicar si és recurrent. ",""))="","✔",TRIM(IF($C595="","Falta l'actuació. ","")&amp;IF($D595="","Falta l'objectiu. ","")&amp;IF($J595="","Falta el tipus de despesa. ","")&amp;IF(AND($J595&lt;&gt;"",$J595&lt;&gt;"Mitjans propis",$J595&lt;&gt;"Altres",$M595=""),"Falta l'import. ","")&amp;IF(AND($J595="Contracte menor a càrrec del RAE",$K595=""),"Falta la partida RAE. ","")&amp;IF(AND($B595&lt;&gt;"",COUNTIF($B$6:$B$705,$B595)&gt;1),"Codi RAE repetit. ","")&amp;IF(AND($B595&lt;&gt;"",$J595&lt;&gt;"",$J595&lt;&gt;"Contracte menor a càrrec del RAE"),"Té codi RAE però no és de tipus RAE. ","")&amp;IF($N595="","Falta l'indicador del Pla. ","")&amp;IF($R595="","Falta el gestor. ","")&amp;IF($S595="","Falta indicar si és recurrent. ",""))))</f>
        <v/>
      </c>
    </row>
    <row r="596">
      <c r="A596" s="10">
        <f>IF($D596="","","27_"&amp;IFERROR(INDEX(Objectius!$E$2:$E$183,MATCH($D596,Objectius!$A$2:$A$183,0)),"??")&amp;"_"&amp;TEXT(COUNTIF($I$6:$I596,$I596),"00"))</f>
        <v/>
      </c>
      <c r="B596" s="11" t="n"/>
      <c r="C596" s="11" t="n"/>
      <c r="D596" s="11" t="n"/>
      <c r="E596" s="10">
        <f>IF($D596="","",IFERROR(INDEX(Objectius!$C$2:$C$183,MATCH($D596,Objectius!$A$2:$A$183,0)),"Objectiu no trobat al Pla"))</f>
        <v/>
      </c>
      <c r="F596" s="11" t="n"/>
      <c r="G596" s="11" t="n"/>
      <c r="H596" s="11" t="n"/>
      <c r="I596" s="10">
        <f>IF($D596="","",IFERROR(INDEX(Objectius!$D$2:$D$183,MATCH($D596,Objectius!$A$2:$A$183,0)),""))</f>
        <v/>
      </c>
      <c r="J596" s="11" t="n"/>
      <c r="K596" s="11" t="n"/>
      <c r="L596" s="11" t="n"/>
      <c r="M596" s="12" t="n"/>
      <c r="N596" s="11" t="n"/>
      <c r="O596" s="10">
        <f>IF($N596="","",IFERROR(INDEX('PLA ESTRATÈGIC'!$G$4:$G$452,MATCH($N596,'PLA ESTRATÈGIC'!$Q$4:$Q$452,0)),""))</f>
        <v/>
      </c>
      <c r="P596" s="10">
        <f>IF($N596="","",IFERROR(INDEX('PLA ESTRATÈGIC'!$H$4:$H$452,MATCH($N596,'PLA ESTRATÈGIC'!$Q$4:$Q$452,0)),""))</f>
        <v/>
      </c>
      <c r="Q596" s="13" t="n"/>
      <c r="R596" s="11" t="n"/>
      <c r="S596" s="11" t="n"/>
      <c r="T596" s="11" t="n"/>
      <c r="U596" s="11" t="n"/>
      <c r="V596" s="10">
        <f>IF(COUNTA($C596,$D596,$J596,$M596)=0,"",IF(TRIM(IF($C596="","Falta l'actuació. ","")&amp;IF($D596="","Falta l'objectiu. ","")&amp;IF($J596="","Falta el tipus de despesa. ","")&amp;IF(AND($J596&lt;&gt;"",$J596&lt;&gt;"Mitjans propis",$J596&lt;&gt;"Altres",$M596=""),"Falta l'import. ","")&amp;IF(AND($J596="Contracte menor a càrrec del RAE",$K596=""),"Falta la partida RAE. ","")&amp;IF(AND($B596&lt;&gt;"",COUNTIF($B$6:$B$705,$B596)&gt;1),"Codi RAE repetit. ","")&amp;IF(AND($B596&lt;&gt;"",$J596&lt;&gt;"",$J596&lt;&gt;"Contracte menor a càrrec del RAE"),"Té codi RAE però no és de tipus RAE. ","")&amp;IF($N596="","Falta l'indicador del Pla. ","")&amp;IF($R596="","Falta el gestor. ","")&amp;IF($S596="","Falta indicar si és recurrent. ",""))="","✔",TRIM(IF($C596="","Falta l'actuació. ","")&amp;IF($D596="","Falta l'objectiu. ","")&amp;IF($J596="","Falta el tipus de despesa. ","")&amp;IF(AND($J596&lt;&gt;"",$J596&lt;&gt;"Mitjans propis",$J596&lt;&gt;"Altres",$M596=""),"Falta l'import. ","")&amp;IF(AND($J596="Contracte menor a càrrec del RAE",$K596=""),"Falta la partida RAE. ","")&amp;IF(AND($B596&lt;&gt;"",COUNTIF($B$6:$B$705,$B596)&gt;1),"Codi RAE repetit. ","")&amp;IF(AND($B596&lt;&gt;"",$J596&lt;&gt;"",$J596&lt;&gt;"Contracte menor a càrrec del RAE"),"Té codi RAE però no és de tipus RAE. ","")&amp;IF($N596="","Falta l'indicador del Pla. ","")&amp;IF($R596="","Falta el gestor. ","")&amp;IF($S596="","Falta indicar si és recurrent. ",""))))</f>
        <v/>
      </c>
    </row>
    <row r="597">
      <c r="A597" s="10">
        <f>IF($D597="","","27_"&amp;IFERROR(INDEX(Objectius!$E$2:$E$183,MATCH($D597,Objectius!$A$2:$A$183,0)),"??")&amp;"_"&amp;TEXT(COUNTIF($I$6:$I597,$I597),"00"))</f>
        <v/>
      </c>
      <c r="B597" s="11" t="n"/>
      <c r="C597" s="11" t="n"/>
      <c r="D597" s="11" t="n"/>
      <c r="E597" s="10">
        <f>IF($D597="","",IFERROR(INDEX(Objectius!$C$2:$C$183,MATCH($D597,Objectius!$A$2:$A$183,0)),"Objectiu no trobat al Pla"))</f>
        <v/>
      </c>
      <c r="F597" s="11" t="n"/>
      <c r="G597" s="11" t="n"/>
      <c r="H597" s="11" t="n"/>
      <c r="I597" s="10">
        <f>IF($D597="","",IFERROR(INDEX(Objectius!$D$2:$D$183,MATCH($D597,Objectius!$A$2:$A$183,0)),""))</f>
        <v/>
      </c>
      <c r="J597" s="11" t="n"/>
      <c r="K597" s="11" t="n"/>
      <c r="L597" s="11" t="n"/>
      <c r="M597" s="12" t="n"/>
      <c r="N597" s="11" t="n"/>
      <c r="O597" s="10">
        <f>IF($N597="","",IFERROR(INDEX('PLA ESTRATÈGIC'!$G$4:$G$452,MATCH($N597,'PLA ESTRATÈGIC'!$Q$4:$Q$452,0)),""))</f>
        <v/>
      </c>
      <c r="P597" s="10">
        <f>IF($N597="","",IFERROR(INDEX('PLA ESTRATÈGIC'!$H$4:$H$452,MATCH($N597,'PLA ESTRATÈGIC'!$Q$4:$Q$452,0)),""))</f>
        <v/>
      </c>
      <c r="Q597" s="13" t="n"/>
      <c r="R597" s="11" t="n"/>
      <c r="S597" s="11" t="n"/>
      <c r="T597" s="11" t="n"/>
      <c r="U597" s="11" t="n"/>
      <c r="V597" s="10">
        <f>IF(COUNTA($C597,$D597,$J597,$M597)=0,"",IF(TRIM(IF($C597="","Falta l'actuació. ","")&amp;IF($D597="","Falta l'objectiu. ","")&amp;IF($J597="","Falta el tipus de despesa. ","")&amp;IF(AND($J597&lt;&gt;"",$J597&lt;&gt;"Mitjans propis",$J597&lt;&gt;"Altres",$M597=""),"Falta l'import. ","")&amp;IF(AND($J597="Contracte menor a càrrec del RAE",$K597=""),"Falta la partida RAE. ","")&amp;IF(AND($B597&lt;&gt;"",COUNTIF($B$6:$B$705,$B597)&gt;1),"Codi RAE repetit. ","")&amp;IF(AND($B597&lt;&gt;"",$J597&lt;&gt;"",$J597&lt;&gt;"Contracte menor a càrrec del RAE"),"Té codi RAE però no és de tipus RAE. ","")&amp;IF($N597="","Falta l'indicador del Pla. ","")&amp;IF($R597="","Falta el gestor. ","")&amp;IF($S597="","Falta indicar si és recurrent. ",""))="","✔",TRIM(IF($C597="","Falta l'actuació. ","")&amp;IF($D597="","Falta l'objectiu. ","")&amp;IF($J597="","Falta el tipus de despesa. ","")&amp;IF(AND($J597&lt;&gt;"",$J597&lt;&gt;"Mitjans propis",$J597&lt;&gt;"Altres",$M597=""),"Falta l'import. ","")&amp;IF(AND($J597="Contracte menor a càrrec del RAE",$K597=""),"Falta la partida RAE. ","")&amp;IF(AND($B597&lt;&gt;"",COUNTIF($B$6:$B$705,$B597)&gt;1),"Codi RAE repetit. ","")&amp;IF(AND($B597&lt;&gt;"",$J597&lt;&gt;"",$J597&lt;&gt;"Contracte menor a càrrec del RAE"),"Té codi RAE però no és de tipus RAE. ","")&amp;IF($N597="","Falta l'indicador del Pla. ","")&amp;IF($R597="","Falta el gestor. ","")&amp;IF($S597="","Falta indicar si és recurrent. ",""))))</f>
        <v/>
      </c>
    </row>
    <row r="598">
      <c r="A598" s="10">
        <f>IF($D598="","","27_"&amp;IFERROR(INDEX(Objectius!$E$2:$E$183,MATCH($D598,Objectius!$A$2:$A$183,0)),"??")&amp;"_"&amp;TEXT(COUNTIF($I$6:$I598,$I598),"00"))</f>
        <v/>
      </c>
      <c r="B598" s="11" t="n"/>
      <c r="C598" s="11" t="n"/>
      <c r="D598" s="11" t="n"/>
      <c r="E598" s="10">
        <f>IF($D598="","",IFERROR(INDEX(Objectius!$C$2:$C$183,MATCH($D598,Objectius!$A$2:$A$183,0)),"Objectiu no trobat al Pla"))</f>
        <v/>
      </c>
      <c r="F598" s="11" t="n"/>
      <c r="G598" s="11" t="n"/>
      <c r="H598" s="11" t="n"/>
      <c r="I598" s="10">
        <f>IF($D598="","",IFERROR(INDEX(Objectius!$D$2:$D$183,MATCH($D598,Objectius!$A$2:$A$183,0)),""))</f>
        <v/>
      </c>
      <c r="J598" s="11" t="n"/>
      <c r="K598" s="11" t="n"/>
      <c r="L598" s="11" t="n"/>
      <c r="M598" s="12" t="n"/>
      <c r="N598" s="11" t="n"/>
      <c r="O598" s="10">
        <f>IF($N598="","",IFERROR(INDEX('PLA ESTRATÈGIC'!$G$4:$G$452,MATCH($N598,'PLA ESTRATÈGIC'!$Q$4:$Q$452,0)),""))</f>
        <v/>
      </c>
      <c r="P598" s="10">
        <f>IF($N598="","",IFERROR(INDEX('PLA ESTRATÈGIC'!$H$4:$H$452,MATCH($N598,'PLA ESTRATÈGIC'!$Q$4:$Q$452,0)),""))</f>
        <v/>
      </c>
      <c r="Q598" s="13" t="n"/>
      <c r="R598" s="11" t="n"/>
      <c r="S598" s="11" t="n"/>
      <c r="T598" s="11" t="n"/>
      <c r="U598" s="11" t="n"/>
      <c r="V598" s="10">
        <f>IF(COUNTA($C598,$D598,$J598,$M598)=0,"",IF(TRIM(IF($C598="","Falta l'actuació. ","")&amp;IF($D598="","Falta l'objectiu. ","")&amp;IF($J598="","Falta el tipus de despesa. ","")&amp;IF(AND($J598&lt;&gt;"",$J598&lt;&gt;"Mitjans propis",$J598&lt;&gt;"Altres",$M598=""),"Falta l'import. ","")&amp;IF(AND($J598="Contracte menor a càrrec del RAE",$K598=""),"Falta la partida RAE. ","")&amp;IF(AND($B598&lt;&gt;"",COUNTIF($B$6:$B$705,$B598)&gt;1),"Codi RAE repetit. ","")&amp;IF(AND($B598&lt;&gt;"",$J598&lt;&gt;"",$J598&lt;&gt;"Contracte menor a càrrec del RAE"),"Té codi RAE però no és de tipus RAE. ","")&amp;IF($N598="","Falta l'indicador del Pla. ","")&amp;IF($R598="","Falta el gestor. ","")&amp;IF($S598="","Falta indicar si és recurrent. ",""))="","✔",TRIM(IF($C598="","Falta l'actuació. ","")&amp;IF($D598="","Falta l'objectiu. ","")&amp;IF($J598="","Falta el tipus de despesa. ","")&amp;IF(AND($J598&lt;&gt;"",$J598&lt;&gt;"Mitjans propis",$J598&lt;&gt;"Altres",$M598=""),"Falta l'import. ","")&amp;IF(AND($J598="Contracte menor a càrrec del RAE",$K598=""),"Falta la partida RAE. ","")&amp;IF(AND($B598&lt;&gt;"",COUNTIF($B$6:$B$705,$B598)&gt;1),"Codi RAE repetit. ","")&amp;IF(AND($B598&lt;&gt;"",$J598&lt;&gt;"",$J598&lt;&gt;"Contracte menor a càrrec del RAE"),"Té codi RAE però no és de tipus RAE. ","")&amp;IF($N598="","Falta l'indicador del Pla. ","")&amp;IF($R598="","Falta el gestor. ","")&amp;IF($S598="","Falta indicar si és recurrent. ",""))))</f>
        <v/>
      </c>
    </row>
    <row r="599">
      <c r="A599" s="10">
        <f>IF($D599="","","27_"&amp;IFERROR(INDEX(Objectius!$E$2:$E$183,MATCH($D599,Objectius!$A$2:$A$183,0)),"??")&amp;"_"&amp;TEXT(COUNTIF($I$6:$I599,$I599),"00"))</f>
        <v/>
      </c>
      <c r="B599" s="11" t="n"/>
      <c r="C599" s="11" t="n"/>
      <c r="D599" s="11" t="n"/>
      <c r="E599" s="10">
        <f>IF($D599="","",IFERROR(INDEX(Objectius!$C$2:$C$183,MATCH($D599,Objectius!$A$2:$A$183,0)),"Objectiu no trobat al Pla"))</f>
        <v/>
      </c>
      <c r="F599" s="11" t="n"/>
      <c r="G599" s="11" t="n"/>
      <c r="H599" s="11" t="n"/>
      <c r="I599" s="10">
        <f>IF($D599="","",IFERROR(INDEX(Objectius!$D$2:$D$183,MATCH($D599,Objectius!$A$2:$A$183,0)),""))</f>
        <v/>
      </c>
      <c r="J599" s="11" t="n"/>
      <c r="K599" s="11" t="n"/>
      <c r="L599" s="11" t="n"/>
      <c r="M599" s="12" t="n"/>
      <c r="N599" s="11" t="n"/>
      <c r="O599" s="10">
        <f>IF($N599="","",IFERROR(INDEX('PLA ESTRATÈGIC'!$G$4:$G$452,MATCH($N599,'PLA ESTRATÈGIC'!$Q$4:$Q$452,0)),""))</f>
        <v/>
      </c>
      <c r="P599" s="10">
        <f>IF($N599="","",IFERROR(INDEX('PLA ESTRATÈGIC'!$H$4:$H$452,MATCH($N599,'PLA ESTRATÈGIC'!$Q$4:$Q$452,0)),""))</f>
        <v/>
      </c>
      <c r="Q599" s="13" t="n"/>
      <c r="R599" s="11" t="n"/>
      <c r="S599" s="11" t="n"/>
      <c r="T599" s="11" t="n"/>
      <c r="U599" s="11" t="n"/>
      <c r="V599" s="10">
        <f>IF(COUNTA($C599,$D599,$J599,$M599)=0,"",IF(TRIM(IF($C599="","Falta l'actuació. ","")&amp;IF($D599="","Falta l'objectiu. ","")&amp;IF($J599="","Falta el tipus de despesa. ","")&amp;IF(AND($J599&lt;&gt;"",$J599&lt;&gt;"Mitjans propis",$J599&lt;&gt;"Altres",$M599=""),"Falta l'import. ","")&amp;IF(AND($J599="Contracte menor a càrrec del RAE",$K599=""),"Falta la partida RAE. ","")&amp;IF(AND($B599&lt;&gt;"",COUNTIF($B$6:$B$705,$B599)&gt;1),"Codi RAE repetit. ","")&amp;IF(AND($B599&lt;&gt;"",$J599&lt;&gt;"",$J599&lt;&gt;"Contracte menor a càrrec del RAE"),"Té codi RAE però no és de tipus RAE. ","")&amp;IF($N599="","Falta l'indicador del Pla. ","")&amp;IF($R599="","Falta el gestor. ","")&amp;IF($S599="","Falta indicar si és recurrent. ",""))="","✔",TRIM(IF($C599="","Falta l'actuació. ","")&amp;IF($D599="","Falta l'objectiu. ","")&amp;IF($J599="","Falta el tipus de despesa. ","")&amp;IF(AND($J599&lt;&gt;"",$J599&lt;&gt;"Mitjans propis",$J599&lt;&gt;"Altres",$M599=""),"Falta l'import. ","")&amp;IF(AND($J599="Contracte menor a càrrec del RAE",$K599=""),"Falta la partida RAE. ","")&amp;IF(AND($B599&lt;&gt;"",COUNTIF($B$6:$B$705,$B599)&gt;1),"Codi RAE repetit. ","")&amp;IF(AND($B599&lt;&gt;"",$J599&lt;&gt;"",$J599&lt;&gt;"Contracte menor a càrrec del RAE"),"Té codi RAE però no és de tipus RAE. ","")&amp;IF($N599="","Falta l'indicador del Pla. ","")&amp;IF($R599="","Falta el gestor. ","")&amp;IF($S599="","Falta indicar si és recurrent. ",""))))</f>
        <v/>
      </c>
    </row>
    <row r="600">
      <c r="A600" s="10">
        <f>IF($D600="","","27_"&amp;IFERROR(INDEX(Objectius!$E$2:$E$183,MATCH($D600,Objectius!$A$2:$A$183,0)),"??")&amp;"_"&amp;TEXT(COUNTIF($I$6:$I600,$I600),"00"))</f>
        <v/>
      </c>
      <c r="B600" s="11" t="n"/>
      <c r="C600" s="11" t="n"/>
      <c r="D600" s="11" t="n"/>
      <c r="E600" s="10">
        <f>IF($D600="","",IFERROR(INDEX(Objectius!$C$2:$C$183,MATCH($D600,Objectius!$A$2:$A$183,0)),"Objectiu no trobat al Pla"))</f>
        <v/>
      </c>
      <c r="F600" s="11" t="n"/>
      <c r="G600" s="11" t="n"/>
      <c r="H600" s="11" t="n"/>
      <c r="I600" s="10">
        <f>IF($D600="","",IFERROR(INDEX(Objectius!$D$2:$D$183,MATCH($D600,Objectius!$A$2:$A$183,0)),""))</f>
        <v/>
      </c>
      <c r="J600" s="11" t="n"/>
      <c r="K600" s="11" t="n"/>
      <c r="L600" s="11" t="n"/>
      <c r="M600" s="12" t="n"/>
      <c r="N600" s="11" t="n"/>
      <c r="O600" s="10">
        <f>IF($N600="","",IFERROR(INDEX('PLA ESTRATÈGIC'!$G$4:$G$452,MATCH($N600,'PLA ESTRATÈGIC'!$Q$4:$Q$452,0)),""))</f>
        <v/>
      </c>
      <c r="P600" s="10">
        <f>IF($N600="","",IFERROR(INDEX('PLA ESTRATÈGIC'!$H$4:$H$452,MATCH($N600,'PLA ESTRATÈGIC'!$Q$4:$Q$452,0)),""))</f>
        <v/>
      </c>
      <c r="Q600" s="13" t="n"/>
      <c r="R600" s="11" t="n"/>
      <c r="S600" s="11" t="n"/>
      <c r="T600" s="11" t="n"/>
      <c r="U600" s="11" t="n"/>
      <c r="V600" s="10">
        <f>IF(COUNTA($C600,$D600,$J600,$M600)=0,"",IF(TRIM(IF($C600="","Falta l'actuació. ","")&amp;IF($D600="","Falta l'objectiu. ","")&amp;IF($J600="","Falta el tipus de despesa. ","")&amp;IF(AND($J600&lt;&gt;"",$J600&lt;&gt;"Mitjans propis",$J600&lt;&gt;"Altres",$M600=""),"Falta l'import. ","")&amp;IF(AND($J600="Contracte menor a càrrec del RAE",$K600=""),"Falta la partida RAE. ","")&amp;IF(AND($B600&lt;&gt;"",COUNTIF($B$6:$B$705,$B600)&gt;1),"Codi RAE repetit. ","")&amp;IF(AND($B600&lt;&gt;"",$J600&lt;&gt;"",$J600&lt;&gt;"Contracte menor a càrrec del RAE"),"Té codi RAE però no és de tipus RAE. ","")&amp;IF($N600="","Falta l'indicador del Pla. ","")&amp;IF($R600="","Falta el gestor. ","")&amp;IF($S600="","Falta indicar si és recurrent. ",""))="","✔",TRIM(IF($C600="","Falta l'actuació. ","")&amp;IF($D600="","Falta l'objectiu. ","")&amp;IF($J600="","Falta el tipus de despesa. ","")&amp;IF(AND($J600&lt;&gt;"",$J600&lt;&gt;"Mitjans propis",$J600&lt;&gt;"Altres",$M600=""),"Falta l'import. ","")&amp;IF(AND($J600="Contracte menor a càrrec del RAE",$K600=""),"Falta la partida RAE. ","")&amp;IF(AND($B600&lt;&gt;"",COUNTIF($B$6:$B$705,$B600)&gt;1),"Codi RAE repetit. ","")&amp;IF(AND($B600&lt;&gt;"",$J600&lt;&gt;"",$J600&lt;&gt;"Contracte menor a càrrec del RAE"),"Té codi RAE però no és de tipus RAE. ","")&amp;IF($N600="","Falta l'indicador del Pla. ","")&amp;IF($R600="","Falta el gestor. ","")&amp;IF($S600="","Falta indicar si és recurrent. ",""))))</f>
        <v/>
      </c>
    </row>
    <row r="601">
      <c r="A601" s="10">
        <f>IF($D601="","","27_"&amp;IFERROR(INDEX(Objectius!$E$2:$E$183,MATCH($D601,Objectius!$A$2:$A$183,0)),"??")&amp;"_"&amp;TEXT(COUNTIF($I$6:$I601,$I601),"00"))</f>
        <v/>
      </c>
      <c r="B601" s="11" t="n"/>
      <c r="C601" s="11" t="n"/>
      <c r="D601" s="11" t="n"/>
      <c r="E601" s="10">
        <f>IF($D601="","",IFERROR(INDEX(Objectius!$C$2:$C$183,MATCH($D601,Objectius!$A$2:$A$183,0)),"Objectiu no trobat al Pla"))</f>
        <v/>
      </c>
      <c r="F601" s="11" t="n"/>
      <c r="G601" s="11" t="n"/>
      <c r="H601" s="11" t="n"/>
      <c r="I601" s="10">
        <f>IF($D601="","",IFERROR(INDEX(Objectius!$D$2:$D$183,MATCH($D601,Objectius!$A$2:$A$183,0)),""))</f>
        <v/>
      </c>
      <c r="J601" s="11" t="n"/>
      <c r="K601" s="11" t="n"/>
      <c r="L601" s="11" t="n"/>
      <c r="M601" s="12" t="n"/>
      <c r="N601" s="11" t="n"/>
      <c r="O601" s="10">
        <f>IF($N601="","",IFERROR(INDEX('PLA ESTRATÈGIC'!$G$4:$G$452,MATCH($N601,'PLA ESTRATÈGIC'!$Q$4:$Q$452,0)),""))</f>
        <v/>
      </c>
      <c r="P601" s="10">
        <f>IF($N601="","",IFERROR(INDEX('PLA ESTRATÈGIC'!$H$4:$H$452,MATCH($N601,'PLA ESTRATÈGIC'!$Q$4:$Q$452,0)),""))</f>
        <v/>
      </c>
      <c r="Q601" s="13" t="n"/>
      <c r="R601" s="11" t="n"/>
      <c r="S601" s="11" t="n"/>
      <c r="T601" s="11" t="n"/>
      <c r="U601" s="11" t="n"/>
      <c r="V601" s="10">
        <f>IF(COUNTA($C601,$D601,$J601,$M601)=0,"",IF(TRIM(IF($C601="","Falta l'actuació. ","")&amp;IF($D601="","Falta l'objectiu. ","")&amp;IF($J601="","Falta el tipus de despesa. ","")&amp;IF(AND($J601&lt;&gt;"",$J601&lt;&gt;"Mitjans propis",$J601&lt;&gt;"Altres",$M601=""),"Falta l'import. ","")&amp;IF(AND($J601="Contracte menor a càrrec del RAE",$K601=""),"Falta la partida RAE. ","")&amp;IF(AND($B601&lt;&gt;"",COUNTIF($B$6:$B$705,$B601)&gt;1),"Codi RAE repetit. ","")&amp;IF(AND($B601&lt;&gt;"",$J601&lt;&gt;"",$J601&lt;&gt;"Contracte menor a càrrec del RAE"),"Té codi RAE però no és de tipus RAE. ","")&amp;IF($N601="","Falta l'indicador del Pla. ","")&amp;IF($R601="","Falta el gestor. ","")&amp;IF($S601="","Falta indicar si és recurrent. ",""))="","✔",TRIM(IF($C601="","Falta l'actuació. ","")&amp;IF($D601="","Falta l'objectiu. ","")&amp;IF($J601="","Falta el tipus de despesa. ","")&amp;IF(AND($J601&lt;&gt;"",$J601&lt;&gt;"Mitjans propis",$J601&lt;&gt;"Altres",$M601=""),"Falta l'import. ","")&amp;IF(AND($J601="Contracte menor a càrrec del RAE",$K601=""),"Falta la partida RAE. ","")&amp;IF(AND($B601&lt;&gt;"",COUNTIF($B$6:$B$705,$B601)&gt;1),"Codi RAE repetit. ","")&amp;IF(AND($B601&lt;&gt;"",$J601&lt;&gt;"",$J601&lt;&gt;"Contracte menor a càrrec del RAE"),"Té codi RAE però no és de tipus RAE. ","")&amp;IF($N601="","Falta l'indicador del Pla. ","")&amp;IF($R601="","Falta el gestor. ","")&amp;IF($S601="","Falta indicar si és recurrent. ",""))))</f>
        <v/>
      </c>
    </row>
    <row r="602">
      <c r="A602" s="10">
        <f>IF($D602="","","27_"&amp;IFERROR(INDEX(Objectius!$E$2:$E$183,MATCH($D602,Objectius!$A$2:$A$183,0)),"??")&amp;"_"&amp;TEXT(COUNTIF($I$6:$I602,$I602),"00"))</f>
        <v/>
      </c>
      <c r="B602" s="11" t="n"/>
      <c r="C602" s="11" t="n"/>
      <c r="D602" s="11" t="n"/>
      <c r="E602" s="10">
        <f>IF($D602="","",IFERROR(INDEX(Objectius!$C$2:$C$183,MATCH($D602,Objectius!$A$2:$A$183,0)),"Objectiu no trobat al Pla"))</f>
        <v/>
      </c>
      <c r="F602" s="11" t="n"/>
      <c r="G602" s="11" t="n"/>
      <c r="H602" s="11" t="n"/>
      <c r="I602" s="10">
        <f>IF($D602="","",IFERROR(INDEX(Objectius!$D$2:$D$183,MATCH($D602,Objectius!$A$2:$A$183,0)),""))</f>
        <v/>
      </c>
      <c r="J602" s="11" t="n"/>
      <c r="K602" s="11" t="n"/>
      <c r="L602" s="11" t="n"/>
      <c r="M602" s="12" t="n"/>
      <c r="N602" s="11" t="n"/>
      <c r="O602" s="10">
        <f>IF($N602="","",IFERROR(INDEX('PLA ESTRATÈGIC'!$G$4:$G$452,MATCH($N602,'PLA ESTRATÈGIC'!$Q$4:$Q$452,0)),""))</f>
        <v/>
      </c>
      <c r="P602" s="10">
        <f>IF($N602="","",IFERROR(INDEX('PLA ESTRATÈGIC'!$H$4:$H$452,MATCH($N602,'PLA ESTRATÈGIC'!$Q$4:$Q$452,0)),""))</f>
        <v/>
      </c>
      <c r="Q602" s="13" t="n"/>
      <c r="R602" s="11" t="n"/>
      <c r="S602" s="11" t="n"/>
      <c r="T602" s="11" t="n"/>
      <c r="U602" s="11" t="n"/>
      <c r="V602" s="10">
        <f>IF(COUNTA($C602,$D602,$J602,$M602)=0,"",IF(TRIM(IF($C602="","Falta l'actuació. ","")&amp;IF($D602="","Falta l'objectiu. ","")&amp;IF($J602="","Falta el tipus de despesa. ","")&amp;IF(AND($J602&lt;&gt;"",$J602&lt;&gt;"Mitjans propis",$J602&lt;&gt;"Altres",$M602=""),"Falta l'import. ","")&amp;IF(AND($J602="Contracte menor a càrrec del RAE",$K602=""),"Falta la partida RAE. ","")&amp;IF(AND($B602&lt;&gt;"",COUNTIF($B$6:$B$705,$B602)&gt;1),"Codi RAE repetit. ","")&amp;IF(AND($B602&lt;&gt;"",$J602&lt;&gt;"",$J602&lt;&gt;"Contracte menor a càrrec del RAE"),"Té codi RAE però no és de tipus RAE. ","")&amp;IF($N602="","Falta l'indicador del Pla. ","")&amp;IF($R602="","Falta el gestor. ","")&amp;IF($S602="","Falta indicar si és recurrent. ",""))="","✔",TRIM(IF($C602="","Falta l'actuació. ","")&amp;IF($D602="","Falta l'objectiu. ","")&amp;IF($J602="","Falta el tipus de despesa. ","")&amp;IF(AND($J602&lt;&gt;"",$J602&lt;&gt;"Mitjans propis",$J602&lt;&gt;"Altres",$M602=""),"Falta l'import. ","")&amp;IF(AND($J602="Contracte menor a càrrec del RAE",$K602=""),"Falta la partida RAE. ","")&amp;IF(AND($B602&lt;&gt;"",COUNTIF($B$6:$B$705,$B602)&gt;1),"Codi RAE repetit. ","")&amp;IF(AND($B602&lt;&gt;"",$J602&lt;&gt;"",$J602&lt;&gt;"Contracte menor a càrrec del RAE"),"Té codi RAE però no és de tipus RAE. ","")&amp;IF($N602="","Falta l'indicador del Pla. ","")&amp;IF($R602="","Falta el gestor. ","")&amp;IF($S602="","Falta indicar si és recurrent. ",""))))</f>
        <v/>
      </c>
    </row>
    <row r="603">
      <c r="A603" s="10">
        <f>IF($D603="","","27_"&amp;IFERROR(INDEX(Objectius!$E$2:$E$183,MATCH($D603,Objectius!$A$2:$A$183,0)),"??")&amp;"_"&amp;TEXT(COUNTIF($I$6:$I603,$I603),"00"))</f>
        <v/>
      </c>
      <c r="B603" s="11" t="n"/>
      <c r="C603" s="11" t="n"/>
      <c r="D603" s="11" t="n"/>
      <c r="E603" s="10">
        <f>IF($D603="","",IFERROR(INDEX(Objectius!$C$2:$C$183,MATCH($D603,Objectius!$A$2:$A$183,0)),"Objectiu no trobat al Pla"))</f>
        <v/>
      </c>
      <c r="F603" s="11" t="n"/>
      <c r="G603" s="11" t="n"/>
      <c r="H603" s="11" t="n"/>
      <c r="I603" s="10">
        <f>IF($D603="","",IFERROR(INDEX(Objectius!$D$2:$D$183,MATCH($D603,Objectius!$A$2:$A$183,0)),""))</f>
        <v/>
      </c>
      <c r="J603" s="11" t="n"/>
      <c r="K603" s="11" t="n"/>
      <c r="L603" s="11" t="n"/>
      <c r="M603" s="12" t="n"/>
      <c r="N603" s="11" t="n"/>
      <c r="O603" s="10">
        <f>IF($N603="","",IFERROR(INDEX('PLA ESTRATÈGIC'!$G$4:$G$452,MATCH($N603,'PLA ESTRATÈGIC'!$Q$4:$Q$452,0)),""))</f>
        <v/>
      </c>
      <c r="P603" s="10">
        <f>IF($N603="","",IFERROR(INDEX('PLA ESTRATÈGIC'!$H$4:$H$452,MATCH($N603,'PLA ESTRATÈGIC'!$Q$4:$Q$452,0)),""))</f>
        <v/>
      </c>
      <c r="Q603" s="13" t="n"/>
      <c r="R603" s="11" t="n"/>
      <c r="S603" s="11" t="n"/>
      <c r="T603" s="11" t="n"/>
      <c r="U603" s="11" t="n"/>
      <c r="V603" s="10">
        <f>IF(COUNTA($C603,$D603,$J603,$M603)=0,"",IF(TRIM(IF($C603="","Falta l'actuació. ","")&amp;IF($D603="","Falta l'objectiu. ","")&amp;IF($J603="","Falta el tipus de despesa. ","")&amp;IF(AND($J603&lt;&gt;"",$J603&lt;&gt;"Mitjans propis",$J603&lt;&gt;"Altres",$M603=""),"Falta l'import. ","")&amp;IF(AND($J603="Contracte menor a càrrec del RAE",$K603=""),"Falta la partida RAE. ","")&amp;IF(AND($B603&lt;&gt;"",COUNTIF($B$6:$B$705,$B603)&gt;1),"Codi RAE repetit. ","")&amp;IF(AND($B603&lt;&gt;"",$J603&lt;&gt;"",$J603&lt;&gt;"Contracte menor a càrrec del RAE"),"Té codi RAE però no és de tipus RAE. ","")&amp;IF($N603="","Falta l'indicador del Pla. ","")&amp;IF($R603="","Falta el gestor. ","")&amp;IF($S603="","Falta indicar si és recurrent. ",""))="","✔",TRIM(IF($C603="","Falta l'actuació. ","")&amp;IF($D603="","Falta l'objectiu. ","")&amp;IF($J603="","Falta el tipus de despesa. ","")&amp;IF(AND($J603&lt;&gt;"",$J603&lt;&gt;"Mitjans propis",$J603&lt;&gt;"Altres",$M603=""),"Falta l'import. ","")&amp;IF(AND($J603="Contracte menor a càrrec del RAE",$K603=""),"Falta la partida RAE. ","")&amp;IF(AND($B603&lt;&gt;"",COUNTIF($B$6:$B$705,$B603)&gt;1),"Codi RAE repetit. ","")&amp;IF(AND($B603&lt;&gt;"",$J603&lt;&gt;"",$J603&lt;&gt;"Contracte menor a càrrec del RAE"),"Té codi RAE però no és de tipus RAE. ","")&amp;IF($N603="","Falta l'indicador del Pla. ","")&amp;IF($R603="","Falta el gestor. ","")&amp;IF($S603="","Falta indicar si és recurrent. ",""))))</f>
        <v/>
      </c>
    </row>
    <row r="604">
      <c r="A604" s="10">
        <f>IF($D604="","","27_"&amp;IFERROR(INDEX(Objectius!$E$2:$E$183,MATCH($D604,Objectius!$A$2:$A$183,0)),"??")&amp;"_"&amp;TEXT(COUNTIF($I$6:$I604,$I604),"00"))</f>
        <v/>
      </c>
      <c r="B604" s="11" t="n"/>
      <c r="C604" s="11" t="n"/>
      <c r="D604" s="11" t="n"/>
      <c r="E604" s="10">
        <f>IF($D604="","",IFERROR(INDEX(Objectius!$C$2:$C$183,MATCH($D604,Objectius!$A$2:$A$183,0)),"Objectiu no trobat al Pla"))</f>
        <v/>
      </c>
      <c r="F604" s="11" t="n"/>
      <c r="G604" s="11" t="n"/>
      <c r="H604" s="11" t="n"/>
      <c r="I604" s="10">
        <f>IF($D604="","",IFERROR(INDEX(Objectius!$D$2:$D$183,MATCH($D604,Objectius!$A$2:$A$183,0)),""))</f>
        <v/>
      </c>
      <c r="J604" s="11" t="n"/>
      <c r="K604" s="11" t="n"/>
      <c r="L604" s="11" t="n"/>
      <c r="M604" s="12" t="n"/>
      <c r="N604" s="11" t="n"/>
      <c r="O604" s="10">
        <f>IF($N604="","",IFERROR(INDEX('PLA ESTRATÈGIC'!$G$4:$G$452,MATCH($N604,'PLA ESTRATÈGIC'!$Q$4:$Q$452,0)),""))</f>
        <v/>
      </c>
      <c r="P604" s="10">
        <f>IF($N604="","",IFERROR(INDEX('PLA ESTRATÈGIC'!$H$4:$H$452,MATCH($N604,'PLA ESTRATÈGIC'!$Q$4:$Q$452,0)),""))</f>
        <v/>
      </c>
      <c r="Q604" s="13" t="n"/>
      <c r="R604" s="11" t="n"/>
      <c r="S604" s="11" t="n"/>
      <c r="T604" s="11" t="n"/>
      <c r="U604" s="11" t="n"/>
      <c r="V604" s="10">
        <f>IF(COUNTA($C604,$D604,$J604,$M604)=0,"",IF(TRIM(IF($C604="","Falta l'actuació. ","")&amp;IF($D604="","Falta l'objectiu. ","")&amp;IF($J604="","Falta el tipus de despesa. ","")&amp;IF(AND($J604&lt;&gt;"",$J604&lt;&gt;"Mitjans propis",$J604&lt;&gt;"Altres",$M604=""),"Falta l'import. ","")&amp;IF(AND($J604="Contracte menor a càrrec del RAE",$K604=""),"Falta la partida RAE. ","")&amp;IF(AND($B604&lt;&gt;"",COUNTIF($B$6:$B$705,$B604)&gt;1),"Codi RAE repetit. ","")&amp;IF(AND($B604&lt;&gt;"",$J604&lt;&gt;"",$J604&lt;&gt;"Contracte menor a càrrec del RAE"),"Té codi RAE però no és de tipus RAE. ","")&amp;IF($N604="","Falta l'indicador del Pla. ","")&amp;IF($R604="","Falta el gestor. ","")&amp;IF($S604="","Falta indicar si és recurrent. ",""))="","✔",TRIM(IF($C604="","Falta l'actuació. ","")&amp;IF($D604="","Falta l'objectiu. ","")&amp;IF($J604="","Falta el tipus de despesa. ","")&amp;IF(AND($J604&lt;&gt;"",$J604&lt;&gt;"Mitjans propis",$J604&lt;&gt;"Altres",$M604=""),"Falta l'import. ","")&amp;IF(AND($J604="Contracte menor a càrrec del RAE",$K604=""),"Falta la partida RAE. ","")&amp;IF(AND($B604&lt;&gt;"",COUNTIF($B$6:$B$705,$B604)&gt;1),"Codi RAE repetit. ","")&amp;IF(AND($B604&lt;&gt;"",$J604&lt;&gt;"",$J604&lt;&gt;"Contracte menor a càrrec del RAE"),"Té codi RAE però no és de tipus RAE. ","")&amp;IF($N604="","Falta l'indicador del Pla. ","")&amp;IF($R604="","Falta el gestor. ","")&amp;IF($S604="","Falta indicar si és recurrent. ",""))))</f>
        <v/>
      </c>
    </row>
    <row r="605">
      <c r="A605" s="10">
        <f>IF($D605="","","27_"&amp;IFERROR(INDEX(Objectius!$E$2:$E$183,MATCH($D605,Objectius!$A$2:$A$183,0)),"??")&amp;"_"&amp;TEXT(COUNTIF($I$6:$I605,$I605),"00"))</f>
        <v/>
      </c>
      <c r="B605" s="11" t="n"/>
      <c r="C605" s="11" t="n"/>
      <c r="D605" s="11" t="n"/>
      <c r="E605" s="10">
        <f>IF($D605="","",IFERROR(INDEX(Objectius!$C$2:$C$183,MATCH($D605,Objectius!$A$2:$A$183,0)),"Objectiu no trobat al Pla"))</f>
        <v/>
      </c>
      <c r="F605" s="11" t="n"/>
      <c r="G605" s="11" t="n"/>
      <c r="H605" s="11" t="n"/>
      <c r="I605" s="10">
        <f>IF($D605="","",IFERROR(INDEX(Objectius!$D$2:$D$183,MATCH($D605,Objectius!$A$2:$A$183,0)),""))</f>
        <v/>
      </c>
      <c r="J605" s="11" t="n"/>
      <c r="K605" s="11" t="n"/>
      <c r="L605" s="11" t="n"/>
      <c r="M605" s="12" t="n"/>
      <c r="N605" s="11" t="n"/>
      <c r="O605" s="10">
        <f>IF($N605="","",IFERROR(INDEX('PLA ESTRATÈGIC'!$G$4:$G$452,MATCH($N605,'PLA ESTRATÈGIC'!$Q$4:$Q$452,0)),""))</f>
        <v/>
      </c>
      <c r="P605" s="10">
        <f>IF($N605="","",IFERROR(INDEX('PLA ESTRATÈGIC'!$H$4:$H$452,MATCH($N605,'PLA ESTRATÈGIC'!$Q$4:$Q$452,0)),""))</f>
        <v/>
      </c>
      <c r="Q605" s="13" t="n"/>
      <c r="R605" s="11" t="n"/>
      <c r="S605" s="11" t="n"/>
      <c r="T605" s="11" t="n"/>
      <c r="U605" s="11" t="n"/>
      <c r="V605" s="10">
        <f>IF(COUNTA($C605,$D605,$J605,$M605)=0,"",IF(TRIM(IF($C605="","Falta l'actuació. ","")&amp;IF($D605="","Falta l'objectiu. ","")&amp;IF($J605="","Falta el tipus de despesa. ","")&amp;IF(AND($J605&lt;&gt;"",$J605&lt;&gt;"Mitjans propis",$J605&lt;&gt;"Altres",$M605=""),"Falta l'import. ","")&amp;IF(AND($J605="Contracte menor a càrrec del RAE",$K605=""),"Falta la partida RAE. ","")&amp;IF(AND($B605&lt;&gt;"",COUNTIF($B$6:$B$705,$B605)&gt;1),"Codi RAE repetit. ","")&amp;IF(AND($B605&lt;&gt;"",$J605&lt;&gt;"",$J605&lt;&gt;"Contracte menor a càrrec del RAE"),"Té codi RAE però no és de tipus RAE. ","")&amp;IF($N605="","Falta l'indicador del Pla. ","")&amp;IF($R605="","Falta el gestor. ","")&amp;IF($S605="","Falta indicar si és recurrent. ",""))="","✔",TRIM(IF($C605="","Falta l'actuació. ","")&amp;IF($D605="","Falta l'objectiu. ","")&amp;IF($J605="","Falta el tipus de despesa. ","")&amp;IF(AND($J605&lt;&gt;"",$J605&lt;&gt;"Mitjans propis",$J605&lt;&gt;"Altres",$M605=""),"Falta l'import. ","")&amp;IF(AND($J605="Contracte menor a càrrec del RAE",$K605=""),"Falta la partida RAE. ","")&amp;IF(AND($B605&lt;&gt;"",COUNTIF($B$6:$B$705,$B605)&gt;1),"Codi RAE repetit. ","")&amp;IF(AND($B605&lt;&gt;"",$J605&lt;&gt;"",$J605&lt;&gt;"Contracte menor a càrrec del RAE"),"Té codi RAE però no és de tipus RAE. ","")&amp;IF($N605="","Falta l'indicador del Pla. ","")&amp;IF($R605="","Falta el gestor. ","")&amp;IF($S605="","Falta indicar si és recurrent. ",""))))</f>
        <v/>
      </c>
    </row>
    <row r="606">
      <c r="A606" s="10">
        <f>IF($D606="","","27_"&amp;IFERROR(INDEX(Objectius!$E$2:$E$183,MATCH($D606,Objectius!$A$2:$A$183,0)),"??")&amp;"_"&amp;TEXT(COUNTIF($I$6:$I606,$I606),"00"))</f>
        <v/>
      </c>
      <c r="B606" s="11" t="n"/>
      <c r="C606" s="11" t="n"/>
      <c r="D606" s="11" t="n"/>
      <c r="E606" s="10">
        <f>IF($D606="","",IFERROR(INDEX(Objectius!$C$2:$C$183,MATCH($D606,Objectius!$A$2:$A$183,0)),"Objectiu no trobat al Pla"))</f>
        <v/>
      </c>
      <c r="F606" s="11" t="n"/>
      <c r="G606" s="11" t="n"/>
      <c r="H606" s="11" t="n"/>
      <c r="I606" s="10">
        <f>IF($D606="","",IFERROR(INDEX(Objectius!$D$2:$D$183,MATCH($D606,Objectius!$A$2:$A$183,0)),""))</f>
        <v/>
      </c>
      <c r="J606" s="11" t="n"/>
      <c r="K606" s="11" t="n"/>
      <c r="L606" s="11" t="n"/>
      <c r="M606" s="12" t="n"/>
      <c r="N606" s="11" t="n"/>
      <c r="O606" s="10">
        <f>IF($N606="","",IFERROR(INDEX('PLA ESTRATÈGIC'!$G$4:$G$452,MATCH($N606,'PLA ESTRATÈGIC'!$Q$4:$Q$452,0)),""))</f>
        <v/>
      </c>
      <c r="P606" s="10">
        <f>IF($N606="","",IFERROR(INDEX('PLA ESTRATÈGIC'!$H$4:$H$452,MATCH($N606,'PLA ESTRATÈGIC'!$Q$4:$Q$452,0)),""))</f>
        <v/>
      </c>
      <c r="Q606" s="13" t="n"/>
      <c r="R606" s="11" t="n"/>
      <c r="S606" s="11" t="n"/>
      <c r="T606" s="11" t="n"/>
      <c r="U606" s="11" t="n"/>
      <c r="V606" s="10">
        <f>IF(COUNTA($C606,$D606,$J606,$M606)=0,"",IF(TRIM(IF($C606="","Falta l'actuació. ","")&amp;IF($D606="","Falta l'objectiu. ","")&amp;IF($J606="","Falta el tipus de despesa. ","")&amp;IF(AND($J606&lt;&gt;"",$J606&lt;&gt;"Mitjans propis",$J606&lt;&gt;"Altres",$M606=""),"Falta l'import. ","")&amp;IF(AND($J606="Contracte menor a càrrec del RAE",$K606=""),"Falta la partida RAE. ","")&amp;IF(AND($B606&lt;&gt;"",COUNTIF($B$6:$B$705,$B606)&gt;1),"Codi RAE repetit. ","")&amp;IF(AND($B606&lt;&gt;"",$J606&lt;&gt;"",$J606&lt;&gt;"Contracte menor a càrrec del RAE"),"Té codi RAE però no és de tipus RAE. ","")&amp;IF($N606="","Falta l'indicador del Pla. ","")&amp;IF($R606="","Falta el gestor. ","")&amp;IF($S606="","Falta indicar si és recurrent. ",""))="","✔",TRIM(IF($C606="","Falta l'actuació. ","")&amp;IF($D606="","Falta l'objectiu. ","")&amp;IF($J606="","Falta el tipus de despesa. ","")&amp;IF(AND($J606&lt;&gt;"",$J606&lt;&gt;"Mitjans propis",$J606&lt;&gt;"Altres",$M606=""),"Falta l'import. ","")&amp;IF(AND($J606="Contracte menor a càrrec del RAE",$K606=""),"Falta la partida RAE. ","")&amp;IF(AND($B606&lt;&gt;"",COUNTIF($B$6:$B$705,$B606)&gt;1),"Codi RAE repetit. ","")&amp;IF(AND($B606&lt;&gt;"",$J606&lt;&gt;"",$J606&lt;&gt;"Contracte menor a càrrec del RAE"),"Té codi RAE però no és de tipus RAE. ","")&amp;IF($N606="","Falta l'indicador del Pla. ","")&amp;IF($R606="","Falta el gestor. ","")&amp;IF($S606="","Falta indicar si és recurrent. ",""))))</f>
        <v/>
      </c>
    </row>
    <row r="607">
      <c r="A607" s="10">
        <f>IF($D607="","","27_"&amp;IFERROR(INDEX(Objectius!$E$2:$E$183,MATCH($D607,Objectius!$A$2:$A$183,0)),"??")&amp;"_"&amp;TEXT(COUNTIF($I$6:$I607,$I607),"00"))</f>
        <v/>
      </c>
      <c r="B607" s="11" t="n"/>
      <c r="C607" s="11" t="n"/>
      <c r="D607" s="11" t="n"/>
      <c r="E607" s="10">
        <f>IF($D607="","",IFERROR(INDEX(Objectius!$C$2:$C$183,MATCH($D607,Objectius!$A$2:$A$183,0)),"Objectiu no trobat al Pla"))</f>
        <v/>
      </c>
      <c r="F607" s="11" t="n"/>
      <c r="G607" s="11" t="n"/>
      <c r="H607" s="11" t="n"/>
      <c r="I607" s="10">
        <f>IF($D607="","",IFERROR(INDEX(Objectius!$D$2:$D$183,MATCH($D607,Objectius!$A$2:$A$183,0)),""))</f>
        <v/>
      </c>
      <c r="J607" s="11" t="n"/>
      <c r="K607" s="11" t="n"/>
      <c r="L607" s="11" t="n"/>
      <c r="M607" s="12" t="n"/>
      <c r="N607" s="11" t="n"/>
      <c r="O607" s="10">
        <f>IF($N607="","",IFERROR(INDEX('PLA ESTRATÈGIC'!$G$4:$G$452,MATCH($N607,'PLA ESTRATÈGIC'!$Q$4:$Q$452,0)),""))</f>
        <v/>
      </c>
      <c r="P607" s="10">
        <f>IF($N607="","",IFERROR(INDEX('PLA ESTRATÈGIC'!$H$4:$H$452,MATCH($N607,'PLA ESTRATÈGIC'!$Q$4:$Q$452,0)),""))</f>
        <v/>
      </c>
      <c r="Q607" s="13" t="n"/>
      <c r="R607" s="11" t="n"/>
      <c r="S607" s="11" t="n"/>
      <c r="T607" s="11" t="n"/>
      <c r="U607" s="11" t="n"/>
      <c r="V607" s="10">
        <f>IF(COUNTA($C607,$D607,$J607,$M607)=0,"",IF(TRIM(IF($C607="","Falta l'actuació. ","")&amp;IF($D607="","Falta l'objectiu. ","")&amp;IF($J607="","Falta el tipus de despesa. ","")&amp;IF(AND($J607&lt;&gt;"",$J607&lt;&gt;"Mitjans propis",$J607&lt;&gt;"Altres",$M607=""),"Falta l'import. ","")&amp;IF(AND($J607="Contracte menor a càrrec del RAE",$K607=""),"Falta la partida RAE. ","")&amp;IF(AND($B607&lt;&gt;"",COUNTIF($B$6:$B$705,$B607)&gt;1),"Codi RAE repetit. ","")&amp;IF(AND($B607&lt;&gt;"",$J607&lt;&gt;"",$J607&lt;&gt;"Contracte menor a càrrec del RAE"),"Té codi RAE però no és de tipus RAE. ","")&amp;IF($N607="","Falta l'indicador del Pla. ","")&amp;IF($R607="","Falta el gestor. ","")&amp;IF($S607="","Falta indicar si és recurrent. ",""))="","✔",TRIM(IF($C607="","Falta l'actuació. ","")&amp;IF($D607="","Falta l'objectiu. ","")&amp;IF($J607="","Falta el tipus de despesa. ","")&amp;IF(AND($J607&lt;&gt;"",$J607&lt;&gt;"Mitjans propis",$J607&lt;&gt;"Altres",$M607=""),"Falta l'import. ","")&amp;IF(AND($J607="Contracte menor a càrrec del RAE",$K607=""),"Falta la partida RAE. ","")&amp;IF(AND($B607&lt;&gt;"",COUNTIF($B$6:$B$705,$B607)&gt;1),"Codi RAE repetit. ","")&amp;IF(AND($B607&lt;&gt;"",$J607&lt;&gt;"",$J607&lt;&gt;"Contracte menor a càrrec del RAE"),"Té codi RAE però no és de tipus RAE. ","")&amp;IF($N607="","Falta l'indicador del Pla. ","")&amp;IF($R607="","Falta el gestor. ","")&amp;IF($S607="","Falta indicar si és recurrent. ",""))))</f>
        <v/>
      </c>
    </row>
    <row r="608">
      <c r="A608" s="10">
        <f>IF($D608="","","27_"&amp;IFERROR(INDEX(Objectius!$E$2:$E$183,MATCH($D608,Objectius!$A$2:$A$183,0)),"??")&amp;"_"&amp;TEXT(COUNTIF($I$6:$I608,$I608),"00"))</f>
        <v/>
      </c>
      <c r="B608" s="11" t="n"/>
      <c r="C608" s="11" t="n"/>
      <c r="D608" s="11" t="n"/>
      <c r="E608" s="10">
        <f>IF($D608="","",IFERROR(INDEX(Objectius!$C$2:$C$183,MATCH($D608,Objectius!$A$2:$A$183,0)),"Objectiu no trobat al Pla"))</f>
        <v/>
      </c>
      <c r="F608" s="11" t="n"/>
      <c r="G608" s="11" t="n"/>
      <c r="H608" s="11" t="n"/>
      <c r="I608" s="10">
        <f>IF($D608="","",IFERROR(INDEX(Objectius!$D$2:$D$183,MATCH($D608,Objectius!$A$2:$A$183,0)),""))</f>
        <v/>
      </c>
      <c r="J608" s="11" t="n"/>
      <c r="K608" s="11" t="n"/>
      <c r="L608" s="11" t="n"/>
      <c r="M608" s="12" t="n"/>
      <c r="N608" s="11" t="n"/>
      <c r="O608" s="10">
        <f>IF($N608="","",IFERROR(INDEX('PLA ESTRATÈGIC'!$G$4:$G$452,MATCH($N608,'PLA ESTRATÈGIC'!$Q$4:$Q$452,0)),""))</f>
        <v/>
      </c>
      <c r="P608" s="10">
        <f>IF($N608="","",IFERROR(INDEX('PLA ESTRATÈGIC'!$H$4:$H$452,MATCH($N608,'PLA ESTRATÈGIC'!$Q$4:$Q$452,0)),""))</f>
        <v/>
      </c>
      <c r="Q608" s="13" t="n"/>
      <c r="R608" s="11" t="n"/>
      <c r="S608" s="11" t="n"/>
      <c r="T608" s="11" t="n"/>
      <c r="U608" s="11" t="n"/>
      <c r="V608" s="10">
        <f>IF(COUNTA($C608,$D608,$J608,$M608)=0,"",IF(TRIM(IF($C608="","Falta l'actuació. ","")&amp;IF($D608="","Falta l'objectiu. ","")&amp;IF($J608="","Falta el tipus de despesa. ","")&amp;IF(AND($J608&lt;&gt;"",$J608&lt;&gt;"Mitjans propis",$J608&lt;&gt;"Altres",$M608=""),"Falta l'import. ","")&amp;IF(AND($J608="Contracte menor a càrrec del RAE",$K608=""),"Falta la partida RAE. ","")&amp;IF(AND($B608&lt;&gt;"",COUNTIF($B$6:$B$705,$B608)&gt;1),"Codi RAE repetit. ","")&amp;IF(AND($B608&lt;&gt;"",$J608&lt;&gt;"",$J608&lt;&gt;"Contracte menor a càrrec del RAE"),"Té codi RAE però no és de tipus RAE. ","")&amp;IF($N608="","Falta l'indicador del Pla. ","")&amp;IF($R608="","Falta el gestor. ","")&amp;IF($S608="","Falta indicar si és recurrent. ",""))="","✔",TRIM(IF($C608="","Falta l'actuació. ","")&amp;IF($D608="","Falta l'objectiu. ","")&amp;IF($J608="","Falta el tipus de despesa. ","")&amp;IF(AND($J608&lt;&gt;"",$J608&lt;&gt;"Mitjans propis",$J608&lt;&gt;"Altres",$M608=""),"Falta l'import. ","")&amp;IF(AND($J608="Contracte menor a càrrec del RAE",$K608=""),"Falta la partida RAE. ","")&amp;IF(AND($B608&lt;&gt;"",COUNTIF($B$6:$B$705,$B608)&gt;1),"Codi RAE repetit. ","")&amp;IF(AND($B608&lt;&gt;"",$J608&lt;&gt;"",$J608&lt;&gt;"Contracte menor a càrrec del RAE"),"Té codi RAE però no és de tipus RAE. ","")&amp;IF($N608="","Falta l'indicador del Pla. ","")&amp;IF($R608="","Falta el gestor. ","")&amp;IF($S608="","Falta indicar si és recurrent. ",""))))</f>
        <v/>
      </c>
    </row>
    <row r="609">
      <c r="A609" s="10">
        <f>IF($D609="","","27_"&amp;IFERROR(INDEX(Objectius!$E$2:$E$183,MATCH($D609,Objectius!$A$2:$A$183,0)),"??")&amp;"_"&amp;TEXT(COUNTIF($I$6:$I609,$I609),"00"))</f>
        <v/>
      </c>
      <c r="B609" s="11" t="n"/>
      <c r="C609" s="11" t="n"/>
      <c r="D609" s="11" t="n"/>
      <c r="E609" s="10">
        <f>IF($D609="","",IFERROR(INDEX(Objectius!$C$2:$C$183,MATCH($D609,Objectius!$A$2:$A$183,0)),"Objectiu no trobat al Pla"))</f>
        <v/>
      </c>
      <c r="F609" s="11" t="n"/>
      <c r="G609" s="11" t="n"/>
      <c r="H609" s="11" t="n"/>
      <c r="I609" s="10">
        <f>IF($D609="","",IFERROR(INDEX(Objectius!$D$2:$D$183,MATCH($D609,Objectius!$A$2:$A$183,0)),""))</f>
        <v/>
      </c>
      <c r="J609" s="11" t="n"/>
      <c r="K609" s="11" t="n"/>
      <c r="L609" s="11" t="n"/>
      <c r="M609" s="12" t="n"/>
      <c r="N609" s="11" t="n"/>
      <c r="O609" s="10">
        <f>IF($N609="","",IFERROR(INDEX('PLA ESTRATÈGIC'!$G$4:$G$452,MATCH($N609,'PLA ESTRATÈGIC'!$Q$4:$Q$452,0)),""))</f>
        <v/>
      </c>
      <c r="P609" s="10">
        <f>IF($N609="","",IFERROR(INDEX('PLA ESTRATÈGIC'!$H$4:$H$452,MATCH($N609,'PLA ESTRATÈGIC'!$Q$4:$Q$452,0)),""))</f>
        <v/>
      </c>
      <c r="Q609" s="13" t="n"/>
      <c r="R609" s="11" t="n"/>
      <c r="S609" s="11" t="n"/>
      <c r="T609" s="11" t="n"/>
      <c r="U609" s="11" t="n"/>
      <c r="V609" s="10">
        <f>IF(COUNTA($C609,$D609,$J609,$M609)=0,"",IF(TRIM(IF($C609="","Falta l'actuació. ","")&amp;IF($D609="","Falta l'objectiu. ","")&amp;IF($J609="","Falta el tipus de despesa. ","")&amp;IF(AND($J609&lt;&gt;"",$J609&lt;&gt;"Mitjans propis",$J609&lt;&gt;"Altres",$M609=""),"Falta l'import. ","")&amp;IF(AND($J609="Contracte menor a càrrec del RAE",$K609=""),"Falta la partida RAE. ","")&amp;IF(AND($B609&lt;&gt;"",COUNTIF($B$6:$B$705,$B609)&gt;1),"Codi RAE repetit. ","")&amp;IF(AND($B609&lt;&gt;"",$J609&lt;&gt;"",$J609&lt;&gt;"Contracte menor a càrrec del RAE"),"Té codi RAE però no és de tipus RAE. ","")&amp;IF($N609="","Falta l'indicador del Pla. ","")&amp;IF($R609="","Falta el gestor. ","")&amp;IF($S609="","Falta indicar si és recurrent. ",""))="","✔",TRIM(IF($C609="","Falta l'actuació. ","")&amp;IF($D609="","Falta l'objectiu. ","")&amp;IF($J609="","Falta el tipus de despesa. ","")&amp;IF(AND($J609&lt;&gt;"",$J609&lt;&gt;"Mitjans propis",$J609&lt;&gt;"Altres",$M609=""),"Falta l'import. ","")&amp;IF(AND($J609="Contracte menor a càrrec del RAE",$K609=""),"Falta la partida RAE. ","")&amp;IF(AND($B609&lt;&gt;"",COUNTIF($B$6:$B$705,$B609)&gt;1),"Codi RAE repetit. ","")&amp;IF(AND($B609&lt;&gt;"",$J609&lt;&gt;"",$J609&lt;&gt;"Contracte menor a càrrec del RAE"),"Té codi RAE però no és de tipus RAE. ","")&amp;IF($N609="","Falta l'indicador del Pla. ","")&amp;IF($R609="","Falta el gestor. ","")&amp;IF($S609="","Falta indicar si és recurrent. ",""))))</f>
        <v/>
      </c>
    </row>
    <row r="610">
      <c r="A610" s="10">
        <f>IF($D610="","","27_"&amp;IFERROR(INDEX(Objectius!$E$2:$E$183,MATCH($D610,Objectius!$A$2:$A$183,0)),"??")&amp;"_"&amp;TEXT(COUNTIF($I$6:$I610,$I610),"00"))</f>
        <v/>
      </c>
      <c r="B610" s="11" t="n"/>
      <c r="C610" s="11" t="n"/>
      <c r="D610" s="11" t="n"/>
      <c r="E610" s="10">
        <f>IF($D610="","",IFERROR(INDEX(Objectius!$C$2:$C$183,MATCH($D610,Objectius!$A$2:$A$183,0)),"Objectiu no trobat al Pla"))</f>
        <v/>
      </c>
      <c r="F610" s="11" t="n"/>
      <c r="G610" s="11" t="n"/>
      <c r="H610" s="11" t="n"/>
      <c r="I610" s="10">
        <f>IF($D610="","",IFERROR(INDEX(Objectius!$D$2:$D$183,MATCH($D610,Objectius!$A$2:$A$183,0)),""))</f>
        <v/>
      </c>
      <c r="J610" s="11" t="n"/>
      <c r="K610" s="11" t="n"/>
      <c r="L610" s="11" t="n"/>
      <c r="M610" s="12" t="n"/>
      <c r="N610" s="11" t="n"/>
      <c r="O610" s="10">
        <f>IF($N610="","",IFERROR(INDEX('PLA ESTRATÈGIC'!$G$4:$G$452,MATCH($N610,'PLA ESTRATÈGIC'!$Q$4:$Q$452,0)),""))</f>
        <v/>
      </c>
      <c r="P610" s="10">
        <f>IF($N610="","",IFERROR(INDEX('PLA ESTRATÈGIC'!$H$4:$H$452,MATCH($N610,'PLA ESTRATÈGIC'!$Q$4:$Q$452,0)),""))</f>
        <v/>
      </c>
      <c r="Q610" s="13" t="n"/>
      <c r="R610" s="11" t="n"/>
      <c r="S610" s="11" t="n"/>
      <c r="T610" s="11" t="n"/>
      <c r="U610" s="11" t="n"/>
      <c r="V610" s="10">
        <f>IF(COUNTA($C610,$D610,$J610,$M610)=0,"",IF(TRIM(IF($C610="","Falta l'actuació. ","")&amp;IF($D610="","Falta l'objectiu. ","")&amp;IF($J610="","Falta el tipus de despesa. ","")&amp;IF(AND($J610&lt;&gt;"",$J610&lt;&gt;"Mitjans propis",$J610&lt;&gt;"Altres",$M610=""),"Falta l'import. ","")&amp;IF(AND($J610="Contracte menor a càrrec del RAE",$K610=""),"Falta la partida RAE. ","")&amp;IF(AND($B610&lt;&gt;"",COUNTIF($B$6:$B$705,$B610)&gt;1),"Codi RAE repetit. ","")&amp;IF(AND($B610&lt;&gt;"",$J610&lt;&gt;"",$J610&lt;&gt;"Contracte menor a càrrec del RAE"),"Té codi RAE però no és de tipus RAE. ","")&amp;IF($N610="","Falta l'indicador del Pla. ","")&amp;IF($R610="","Falta el gestor. ","")&amp;IF($S610="","Falta indicar si és recurrent. ",""))="","✔",TRIM(IF($C610="","Falta l'actuació. ","")&amp;IF($D610="","Falta l'objectiu. ","")&amp;IF($J610="","Falta el tipus de despesa. ","")&amp;IF(AND($J610&lt;&gt;"",$J610&lt;&gt;"Mitjans propis",$J610&lt;&gt;"Altres",$M610=""),"Falta l'import. ","")&amp;IF(AND($J610="Contracte menor a càrrec del RAE",$K610=""),"Falta la partida RAE. ","")&amp;IF(AND($B610&lt;&gt;"",COUNTIF($B$6:$B$705,$B610)&gt;1),"Codi RAE repetit. ","")&amp;IF(AND($B610&lt;&gt;"",$J610&lt;&gt;"",$J610&lt;&gt;"Contracte menor a càrrec del RAE"),"Té codi RAE però no és de tipus RAE. ","")&amp;IF($N610="","Falta l'indicador del Pla. ","")&amp;IF($R610="","Falta el gestor. ","")&amp;IF($S610="","Falta indicar si és recurrent. ",""))))</f>
        <v/>
      </c>
    </row>
    <row r="611">
      <c r="A611" s="10">
        <f>IF($D611="","","27_"&amp;IFERROR(INDEX(Objectius!$E$2:$E$183,MATCH($D611,Objectius!$A$2:$A$183,0)),"??")&amp;"_"&amp;TEXT(COUNTIF($I$6:$I611,$I611),"00"))</f>
        <v/>
      </c>
      <c r="B611" s="11" t="n"/>
      <c r="C611" s="11" t="n"/>
      <c r="D611" s="11" t="n"/>
      <c r="E611" s="10">
        <f>IF($D611="","",IFERROR(INDEX(Objectius!$C$2:$C$183,MATCH($D611,Objectius!$A$2:$A$183,0)),"Objectiu no trobat al Pla"))</f>
        <v/>
      </c>
      <c r="F611" s="11" t="n"/>
      <c r="G611" s="11" t="n"/>
      <c r="H611" s="11" t="n"/>
      <c r="I611" s="10">
        <f>IF($D611="","",IFERROR(INDEX(Objectius!$D$2:$D$183,MATCH($D611,Objectius!$A$2:$A$183,0)),""))</f>
        <v/>
      </c>
      <c r="J611" s="11" t="n"/>
      <c r="K611" s="11" t="n"/>
      <c r="L611" s="11" t="n"/>
      <c r="M611" s="12" t="n"/>
      <c r="N611" s="11" t="n"/>
      <c r="O611" s="10">
        <f>IF($N611="","",IFERROR(INDEX('PLA ESTRATÈGIC'!$G$4:$G$452,MATCH($N611,'PLA ESTRATÈGIC'!$Q$4:$Q$452,0)),""))</f>
        <v/>
      </c>
      <c r="P611" s="10">
        <f>IF($N611="","",IFERROR(INDEX('PLA ESTRATÈGIC'!$H$4:$H$452,MATCH($N611,'PLA ESTRATÈGIC'!$Q$4:$Q$452,0)),""))</f>
        <v/>
      </c>
      <c r="Q611" s="13" t="n"/>
      <c r="R611" s="11" t="n"/>
      <c r="S611" s="11" t="n"/>
      <c r="T611" s="11" t="n"/>
      <c r="U611" s="11" t="n"/>
      <c r="V611" s="10">
        <f>IF(COUNTA($C611,$D611,$J611,$M611)=0,"",IF(TRIM(IF($C611="","Falta l'actuació. ","")&amp;IF($D611="","Falta l'objectiu. ","")&amp;IF($J611="","Falta el tipus de despesa. ","")&amp;IF(AND($J611&lt;&gt;"",$J611&lt;&gt;"Mitjans propis",$J611&lt;&gt;"Altres",$M611=""),"Falta l'import. ","")&amp;IF(AND($J611="Contracte menor a càrrec del RAE",$K611=""),"Falta la partida RAE. ","")&amp;IF(AND($B611&lt;&gt;"",COUNTIF($B$6:$B$705,$B611)&gt;1),"Codi RAE repetit. ","")&amp;IF(AND($B611&lt;&gt;"",$J611&lt;&gt;"",$J611&lt;&gt;"Contracte menor a càrrec del RAE"),"Té codi RAE però no és de tipus RAE. ","")&amp;IF($N611="","Falta l'indicador del Pla. ","")&amp;IF($R611="","Falta el gestor. ","")&amp;IF($S611="","Falta indicar si és recurrent. ",""))="","✔",TRIM(IF($C611="","Falta l'actuació. ","")&amp;IF($D611="","Falta l'objectiu. ","")&amp;IF($J611="","Falta el tipus de despesa. ","")&amp;IF(AND($J611&lt;&gt;"",$J611&lt;&gt;"Mitjans propis",$J611&lt;&gt;"Altres",$M611=""),"Falta l'import. ","")&amp;IF(AND($J611="Contracte menor a càrrec del RAE",$K611=""),"Falta la partida RAE. ","")&amp;IF(AND($B611&lt;&gt;"",COUNTIF($B$6:$B$705,$B611)&gt;1),"Codi RAE repetit. ","")&amp;IF(AND($B611&lt;&gt;"",$J611&lt;&gt;"",$J611&lt;&gt;"Contracte menor a càrrec del RAE"),"Té codi RAE però no és de tipus RAE. ","")&amp;IF($N611="","Falta l'indicador del Pla. ","")&amp;IF($R611="","Falta el gestor. ","")&amp;IF($S611="","Falta indicar si és recurrent. ",""))))</f>
        <v/>
      </c>
    </row>
    <row r="612">
      <c r="A612" s="10">
        <f>IF($D612="","","27_"&amp;IFERROR(INDEX(Objectius!$E$2:$E$183,MATCH($D612,Objectius!$A$2:$A$183,0)),"??")&amp;"_"&amp;TEXT(COUNTIF($I$6:$I612,$I612),"00"))</f>
        <v/>
      </c>
      <c r="B612" s="11" t="n"/>
      <c r="C612" s="11" t="n"/>
      <c r="D612" s="11" t="n"/>
      <c r="E612" s="10">
        <f>IF($D612="","",IFERROR(INDEX(Objectius!$C$2:$C$183,MATCH($D612,Objectius!$A$2:$A$183,0)),"Objectiu no trobat al Pla"))</f>
        <v/>
      </c>
      <c r="F612" s="11" t="n"/>
      <c r="G612" s="11" t="n"/>
      <c r="H612" s="11" t="n"/>
      <c r="I612" s="10">
        <f>IF($D612="","",IFERROR(INDEX(Objectius!$D$2:$D$183,MATCH($D612,Objectius!$A$2:$A$183,0)),""))</f>
        <v/>
      </c>
      <c r="J612" s="11" t="n"/>
      <c r="K612" s="11" t="n"/>
      <c r="L612" s="11" t="n"/>
      <c r="M612" s="12" t="n"/>
      <c r="N612" s="11" t="n"/>
      <c r="O612" s="10">
        <f>IF($N612="","",IFERROR(INDEX('PLA ESTRATÈGIC'!$G$4:$G$452,MATCH($N612,'PLA ESTRATÈGIC'!$Q$4:$Q$452,0)),""))</f>
        <v/>
      </c>
      <c r="P612" s="10">
        <f>IF($N612="","",IFERROR(INDEX('PLA ESTRATÈGIC'!$H$4:$H$452,MATCH($N612,'PLA ESTRATÈGIC'!$Q$4:$Q$452,0)),""))</f>
        <v/>
      </c>
      <c r="Q612" s="13" t="n"/>
      <c r="R612" s="11" t="n"/>
      <c r="S612" s="11" t="n"/>
      <c r="T612" s="11" t="n"/>
      <c r="U612" s="11" t="n"/>
      <c r="V612" s="10">
        <f>IF(COUNTA($C612,$D612,$J612,$M612)=0,"",IF(TRIM(IF($C612="","Falta l'actuació. ","")&amp;IF($D612="","Falta l'objectiu. ","")&amp;IF($J612="","Falta el tipus de despesa. ","")&amp;IF(AND($J612&lt;&gt;"",$J612&lt;&gt;"Mitjans propis",$J612&lt;&gt;"Altres",$M612=""),"Falta l'import. ","")&amp;IF(AND($J612="Contracte menor a càrrec del RAE",$K612=""),"Falta la partida RAE. ","")&amp;IF(AND($B612&lt;&gt;"",COUNTIF($B$6:$B$705,$B612)&gt;1),"Codi RAE repetit. ","")&amp;IF(AND($B612&lt;&gt;"",$J612&lt;&gt;"",$J612&lt;&gt;"Contracte menor a càrrec del RAE"),"Té codi RAE però no és de tipus RAE. ","")&amp;IF($N612="","Falta l'indicador del Pla. ","")&amp;IF($R612="","Falta el gestor. ","")&amp;IF($S612="","Falta indicar si és recurrent. ",""))="","✔",TRIM(IF($C612="","Falta l'actuació. ","")&amp;IF($D612="","Falta l'objectiu. ","")&amp;IF($J612="","Falta el tipus de despesa. ","")&amp;IF(AND($J612&lt;&gt;"",$J612&lt;&gt;"Mitjans propis",$J612&lt;&gt;"Altres",$M612=""),"Falta l'import. ","")&amp;IF(AND($J612="Contracte menor a càrrec del RAE",$K612=""),"Falta la partida RAE. ","")&amp;IF(AND($B612&lt;&gt;"",COUNTIF($B$6:$B$705,$B612)&gt;1),"Codi RAE repetit. ","")&amp;IF(AND($B612&lt;&gt;"",$J612&lt;&gt;"",$J612&lt;&gt;"Contracte menor a càrrec del RAE"),"Té codi RAE però no és de tipus RAE. ","")&amp;IF($N612="","Falta l'indicador del Pla. ","")&amp;IF($R612="","Falta el gestor. ","")&amp;IF($S612="","Falta indicar si és recurrent. ",""))))</f>
        <v/>
      </c>
    </row>
    <row r="613">
      <c r="A613" s="10">
        <f>IF($D613="","","27_"&amp;IFERROR(INDEX(Objectius!$E$2:$E$183,MATCH($D613,Objectius!$A$2:$A$183,0)),"??")&amp;"_"&amp;TEXT(COUNTIF($I$6:$I613,$I613),"00"))</f>
        <v/>
      </c>
      <c r="B613" s="11" t="n"/>
      <c r="C613" s="11" t="n"/>
      <c r="D613" s="11" t="n"/>
      <c r="E613" s="10">
        <f>IF($D613="","",IFERROR(INDEX(Objectius!$C$2:$C$183,MATCH($D613,Objectius!$A$2:$A$183,0)),"Objectiu no trobat al Pla"))</f>
        <v/>
      </c>
      <c r="F613" s="11" t="n"/>
      <c r="G613" s="11" t="n"/>
      <c r="H613" s="11" t="n"/>
      <c r="I613" s="10">
        <f>IF($D613="","",IFERROR(INDEX(Objectius!$D$2:$D$183,MATCH($D613,Objectius!$A$2:$A$183,0)),""))</f>
        <v/>
      </c>
      <c r="J613" s="11" t="n"/>
      <c r="K613" s="11" t="n"/>
      <c r="L613" s="11" t="n"/>
      <c r="M613" s="12" t="n"/>
      <c r="N613" s="11" t="n"/>
      <c r="O613" s="10">
        <f>IF($N613="","",IFERROR(INDEX('PLA ESTRATÈGIC'!$G$4:$G$452,MATCH($N613,'PLA ESTRATÈGIC'!$Q$4:$Q$452,0)),""))</f>
        <v/>
      </c>
      <c r="P613" s="10">
        <f>IF($N613="","",IFERROR(INDEX('PLA ESTRATÈGIC'!$H$4:$H$452,MATCH($N613,'PLA ESTRATÈGIC'!$Q$4:$Q$452,0)),""))</f>
        <v/>
      </c>
      <c r="Q613" s="13" t="n"/>
      <c r="R613" s="11" t="n"/>
      <c r="S613" s="11" t="n"/>
      <c r="T613" s="11" t="n"/>
      <c r="U613" s="11" t="n"/>
      <c r="V613" s="10">
        <f>IF(COUNTA($C613,$D613,$J613,$M613)=0,"",IF(TRIM(IF($C613="","Falta l'actuació. ","")&amp;IF($D613="","Falta l'objectiu. ","")&amp;IF($J613="","Falta el tipus de despesa. ","")&amp;IF(AND($J613&lt;&gt;"",$J613&lt;&gt;"Mitjans propis",$J613&lt;&gt;"Altres",$M613=""),"Falta l'import. ","")&amp;IF(AND($J613="Contracte menor a càrrec del RAE",$K613=""),"Falta la partida RAE. ","")&amp;IF(AND($B613&lt;&gt;"",COUNTIF($B$6:$B$705,$B613)&gt;1),"Codi RAE repetit. ","")&amp;IF(AND($B613&lt;&gt;"",$J613&lt;&gt;"",$J613&lt;&gt;"Contracte menor a càrrec del RAE"),"Té codi RAE però no és de tipus RAE. ","")&amp;IF($N613="","Falta l'indicador del Pla. ","")&amp;IF($R613="","Falta el gestor. ","")&amp;IF($S613="","Falta indicar si és recurrent. ",""))="","✔",TRIM(IF($C613="","Falta l'actuació. ","")&amp;IF($D613="","Falta l'objectiu. ","")&amp;IF($J613="","Falta el tipus de despesa. ","")&amp;IF(AND($J613&lt;&gt;"",$J613&lt;&gt;"Mitjans propis",$J613&lt;&gt;"Altres",$M613=""),"Falta l'import. ","")&amp;IF(AND($J613="Contracte menor a càrrec del RAE",$K613=""),"Falta la partida RAE. ","")&amp;IF(AND($B613&lt;&gt;"",COUNTIF($B$6:$B$705,$B613)&gt;1),"Codi RAE repetit. ","")&amp;IF(AND($B613&lt;&gt;"",$J613&lt;&gt;"",$J613&lt;&gt;"Contracte menor a càrrec del RAE"),"Té codi RAE però no és de tipus RAE. ","")&amp;IF($N613="","Falta l'indicador del Pla. ","")&amp;IF($R613="","Falta el gestor. ","")&amp;IF($S613="","Falta indicar si és recurrent. ",""))))</f>
        <v/>
      </c>
    </row>
    <row r="614">
      <c r="A614" s="10">
        <f>IF($D614="","","27_"&amp;IFERROR(INDEX(Objectius!$E$2:$E$183,MATCH($D614,Objectius!$A$2:$A$183,0)),"??")&amp;"_"&amp;TEXT(COUNTIF($I$6:$I614,$I614),"00"))</f>
        <v/>
      </c>
      <c r="B614" s="11" t="n"/>
      <c r="C614" s="11" t="n"/>
      <c r="D614" s="11" t="n"/>
      <c r="E614" s="10">
        <f>IF($D614="","",IFERROR(INDEX(Objectius!$C$2:$C$183,MATCH($D614,Objectius!$A$2:$A$183,0)),"Objectiu no trobat al Pla"))</f>
        <v/>
      </c>
      <c r="F614" s="11" t="n"/>
      <c r="G614" s="11" t="n"/>
      <c r="H614" s="11" t="n"/>
      <c r="I614" s="10">
        <f>IF($D614="","",IFERROR(INDEX(Objectius!$D$2:$D$183,MATCH($D614,Objectius!$A$2:$A$183,0)),""))</f>
        <v/>
      </c>
      <c r="J614" s="11" t="n"/>
      <c r="K614" s="11" t="n"/>
      <c r="L614" s="11" t="n"/>
      <c r="M614" s="12" t="n"/>
      <c r="N614" s="11" t="n"/>
      <c r="O614" s="10">
        <f>IF($N614="","",IFERROR(INDEX('PLA ESTRATÈGIC'!$G$4:$G$452,MATCH($N614,'PLA ESTRATÈGIC'!$Q$4:$Q$452,0)),""))</f>
        <v/>
      </c>
      <c r="P614" s="10">
        <f>IF($N614="","",IFERROR(INDEX('PLA ESTRATÈGIC'!$H$4:$H$452,MATCH($N614,'PLA ESTRATÈGIC'!$Q$4:$Q$452,0)),""))</f>
        <v/>
      </c>
      <c r="Q614" s="13" t="n"/>
      <c r="R614" s="11" t="n"/>
      <c r="S614" s="11" t="n"/>
      <c r="T614" s="11" t="n"/>
      <c r="U614" s="11" t="n"/>
      <c r="V614" s="10">
        <f>IF(COUNTA($C614,$D614,$J614,$M614)=0,"",IF(TRIM(IF($C614="","Falta l'actuació. ","")&amp;IF($D614="","Falta l'objectiu. ","")&amp;IF($J614="","Falta el tipus de despesa. ","")&amp;IF(AND($J614&lt;&gt;"",$J614&lt;&gt;"Mitjans propis",$J614&lt;&gt;"Altres",$M614=""),"Falta l'import. ","")&amp;IF(AND($J614="Contracte menor a càrrec del RAE",$K614=""),"Falta la partida RAE. ","")&amp;IF(AND($B614&lt;&gt;"",COUNTIF($B$6:$B$705,$B614)&gt;1),"Codi RAE repetit. ","")&amp;IF(AND($B614&lt;&gt;"",$J614&lt;&gt;"",$J614&lt;&gt;"Contracte menor a càrrec del RAE"),"Té codi RAE però no és de tipus RAE. ","")&amp;IF($N614="","Falta l'indicador del Pla. ","")&amp;IF($R614="","Falta el gestor. ","")&amp;IF($S614="","Falta indicar si és recurrent. ",""))="","✔",TRIM(IF($C614="","Falta l'actuació. ","")&amp;IF($D614="","Falta l'objectiu. ","")&amp;IF($J614="","Falta el tipus de despesa. ","")&amp;IF(AND($J614&lt;&gt;"",$J614&lt;&gt;"Mitjans propis",$J614&lt;&gt;"Altres",$M614=""),"Falta l'import. ","")&amp;IF(AND($J614="Contracte menor a càrrec del RAE",$K614=""),"Falta la partida RAE. ","")&amp;IF(AND($B614&lt;&gt;"",COUNTIF($B$6:$B$705,$B614)&gt;1),"Codi RAE repetit. ","")&amp;IF(AND($B614&lt;&gt;"",$J614&lt;&gt;"",$J614&lt;&gt;"Contracte menor a càrrec del RAE"),"Té codi RAE però no és de tipus RAE. ","")&amp;IF($N614="","Falta l'indicador del Pla. ","")&amp;IF($R614="","Falta el gestor. ","")&amp;IF($S614="","Falta indicar si és recurrent. ",""))))</f>
        <v/>
      </c>
    </row>
    <row r="615">
      <c r="A615" s="10">
        <f>IF($D615="","","27_"&amp;IFERROR(INDEX(Objectius!$E$2:$E$183,MATCH($D615,Objectius!$A$2:$A$183,0)),"??")&amp;"_"&amp;TEXT(COUNTIF($I$6:$I615,$I615),"00"))</f>
        <v/>
      </c>
      <c r="B615" s="11" t="n"/>
      <c r="C615" s="11" t="n"/>
      <c r="D615" s="11" t="n"/>
      <c r="E615" s="10">
        <f>IF($D615="","",IFERROR(INDEX(Objectius!$C$2:$C$183,MATCH($D615,Objectius!$A$2:$A$183,0)),"Objectiu no trobat al Pla"))</f>
        <v/>
      </c>
      <c r="F615" s="11" t="n"/>
      <c r="G615" s="11" t="n"/>
      <c r="H615" s="11" t="n"/>
      <c r="I615" s="10">
        <f>IF($D615="","",IFERROR(INDEX(Objectius!$D$2:$D$183,MATCH($D615,Objectius!$A$2:$A$183,0)),""))</f>
        <v/>
      </c>
      <c r="J615" s="11" t="n"/>
      <c r="K615" s="11" t="n"/>
      <c r="L615" s="11" t="n"/>
      <c r="M615" s="12" t="n"/>
      <c r="N615" s="11" t="n"/>
      <c r="O615" s="10">
        <f>IF($N615="","",IFERROR(INDEX('PLA ESTRATÈGIC'!$G$4:$G$452,MATCH($N615,'PLA ESTRATÈGIC'!$Q$4:$Q$452,0)),""))</f>
        <v/>
      </c>
      <c r="P615" s="10">
        <f>IF($N615="","",IFERROR(INDEX('PLA ESTRATÈGIC'!$H$4:$H$452,MATCH($N615,'PLA ESTRATÈGIC'!$Q$4:$Q$452,0)),""))</f>
        <v/>
      </c>
      <c r="Q615" s="13" t="n"/>
      <c r="R615" s="11" t="n"/>
      <c r="S615" s="11" t="n"/>
      <c r="T615" s="11" t="n"/>
      <c r="U615" s="11" t="n"/>
      <c r="V615" s="10">
        <f>IF(COUNTA($C615,$D615,$J615,$M615)=0,"",IF(TRIM(IF($C615="","Falta l'actuació. ","")&amp;IF($D615="","Falta l'objectiu. ","")&amp;IF($J615="","Falta el tipus de despesa. ","")&amp;IF(AND($J615&lt;&gt;"",$J615&lt;&gt;"Mitjans propis",$J615&lt;&gt;"Altres",$M615=""),"Falta l'import. ","")&amp;IF(AND($J615="Contracte menor a càrrec del RAE",$K615=""),"Falta la partida RAE. ","")&amp;IF(AND($B615&lt;&gt;"",COUNTIF($B$6:$B$705,$B615)&gt;1),"Codi RAE repetit. ","")&amp;IF(AND($B615&lt;&gt;"",$J615&lt;&gt;"",$J615&lt;&gt;"Contracte menor a càrrec del RAE"),"Té codi RAE però no és de tipus RAE. ","")&amp;IF($N615="","Falta l'indicador del Pla. ","")&amp;IF($R615="","Falta el gestor. ","")&amp;IF($S615="","Falta indicar si és recurrent. ",""))="","✔",TRIM(IF($C615="","Falta l'actuació. ","")&amp;IF($D615="","Falta l'objectiu. ","")&amp;IF($J615="","Falta el tipus de despesa. ","")&amp;IF(AND($J615&lt;&gt;"",$J615&lt;&gt;"Mitjans propis",$J615&lt;&gt;"Altres",$M615=""),"Falta l'import. ","")&amp;IF(AND($J615="Contracte menor a càrrec del RAE",$K615=""),"Falta la partida RAE. ","")&amp;IF(AND($B615&lt;&gt;"",COUNTIF($B$6:$B$705,$B615)&gt;1),"Codi RAE repetit. ","")&amp;IF(AND($B615&lt;&gt;"",$J615&lt;&gt;"",$J615&lt;&gt;"Contracte menor a càrrec del RAE"),"Té codi RAE però no és de tipus RAE. ","")&amp;IF($N615="","Falta l'indicador del Pla. ","")&amp;IF($R615="","Falta el gestor. ","")&amp;IF($S615="","Falta indicar si és recurrent. ",""))))</f>
        <v/>
      </c>
    </row>
    <row r="616">
      <c r="A616" s="10">
        <f>IF($D616="","","27_"&amp;IFERROR(INDEX(Objectius!$E$2:$E$183,MATCH($D616,Objectius!$A$2:$A$183,0)),"??")&amp;"_"&amp;TEXT(COUNTIF($I$6:$I616,$I616),"00"))</f>
        <v/>
      </c>
      <c r="B616" s="11" t="n"/>
      <c r="C616" s="11" t="n"/>
      <c r="D616" s="11" t="n"/>
      <c r="E616" s="10">
        <f>IF($D616="","",IFERROR(INDEX(Objectius!$C$2:$C$183,MATCH($D616,Objectius!$A$2:$A$183,0)),"Objectiu no trobat al Pla"))</f>
        <v/>
      </c>
      <c r="F616" s="11" t="n"/>
      <c r="G616" s="11" t="n"/>
      <c r="H616" s="11" t="n"/>
      <c r="I616" s="10">
        <f>IF($D616="","",IFERROR(INDEX(Objectius!$D$2:$D$183,MATCH($D616,Objectius!$A$2:$A$183,0)),""))</f>
        <v/>
      </c>
      <c r="J616" s="11" t="n"/>
      <c r="K616" s="11" t="n"/>
      <c r="L616" s="11" t="n"/>
      <c r="M616" s="12" t="n"/>
      <c r="N616" s="11" t="n"/>
      <c r="O616" s="10">
        <f>IF($N616="","",IFERROR(INDEX('PLA ESTRATÈGIC'!$G$4:$G$452,MATCH($N616,'PLA ESTRATÈGIC'!$Q$4:$Q$452,0)),""))</f>
        <v/>
      </c>
      <c r="P616" s="10">
        <f>IF($N616="","",IFERROR(INDEX('PLA ESTRATÈGIC'!$H$4:$H$452,MATCH($N616,'PLA ESTRATÈGIC'!$Q$4:$Q$452,0)),""))</f>
        <v/>
      </c>
      <c r="Q616" s="13" t="n"/>
      <c r="R616" s="11" t="n"/>
      <c r="S616" s="11" t="n"/>
      <c r="T616" s="11" t="n"/>
      <c r="U616" s="11" t="n"/>
      <c r="V616" s="10">
        <f>IF(COUNTA($C616,$D616,$J616,$M616)=0,"",IF(TRIM(IF($C616="","Falta l'actuació. ","")&amp;IF($D616="","Falta l'objectiu. ","")&amp;IF($J616="","Falta el tipus de despesa. ","")&amp;IF(AND($J616&lt;&gt;"",$J616&lt;&gt;"Mitjans propis",$J616&lt;&gt;"Altres",$M616=""),"Falta l'import. ","")&amp;IF(AND($J616="Contracte menor a càrrec del RAE",$K616=""),"Falta la partida RAE. ","")&amp;IF(AND($B616&lt;&gt;"",COUNTIF($B$6:$B$705,$B616)&gt;1),"Codi RAE repetit. ","")&amp;IF(AND($B616&lt;&gt;"",$J616&lt;&gt;"",$J616&lt;&gt;"Contracte menor a càrrec del RAE"),"Té codi RAE però no és de tipus RAE. ","")&amp;IF($N616="","Falta l'indicador del Pla. ","")&amp;IF($R616="","Falta el gestor. ","")&amp;IF($S616="","Falta indicar si és recurrent. ",""))="","✔",TRIM(IF($C616="","Falta l'actuació. ","")&amp;IF($D616="","Falta l'objectiu. ","")&amp;IF($J616="","Falta el tipus de despesa. ","")&amp;IF(AND($J616&lt;&gt;"",$J616&lt;&gt;"Mitjans propis",$J616&lt;&gt;"Altres",$M616=""),"Falta l'import. ","")&amp;IF(AND($J616="Contracte menor a càrrec del RAE",$K616=""),"Falta la partida RAE. ","")&amp;IF(AND($B616&lt;&gt;"",COUNTIF($B$6:$B$705,$B616)&gt;1),"Codi RAE repetit. ","")&amp;IF(AND($B616&lt;&gt;"",$J616&lt;&gt;"",$J616&lt;&gt;"Contracte menor a càrrec del RAE"),"Té codi RAE però no és de tipus RAE. ","")&amp;IF($N616="","Falta l'indicador del Pla. ","")&amp;IF($R616="","Falta el gestor. ","")&amp;IF($S616="","Falta indicar si és recurrent. ",""))))</f>
        <v/>
      </c>
    </row>
    <row r="617">
      <c r="A617" s="10">
        <f>IF($D617="","","27_"&amp;IFERROR(INDEX(Objectius!$E$2:$E$183,MATCH($D617,Objectius!$A$2:$A$183,0)),"??")&amp;"_"&amp;TEXT(COUNTIF($I$6:$I617,$I617),"00"))</f>
        <v/>
      </c>
      <c r="B617" s="11" t="n"/>
      <c r="C617" s="11" t="n"/>
      <c r="D617" s="11" t="n"/>
      <c r="E617" s="10">
        <f>IF($D617="","",IFERROR(INDEX(Objectius!$C$2:$C$183,MATCH($D617,Objectius!$A$2:$A$183,0)),"Objectiu no trobat al Pla"))</f>
        <v/>
      </c>
      <c r="F617" s="11" t="n"/>
      <c r="G617" s="11" t="n"/>
      <c r="H617" s="11" t="n"/>
      <c r="I617" s="10">
        <f>IF($D617="","",IFERROR(INDEX(Objectius!$D$2:$D$183,MATCH($D617,Objectius!$A$2:$A$183,0)),""))</f>
        <v/>
      </c>
      <c r="J617" s="11" t="n"/>
      <c r="K617" s="11" t="n"/>
      <c r="L617" s="11" t="n"/>
      <c r="M617" s="12" t="n"/>
      <c r="N617" s="11" t="n"/>
      <c r="O617" s="10">
        <f>IF($N617="","",IFERROR(INDEX('PLA ESTRATÈGIC'!$G$4:$G$452,MATCH($N617,'PLA ESTRATÈGIC'!$Q$4:$Q$452,0)),""))</f>
        <v/>
      </c>
      <c r="P617" s="10">
        <f>IF($N617="","",IFERROR(INDEX('PLA ESTRATÈGIC'!$H$4:$H$452,MATCH($N617,'PLA ESTRATÈGIC'!$Q$4:$Q$452,0)),""))</f>
        <v/>
      </c>
      <c r="Q617" s="13" t="n"/>
      <c r="R617" s="11" t="n"/>
      <c r="S617" s="11" t="n"/>
      <c r="T617" s="11" t="n"/>
      <c r="U617" s="11" t="n"/>
      <c r="V617" s="10">
        <f>IF(COUNTA($C617,$D617,$J617,$M617)=0,"",IF(TRIM(IF($C617="","Falta l'actuació. ","")&amp;IF($D617="","Falta l'objectiu. ","")&amp;IF($J617="","Falta el tipus de despesa. ","")&amp;IF(AND($J617&lt;&gt;"",$J617&lt;&gt;"Mitjans propis",$J617&lt;&gt;"Altres",$M617=""),"Falta l'import. ","")&amp;IF(AND($J617="Contracte menor a càrrec del RAE",$K617=""),"Falta la partida RAE. ","")&amp;IF(AND($B617&lt;&gt;"",COUNTIF($B$6:$B$705,$B617)&gt;1),"Codi RAE repetit. ","")&amp;IF(AND($B617&lt;&gt;"",$J617&lt;&gt;"",$J617&lt;&gt;"Contracte menor a càrrec del RAE"),"Té codi RAE però no és de tipus RAE. ","")&amp;IF($N617="","Falta l'indicador del Pla. ","")&amp;IF($R617="","Falta el gestor. ","")&amp;IF($S617="","Falta indicar si és recurrent. ",""))="","✔",TRIM(IF($C617="","Falta l'actuació. ","")&amp;IF($D617="","Falta l'objectiu. ","")&amp;IF($J617="","Falta el tipus de despesa. ","")&amp;IF(AND($J617&lt;&gt;"",$J617&lt;&gt;"Mitjans propis",$J617&lt;&gt;"Altres",$M617=""),"Falta l'import. ","")&amp;IF(AND($J617="Contracte menor a càrrec del RAE",$K617=""),"Falta la partida RAE. ","")&amp;IF(AND($B617&lt;&gt;"",COUNTIF($B$6:$B$705,$B617)&gt;1),"Codi RAE repetit. ","")&amp;IF(AND($B617&lt;&gt;"",$J617&lt;&gt;"",$J617&lt;&gt;"Contracte menor a càrrec del RAE"),"Té codi RAE però no és de tipus RAE. ","")&amp;IF($N617="","Falta l'indicador del Pla. ","")&amp;IF($R617="","Falta el gestor. ","")&amp;IF($S617="","Falta indicar si és recurrent. ",""))))</f>
        <v/>
      </c>
    </row>
    <row r="618">
      <c r="A618" s="10">
        <f>IF($D618="","","27_"&amp;IFERROR(INDEX(Objectius!$E$2:$E$183,MATCH($D618,Objectius!$A$2:$A$183,0)),"??")&amp;"_"&amp;TEXT(COUNTIF($I$6:$I618,$I618),"00"))</f>
        <v/>
      </c>
      <c r="B618" s="11" t="n"/>
      <c r="C618" s="11" t="n"/>
      <c r="D618" s="11" t="n"/>
      <c r="E618" s="10">
        <f>IF($D618="","",IFERROR(INDEX(Objectius!$C$2:$C$183,MATCH($D618,Objectius!$A$2:$A$183,0)),"Objectiu no trobat al Pla"))</f>
        <v/>
      </c>
      <c r="F618" s="11" t="n"/>
      <c r="G618" s="11" t="n"/>
      <c r="H618" s="11" t="n"/>
      <c r="I618" s="10">
        <f>IF($D618="","",IFERROR(INDEX(Objectius!$D$2:$D$183,MATCH($D618,Objectius!$A$2:$A$183,0)),""))</f>
        <v/>
      </c>
      <c r="J618" s="11" t="n"/>
      <c r="K618" s="11" t="n"/>
      <c r="L618" s="11" t="n"/>
      <c r="M618" s="12" t="n"/>
      <c r="N618" s="11" t="n"/>
      <c r="O618" s="10">
        <f>IF($N618="","",IFERROR(INDEX('PLA ESTRATÈGIC'!$G$4:$G$452,MATCH($N618,'PLA ESTRATÈGIC'!$Q$4:$Q$452,0)),""))</f>
        <v/>
      </c>
      <c r="P618" s="10">
        <f>IF($N618="","",IFERROR(INDEX('PLA ESTRATÈGIC'!$H$4:$H$452,MATCH($N618,'PLA ESTRATÈGIC'!$Q$4:$Q$452,0)),""))</f>
        <v/>
      </c>
      <c r="Q618" s="13" t="n"/>
      <c r="R618" s="11" t="n"/>
      <c r="S618" s="11" t="n"/>
      <c r="T618" s="11" t="n"/>
      <c r="U618" s="11" t="n"/>
      <c r="V618" s="10">
        <f>IF(COUNTA($C618,$D618,$J618,$M618)=0,"",IF(TRIM(IF($C618="","Falta l'actuació. ","")&amp;IF($D618="","Falta l'objectiu. ","")&amp;IF($J618="","Falta el tipus de despesa. ","")&amp;IF(AND($J618&lt;&gt;"",$J618&lt;&gt;"Mitjans propis",$J618&lt;&gt;"Altres",$M618=""),"Falta l'import. ","")&amp;IF(AND($J618="Contracte menor a càrrec del RAE",$K618=""),"Falta la partida RAE. ","")&amp;IF(AND($B618&lt;&gt;"",COUNTIF($B$6:$B$705,$B618)&gt;1),"Codi RAE repetit. ","")&amp;IF(AND($B618&lt;&gt;"",$J618&lt;&gt;"",$J618&lt;&gt;"Contracte menor a càrrec del RAE"),"Té codi RAE però no és de tipus RAE. ","")&amp;IF($N618="","Falta l'indicador del Pla. ","")&amp;IF($R618="","Falta el gestor. ","")&amp;IF($S618="","Falta indicar si és recurrent. ",""))="","✔",TRIM(IF($C618="","Falta l'actuació. ","")&amp;IF($D618="","Falta l'objectiu. ","")&amp;IF($J618="","Falta el tipus de despesa. ","")&amp;IF(AND($J618&lt;&gt;"",$J618&lt;&gt;"Mitjans propis",$J618&lt;&gt;"Altres",$M618=""),"Falta l'import. ","")&amp;IF(AND($J618="Contracte menor a càrrec del RAE",$K618=""),"Falta la partida RAE. ","")&amp;IF(AND($B618&lt;&gt;"",COUNTIF($B$6:$B$705,$B618)&gt;1),"Codi RAE repetit. ","")&amp;IF(AND($B618&lt;&gt;"",$J618&lt;&gt;"",$J618&lt;&gt;"Contracte menor a càrrec del RAE"),"Té codi RAE però no és de tipus RAE. ","")&amp;IF($N618="","Falta l'indicador del Pla. ","")&amp;IF($R618="","Falta el gestor. ","")&amp;IF($S618="","Falta indicar si és recurrent. ",""))))</f>
        <v/>
      </c>
    </row>
    <row r="619">
      <c r="A619" s="10">
        <f>IF($D619="","","27_"&amp;IFERROR(INDEX(Objectius!$E$2:$E$183,MATCH($D619,Objectius!$A$2:$A$183,0)),"??")&amp;"_"&amp;TEXT(COUNTIF($I$6:$I619,$I619),"00"))</f>
        <v/>
      </c>
      <c r="B619" s="11" t="n"/>
      <c r="C619" s="11" t="n"/>
      <c r="D619" s="11" t="n"/>
      <c r="E619" s="10">
        <f>IF($D619="","",IFERROR(INDEX(Objectius!$C$2:$C$183,MATCH($D619,Objectius!$A$2:$A$183,0)),"Objectiu no trobat al Pla"))</f>
        <v/>
      </c>
      <c r="F619" s="11" t="n"/>
      <c r="G619" s="11" t="n"/>
      <c r="H619" s="11" t="n"/>
      <c r="I619" s="10">
        <f>IF($D619="","",IFERROR(INDEX(Objectius!$D$2:$D$183,MATCH($D619,Objectius!$A$2:$A$183,0)),""))</f>
        <v/>
      </c>
      <c r="J619" s="11" t="n"/>
      <c r="K619" s="11" t="n"/>
      <c r="L619" s="11" t="n"/>
      <c r="M619" s="12" t="n"/>
      <c r="N619" s="11" t="n"/>
      <c r="O619" s="10">
        <f>IF($N619="","",IFERROR(INDEX('PLA ESTRATÈGIC'!$G$4:$G$452,MATCH($N619,'PLA ESTRATÈGIC'!$Q$4:$Q$452,0)),""))</f>
        <v/>
      </c>
      <c r="P619" s="10">
        <f>IF($N619="","",IFERROR(INDEX('PLA ESTRATÈGIC'!$H$4:$H$452,MATCH($N619,'PLA ESTRATÈGIC'!$Q$4:$Q$452,0)),""))</f>
        <v/>
      </c>
      <c r="Q619" s="13" t="n"/>
      <c r="R619" s="11" t="n"/>
      <c r="S619" s="11" t="n"/>
      <c r="T619" s="11" t="n"/>
      <c r="U619" s="11" t="n"/>
      <c r="V619" s="10">
        <f>IF(COUNTA($C619,$D619,$J619,$M619)=0,"",IF(TRIM(IF($C619="","Falta l'actuació. ","")&amp;IF($D619="","Falta l'objectiu. ","")&amp;IF($J619="","Falta el tipus de despesa. ","")&amp;IF(AND($J619&lt;&gt;"",$J619&lt;&gt;"Mitjans propis",$J619&lt;&gt;"Altres",$M619=""),"Falta l'import. ","")&amp;IF(AND($J619="Contracte menor a càrrec del RAE",$K619=""),"Falta la partida RAE. ","")&amp;IF(AND($B619&lt;&gt;"",COUNTIF($B$6:$B$705,$B619)&gt;1),"Codi RAE repetit. ","")&amp;IF(AND($B619&lt;&gt;"",$J619&lt;&gt;"",$J619&lt;&gt;"Contracte menor a càrrec del RAE"),"Té codi RAE però no és de tipus RAE. ","")&amp;IF($N619="","Falta l'indicador del Pla. ","")&amp;IF($R619="","Falta el gestor. ","")&amp;IF($S619="","Falta indicar si és recurrent. ",""))="","✔",TRIM(IF($C619="","Falta l'actuació. ","")&amp;IF($D619="","Falta l'objectiu. ","")&amp;IF($J619="","Falta el tipus de despesa. ","")&amp;IF(AND($J619&lt;&gt;"",$J619&lt;&gt;"Mitjans propis",$J619&lt;&gt;"Altres",$M619=""),"Falta l'import. ","")&amp;IF(AND($J619="Contracte menor a càrrec del RAE",$K619=""),"Falta la partida RAE. ","")&amp;IF(AND($B619&lt;&gt;"",COUNTIF($B$6:$B$705,$B619)&gt;1),"Codi RAE repetit. ","")&amp;IF(AND($B619&lt;&gt;"",$J619&lt;&gt;"",$J619&lt;&gt;"Contracte menor a càrrec del RAE"),"Té codi RAE però no és de tipus RAE. ","")&amp;IF($N619="","Falta l'indicador del Pla. ","")&amp;IF($R619="","Falta el gestor. ","")&amp;IF($S619="","Falta indicar si és recurrent. ",""))))</f>
        <v/>
      </c>
    </row>
    <row r="620">
      <c r="A620" s="10">
        <f>IF($D620="","","27_"&amp;IFERROR(INDEX(Objectius!$E$2:$E$183,MATCH($D620,Objectius!$A$2:$A$183,0)),"??")&amp;"_"&amp;TEXT(COUNTIF($I$6:$I620,$I620),"00"))</f>
        <v/>
      </c>
      <c r="B620" s="11" t="n"/>
      <c r="C620" s="11" t="n"/>
      <c r="D620" s="11" t="n"/>
      <c r="E620" s="10">
        <f>IF($D620="","",IFERROR(INDEX(Objectius!$C$2:$C$183,MATCH($D620,Objectius!$A$2:$A$183,0)),"Objectiu no trobat al Pla"))</f>
        <v/>
      </c>
      <c r="F620" s="11" t="n"/>
      <c r="G620" s="11" t="n"/>
      <c r="H620" s="11" t="n"/>
      <c r="I620" s="10">
        <f>IF($D620="","",IFERROR(INDEX(Objectius!$D$2:$D$183,MATCH($D620,Objectius!$A$2:$A$183,0)),""))</f>
        <v/>
      </c>
      <c r="J620" s="11" t="n"/>
      <c r="K620" s="11" t="n"/>
      <c r="L620" s="11" t="n"/>
      <c r="M620" s="12" t="n"/>
      <c r="N620" s="11" t="n"/>
      <c r="O620" s="10">
        <f>IF($N620="","",IFERROR(INDEX('PLA ESTRATÈGIC'!$G$4:$G$452,MATCH($N620,'PLA ESTRATÈGIC'!$Q$4:$Q$452,0)),""))</f>
        <v/>
      </c>
      <c r="P620" s="10">
        <f>IF($N620="","",IFERROR(INDEX('PLA ESTRATÈGIC'!$H$4:$H$452,MATCH($N620,'PLA ESTRATÈGIC'!$Q$4:$Q$452,0)),""))</f>
        <v/>
      </c>
      <c r="Q620" s="13" t="n"/>
      <c r="R620" s="11" t="n"/>
      <c r="S620" s="11" t="n"/>
      <c r="T620" s="11" t="n"/>
      <c r="U620" s="11" t="n"/>
      <c r="V620" s="10">
        <f>IF(COUNTA($C620,$D620,$J620,$M620)=0,"",IF(TRIM(IF($C620="","Falta l'actuació. ","")&amp;IF($D620="","Falta l'objectiu. ","")&amp;IF($J620="","Falta el tipus de despesa. ","")&amp;IF(AND($J620&lt;&gt;"",$J620&lt;&gt;"Mitjans propis",$J620&lt;&gt;"Altres",$M620=""),"Falta l'import. ","")&amp;IF(AND($J620="Contracte menor a càrrec del RAE",$K620=""),"Falta la partida RAE. ","")&amp;IF(AND($B620&lt;&gt;"",COUNTIF($B$6:$B$705,$B620)&gt;1),"Codi RAE repetit. ","")&amp;IF(AND($B620&lt;&gt;"",$J620&lt;&gt;"",$J620&lt;&gt;"Contracte menor a càrrec del RAE"),"Té codi RAE però no és de tipus RAE. ","")&amp;IF($N620="","Falta l'indicador del Pla. ","")&amp;IF($R620="","Falta el gestor. ","")&amp;IF($S620="","Falta indicar si és recurrent. ",""))="","✔",TRIM(IF($C620="","Falta l'actuació. ","")&amp;IF($D620="","Falta l'objectiu. ","")&amp;IF($J620="","Falta el tipus de despesa. ","")&amp;IF(AND($J620&lt;&gt;"",$J620&lt;&gt;"Mitjans propis",$J620&lt;&gt;"Altres",$M620=""),"Falta l'import. ","")&amp;IF(AND($J620="Contracte menor a càrrec del RAE",$K620=""),"Falta la partida RAE. ","")&amp;IF(AND($B620&lt;&gt;"",COUNTIF($B$6:$B$705,$B620)&gt;1),"Codi RAE repetit. ","")&amp;IF(AND($B620&lt;&gt;"",$J620&lt;&gt;"",$J620&lt;&gt;"Contracte menor a càrrec del RAE"),"Té codi RAE però no és de tipus RAE. ","")&amp;IF($N620="","Falta l'indicador del Pla. ","")&amp;IF($R620="","Falta el gestor. ","")&amp;IF($S620="","Falta indicar si és recurrent. ",""))))</f>
        <v/>
      </c>
    </row>
    <row r="621">
      <c r="A621" s="10">
        <f>IF($D621="","","27_"&amp;IFERROR(INDEX(Objectius!$E$2:$E$183,MATCH($D621,Objectius!$A$2:$A$183,0)),"??")&amp;"_"&amp;TEXT(COUNTIF($I$6:$I621,$I621),"00"))</f>
        <v/>
      </c>
      <c r="B621" s="11" t="n"/>
      <c r="C621" s="11" t="n"/>
      <c r="D621" s="11" t="n"/>
      <c r="E621" s="10">
        <f>IF($D621="","",IFERROR(INDEX(Objectius!$C$2:$C$183,MATCH($D621,Objectius!$A$2:$A$183,0)),"Objectiu no trobat al Pla"))</f>
        <v/>
      </c>
      <c r="F621" s="11" t="n"/>
      <c r="G621" s="11" t="n"/>
      <c r="H621" s="11" t="n"/>
      <c r="I621" s="10">
        <f>IF($D621="","",IFERROR(INDEX(Objectius!$D$2:$D$183,MATCH($D621,Objectius!$A$2:$A$183,0)),""))</f>
        <v/>
      </c>
      <c r="J621" s="11" t="n"/>
      <c r="K621" s="11" t="n"/>
      <c r="L621" s="11" t="n"/>
      <c r="M621" s="12" t="n"/>
      <c r="N621" s="11" t="n"/>
      <c r="O621" s="10">
        <f>IF($N621="","",IFERROR(INDEX('PLA ESTRATÈGIC'!$G$4:$G$452,MATCH($N621,'PLA ESTRATÈGIC'!$Q$4:$Q$452,0)),""))</f>
        <v/>
      </c>
      <c r="P621" s="10">
        <f>IF($N621="","",IFERROR(INDEX('PLA ESTRATÈGIC'!$H$4:$H$452,MATCH($N621,'PLA ESTRATÈGIC'!$Q$4:$Q$452,0)),""))</f>
        <v/>
      </c>
      <c r="Q621" s="13" t="n"/>
      <c r="R621" s="11" t="n"/>
      <c r="S621" s="11" t="n"/>
      <c r="T621" s="11" t="n"/>
      <c r="U621" s="11" t="n"/>
      <c r="V621" s="10">
        <f>IF(COUNTA($C621,$D621,$J621,$M621)=0,"",IF(TRIM(IF($C621="","Falta l'actuació. ","")&amp;IF($D621="","Falta l'objectiu. ","")&amp;IF($J621="","Falta el tipus de despesa. ","")&amp;IF(AND($J621&lt;&gt;"",$J621&lt;&gt;"Mitjans propis",$J621&lt;&gt;"Altres",$M621=""),"Falta l'import. ","")&amp;IF(AND($J621="Contracte menor a càrrec del RAE",$K621=""),"Falta la partida RAE. ","")&amp;IF(AND($B621&lt;&gt;"",COUNTIF($B$6:$B$705,$B621)&gt;1),"Codi RAE repetit. ","")&amp;IF(AND($B621&lt;&gt;"",$J621&lt;&gt;"",$J621&lt;&gt;"Contracte menor a càrrec del RAE"),"Té codi RAE però no és de tipus RAE. ","")&amp;IF($N621="","Falta l'indicador del Pla. ","")&amp;IF($R621="","Falta el gestor. ","")&amp;IF($S621="","Falta indicar si és recurrent. ",""))="","✔",TRIM(IF($C621="","Falta l'actuació. ","")&amp;IF($D621="","Falta l'objectiu. ","")&amp;IF($J621="","Falta el tipus de despesa. ","")&amp;IF(AND($J621&lt;&gt;"",$J621&lt;&gt;"Mitjans propis",$J621&lt;&gt;"Altres",$M621=""),"Falta l'import. ","")&amp;IF(AND($J621="Contracte menor a càrrec del RAE",$K621=""),"Falta la partida RAE. ","")&amp;IF(AND($B621&lt;&gt;"",COUNTIF($B$6:$B$705,$B621)&gt;1),"Codi RAE repetit. ","")&amp;IF(AND($B621&lt;&gt;"",$J621&lt;&gt;"",$J621&lt;&gt;"Contracte menor a càrrec del RAE"),"Té codi RAE però no és de tipus RAE. ","")&amp;IF($N621="","Falta l'indicador del Pla. ","")&amp;IF($R621="","Falta el gestor. ","")&amp;IF($S621="","Falta indicar si és recurrent. ",""))))</f>
        <v/>
      </c>
    </row>
    <row r="622">
      <c r="A622" s="10">
        <f>IF($D622="","","27_"&amp;IFERROR(INDEX(Objectius!$E$2:$E$183,MATCH($D622,Objectius!$A$2:$A$183,0)),"??")&amp;"_"&amp;TEXT(COUNTIF($I$6:$I622,$I622),"00"))</f>
        <v/>
      </c>
      <c r="B622" s="11" t="n"/>
      <c r="C622" s="11" t="n"/>
      <c r="D622" s="11" t="n"/>
      <c r="E622" s="10">
        <f>IF($D622="","",IFERROR(INDEX(Objectius!$C$2:$C$183,MATCH($D622,Objectius!$A$2:$A$183,0)),"Objectiu no trobat al Pla"))</f>
        <v/>
      </c>
      <c r="F622" s="11" t="n"/>
      <c r="G622" s="11" t="n"/>
      <c r="H622" s="11" t="n"/>
      <c r="I622" s="10">
        <f>IF($D622="","",IFERROR(INDEX(Objectius!$D$2:$D$183,MATCH($D622,Objectius!$A$2:$A$183,0)),""))</f>
        <v/>
      </c>
      <c r="J622" s="11" t="n"/>
      <c r="K622" s="11" t="n"/>
      <c r="L622" s="11" t="n"/>
      <c r="M622" s="12" t="n"/>
      <c r="N622" s="11" t="n"/>
      <c r="O622" s="10">
        <f>IF($N622="","",IFERROR(INDEX('PLA ESTRATÈGIC'!$G$4:$G$452,MATCH($N622,'PLA ESTRATÈGIC'!$Q$4:$Q$452,0)),""))</f>
        <v/>
      </c>
      <c r="P622" s="10">
        <f>IF($N622="","",IFERROR(INDEX('PLA ESTRATÈGIC'!$H$4:$H$452,MATCH($N622,'PLA ESTRATÈGIC'!$Q$4:$Q$452,0)),""))</f>
        <v/>
      </c>
      <c r="Q622" s="13" t="n"/>
      <c r="R622" s="11" t="n"/>
      <c r="S622" s="11" t="n"/>
      <c r="T622" s="11" t="n"/>
      <c r="U622" s="11" t="n"/>
      <c r="V622" s="10">
        <f>IF(COUNTA($C622,$D622,$J622,$M622)=0,"",IF(TRIM(IF($C622="","Falta l'actuació. ","")&amp;IF($D622="","Falta l'objectiu. ","")&amp;IF($J622="","Falta el tipus de despesa. ","")&amp;IF(AND($J622&lt;&gt;"",$J622&lt;&gt;"Mitjans propis",$J622&lt;&gt;"Altres",$M622=""),"Falta l'import. ","")&amp;IF(AND($J622="Contracte menor a càrrec del RAE",$K622=""),"Falta la partida RAE. ","")&amp;IF(AND($B622&lt;&gt;"",COUNTIF($B$6:$B$705,$B622)&gt;1),"Codi RAE repetit. ","")&amp;IF(AND($B622&lt;&gt;"",$J622&lt;&gt;"",$J622&lt;&gt;"Contracte menor a càrrec del RAE"),"Té codi RAE però no és de tipus RAE. ","")&amp;IF($N622="","Falta l'indicador del Pla. ","")&amp;IF($R622="","Falta el gestor. ","")&amp;IF($S622="","Falta indicar si és recurrent. ",""))="","✔",TRIM(IF($C622="","Falta l'actuació. ","")&amp;IF($D622="","Falta l'objectiu. ","")&amp;IF($J622="","Falta el tipus de despesa. ","")&amp;IF(AND($J622&lt;&gt;"",$J622&lt;&gt;"Mitjans propis",$J622&lt;&gt;"Altres",$M622=""),"Falta l'import. ","")&amp;IF(AND($J622="Contracte menor a càrrec del RAE",$K622=""),"Falta la partida RAE. ","")&amp;IF(AND($B622&lt;&gt;"",COUNTIF($B$6:$B$705,$B622)&gt;1),"Codi RAE repetit. ","")&amp;IF(AND($B622&lt;&gt;"",$J622&lt;&gt;"",$J622&lt;&gt;"Contracte menor a càrrec del RAE"),"Té codi RAE però no és de tipus RAE. ","")&amp;IF($N622="","Falta l'indicador del Pla. ","")&amp;IF($R622="","Falta el gestor. ","")&amp;IF($S622="","Falta indicar si és recurrent. ",""))))</f>
        <v/>
      </c>
    </row>
    <row r="623">
      <c r="A623" s="10">
        <f>IF($D623="","","27_"&amp;IFERROR(INDEX(Objectius!$E$2:$E$183,MATCH($D623,Objectius!$A$2:$A$183,0)),"??")&amp;"_"&amp;TEXT(COUNTIF($I$6:$I623,$I623),"00"))</f>
        <v/>
      </c>
      <c r="B623" s="11" t="n"/>
      <c r="C623" s="11" t="n"/>
      <c r="D623" s="11" t="n"/>
      <c r="E623" s="10">
        <f>IF($D623="","",IFERROR(INDEX(Objectius!$C$2:$C$183,MATCH($D623,Objectius!$A$2:$A$183,0)),"Objectiu no trobat al Pla"))</f>
        <v/>
      </c>
      <c r="F623" s="11" t="n"/>
      <c r="G623" s="11" t="n"/>
      <c r="H623" s="11" t="n"/>
      <c r="I623" s="10">
        <f>IF($D623="","",IFERROR(INDEX(Objectius!$D$2:$D$183,MATCH($D623,Objectius!$A$2:$A$183,0)),""))</f>
        <v/>
      </c>
      <c r="J623" s="11" t="n"/>
      <c r="K623" s="11" t="n"/>
      <c r="L623" s="11" t="n"/>
      <c r="M623" s="12" t="n"/>
      <c r="N623" s="11" t="n"/>
      <c r="O623" s="10">
        <f>IF($N623="","",IFERROR(INDEX('PLA ESTRATÈGIC'!$G$4:$G$452,MATCH($N623,'PLA ESTRATÈGIC'!$Q$4:$Q$452,0)),""))</f>
        <v/>
      </c>
      <c r="P623" s="10">
        <f>IF($N623="","",IFERROR(INDEX('PLA ESTRATÈGIC'!$H$4:$H$452,MATCH($N623,'PLA ESTRATÈGIC'!$Q$4:$Q$452,0)),""))</f>
        <v/>
      </c>
      <c r="Q623" s="13" t="n"/>
      <c r="R623" s="11" t="n"/>
      <c r="S623" s="11" t="n"/>
      <c r="T623" s="11" t="n"/>
      <c r="U623" s="11" t="n"/>
      <c r="V623" s="10">
        <f>IF(COUNTA($C623,$D623,$J623,$M623)=0,"",IF(TRIM(IF($C623="","Falta l'actuació. ","")&amp;IF($D623="","Falta l'objectiu. ","")&amp;IF($J623="","Falta el tipus de despesa. ","")&amp;IF(AND($J623&lt;&gt;"",$J623&lt;&gt;"Mitjans propis",$J623&lt;&gt;"Altres",$M623=""),"Falta l'import. ","")&amp;IF(AND($J623="Contracte menor a càrrec del RAE",$K623=""),"Falta la partida RAE. ","")&amp;IF(AND($B623&lt;&gt;"",COUNTIF($B$6:$B$705,$B623)&gt;1),"Codi RAE repetit. ","")&amp;IF(AND($B623&lt;&gt;"",$J623&lt;&gt;"",$J623&lt;&gt;"Contracte menor a càrrec del RAE"),"Té codi RAE però no és de tipus RAE. ","")&amp;IF($N623="","Falta l'indicador del Pla. ","")&amp;IF($R623="","Falta el gestor. ","")&amp;IF($S623="","Falta indicar si és recurrent. ",""))="","✔",TRIM(IF($C623="","Falta l'actuació. ","")&amp;IF($D623="","Falta l'objectiu. ","")&amp;IF($J623="","Falta el tipus de despesa. ","")&amp;IF(AND($J623&lt;&gt;"",$J623&lt;&gt;"Mitjans propis",$J623&lt;&gt;"Altres",$M623=""),"Falta l'import. ","")&amp;IF(AND($J623="Contracte menor a càrrec del RAE",$K623=""),"Falta la partida RAE. ","")&amp;IF(AND($B623&lt;&gt;"",COUNTIF($B$6:$B$705,$B623)&gt;1),"Codi RAE repetit. ","")&amp;IF(AND($B623&lt;&gt;"",$J623&lt;&gt;"",$J623&lt;&gt;"Contracte menor a càrrec del RAE"),"Té codi RAE però no és de tipus RAE. ","")&amp;IF($N623="","Falta l'indicador del Pla. ","")&amp;IF($R623="","Falta el gestor. ","")&amp;IF($S623="","Falta indicar si és recurrent. ",""))))</f>
        <v/>
      </c>
    </row>
    <row r="624">
      <c r="A624" s="10">
        <f>IF($D624="","","27_"&amp;IFERROR(INDEX(Objectius!$E$2:$E$183,MATCH($D624,Objectius!$A$2:$A$183,0)),"??")&amp;"_"&amp;TEXT(COUNTIF($I$6:$I624,$I624),"00"))</f>
        <v/>
      </c>
      <c r="B624" s="11" t="n"/>
      <c r="C624" s="11" t="n"/>
      <c r="D624" s="11" t="n"/>
      <c r="E624" s="10">
        <f>IF($D624="","",IFERROR(INDEX(Objectius!$C$2:$C$183,MATCH($D624,Objectius!$A$2:$A$183,0)),"Objectiu no trobat al Pla"))</f>
        <v/>
      </c>
      <c r="F624" s="11" t="n"/>
      <c r="G624" s="11" t="n"/>
      <c r="H624" s="11" t="n"/>
      <c r="I624" s="10">
        <f>IF($D624="","",IFERROR(INDEX(Objectius!$D$2:$D$183,MATCH($D624,Objectius!$A$2:$A$183,0)),""))</f>
        <v/>
      </c>
      <c r="J624" s="11" t="n"/>
      <c r="K624" s="11" t="n"/>
      <c r="L624" s="11" t="n"/>
      <c r="M624" s="12" t="n"/>
      <c r="N624" s="11" t="n"/>
      <c r="O624" s="10">
        <f>IF($N624="","",IFERROR(INDEX('PLA ESTRATÈGIC'!$G$4:$G$452,MATCH($N624,'PLA ESTRATÈGIC'!$Q$4:$Q$452,0)),""))</f>
        <v/>
      </c>
      <c r="P624" s="10">
        <f>IF($N624="","",IFERROR(INDEX('PLA ESTRATÈGIC'!$H$4:$H$452,MATCH($N624,'PLA ESTRATÈGIC'!$Q$4:$Q$452,0)),""))</f>
        <v/>
      </c>
      <c r="Q624" s="13" t="n"/>
      <c r="R624" s="11" t="n"/>
      <c r="S624" s="11" t="n"/>
      <c r="T624" s="11" t="n"/>
      <c r="U624" s="11" t="n"/>
      <c r="V624" s="10">
        <f>IF(COUNTA($C624,$D624,$J624,$M624)=0,"",IF(TRIM(IF($C624="","Falta l'actuació. ","")&amp;IF($D624="","Falta l'objectiu. ","")&amp;IF($J624="","Falta el tipus de despesa. ","")&amp;IF(AND($J624&lt;&gt;"",$J624&lt;&gt;"Mitjans propis",$J624&lt;&gt;"Altres",$M624=""),"Falta l'import. ","")&amp;IF(AND($J624="Contracte menor a càrrec del RAE",$K624=""),"Falta la partida RAE. ","")&amp;IF(AND($B624&lt;&gt;"",COUNTIF($B$6:$B$705,$B624)&gt;1),"Codi RAE repetit. ","")&amp;IF(AND($B624&lt;&gt;"",$J624&lt;&gt;"",$J624&lt;&gt;"Contracte menor a càrrec del RAE"),"Té codi RAE però no és de tipus RAE. ","")&amp;IF($N624="","Falta l'indicador del Pla. ","")&amp;IF($R624="","Falta el gestor. ","")&amp;IF($S624="","Falta indicar si és recurrent. ",""))="","✔",TRIM(IF($C624="","Falta l'actuació. ","")&amp;IF($D624="","Falta l'objectiu. ","")&amp;IF($J624="","Falta el tipus de despesa. ","")&amp;IF(AND($J624&lt;&gt;"",$J624&lt;&gt;"Mitjans propis",$J624&lt;&gt;"Altres",$M624=""),"Falta l'import. ","")&amp;IF(AND($J624="Contracte menor a càrrec del RAE",$K624=""),"Falta la partida RAE. ","")&amp;IF(AND($B624&lt;&gt;"",COUNTIF($B$6:$B$705,$B624)&gt;1),"Codi RAE repetit. ","")&amp;IF(AND($B624&lt;&gt;"",$J624&lt;&gt;"",$J624&lt;&gt;"Contracte menor a càrrec del RAE"),"Té codi RAE però no és de tipus RAE. ","")&amp;IF($N624="","Falta l'indicador del Pla. ","")&amp;IF($R624="","Falta el gestor. ","")&amp;IF($S624="","Falta indicar si és recurrent. ",""))))</f>
        <v/>
      </c>
    </row>
    <row r="625">
      <c r="A625" s="10">
        <f>IF($D625="","","27_"&amp;IFERROR(INDEX(Objectius!$E$2:$E$183,MATCH($D625,Objectius!$A$2:$A$183,0)),"??")&amp;"_"&amp;TEXT(COUNTIF($I$6:$I625,$I625),"00"))</f>
        <v/>
      </c>
      <c r="B625" s="11" t="n"/>
      <c r="C625" s="11" t="n"/>
      <c r="D625" s="11" t="n"/>
      <c r="E625" s="10">
        <f>IF($D625="","",IFERROR(INDEX(Objectius!$C$2:$C$183,MATCH($D625,Objectius!$A$2:$A$183,0)),"Objectiu no trobat al Pla"))</f>
        <v/>
      </c>
      <c r="F625" s="11" t="n"/>
      <c r="G625" s="11" t="n"/>
      <c r="H625" s="11" t="n"/>
      <c r="I625" s="10">
        <f>IF($D625="","",IFERROR(INDEX(Objectius!$D$2:$D$183,MATCH($D625,Objectius!$A$2:$A$183,0)),""))</f>
        <v/>
      </c>
      <c r="J625" s="11" t="n"/>
      <c r="K625" s="11" t="n"/>
      <c r="L625" s="11" t="n"/>
      <c r="M625" s="12" t="n"/>
      <c r="N625" s="11" t="n"/>
      <c r="O625" s="10">
        <f>IF($N625="","",IFERROR(INDEX('PLA ESTRATÈGIC'!$G$4:$G$452,MATCH($N625,'PLA ESTRATÈGIC'!$Q$4:$Q$452,0)),""))</f>
        <v/>
      </c>
      <c r="P625" s="10">
        <f>IF($N625="","",IFERROR(INDEX('PLA ESTRATÈGIC'!$H$4:$H$452,MATCH($N625,'PLA ESTRATÈGIC'!$Q$4:$Q$452,0)),""))</f>
        <v/>
      </c>
      <c r="Q625" s="13" t="n"/>
      <c r="R625" s="11" t="n"/>
      <c r="S625" s="11" t="n"/>
      <c r="T625" s="11" t="n"/>
      <c r="U625" s="11" t="n"/>
      <c r="V625" s="10">
        <f>IF(COUNTA($C625,$D625,$J625,$M625)=0,"",IF(TRIM(IF($C625="","Falta l'actuació. ","")&amp;IF($D625="","Falta l'objectiu. ","")&amp;IF($J625="","Falta el tipus de despesa. ","")&amp;IF(AND($J625&lt;&gt;"",$J625&lt;&gt;"Mitjans propis",$J625&lt;&gt;"Altres",$M625=""),"Falta l'import. ","")&amp;IF(AND($J625="Contracte menor a càrrec del RAE",$K625=""),"Falta la partida RAE. ","")&amp;IF(AND($B625&lt;&gt;"",COUNTIF($B$6:$B$705,$B625)&gt;1),"Codi RAE repetit. ","")&amp;IF(AND($B625&lt;&gt;"",$J625&lt;&gt;"",$J625&lt;&gt;"Contracte menor a càrrec del RAE"),"Té codi RAE però no és de tipus RAE. ","")&amp;IF($N625="","Falta l'indicador del Pla. ","")&amp;IF($R625="","Falta el gestor. ","")&amp;IF($S625="","Falta indicar si és recurrent. ",""))="","✔",TRIM(IF($C625="","Falta l'actuació. ","")&amp;IF($D625="","Falta l'objectiu. ","")&amp;IF($J625="","Falta el tipus de despesa. ","")&amp;IF(AND($J625&lt;&gt;"",$J625&lt;&gt;"Mitjans propis",$J625&lt;&gt;"Altres",$M625=""),"Falta l'import. ","")&amp;IF(AND($J625="Contracte menor a càrrec del RAE",$K625=""),"Falta la partida RAE. ","")&amp;IF(AND($B625&lt;&gt;"",COUNTIF($B$6:$B$705,$B625)&gt;1),"Codi RAE repetit. ","")&amp;IF(AND($B625&lt;&gt;"",$J625&lt;&gt;"",$J625&lt;&gt;"Contracte menor a càrrec del RAE"),"Té codi RAE però no és de tipus RAE. ","")&amp;IF($N625="","Falta l'indicador del Pla. ","")&amp;IF($R625="","Falta el gestor. ","")&amp;IF($S625="","Falta indicar si és recurrent. ",""))))</f>
        <v/>
      </c>
    </row>
    <row r="626">
      <c r="A626" s="10">
        <f>IF($D626="","","27_"&amp;IFERROR(INDEX(Objectius!$E$2:$E$183,MATCH($D626,Objectius!$A$2:$A$183,0)),"??")&amp;"_"&amp;TEXT(COUNTIF($I$6:$I626,$I626),"00"))</f>
        <v/>
      </c>
      <c r="B626" s="11" t="n"/>
      <c r="C626" s="11" t="n"/>
      <c r="D626" s="11" t="n"/>
      <c r="E626" s="10">
        <f>IF($D626="","",IFERROR(INDEX(Objectius!$C$2:$C$183,MATCH($D626,Objectius!$A$2:$A$183,0)),"Objectiu no trobat al Pla"))</f>
        <v/>
      </c>
      <c r="F626" s="11" t="n"/>
      <c r="G626" s="11" t="n"/>
      <c r="H626" s="11" t="n"/>
      <c r="I626" s="10">
        <f>IF($D626="","",IFERROR(INDEX(Objectius!$D$2:$D$183,MATCH($D626,Objectius!$A$2:$A$183,0)),""))</f>
        <v/>
      </c>
      <c r="J626" s="11" t="n"/>
      <c r="K626" s="11" t="n"/>
      <c r="L626" s="11" t="n"/>
      <c r="M626" s="12" t="n"/>
      <c r="N626" s="11" t="n"/>
      <c r="O626" s="10">
        <f>IF($N626="","",IFERROR(INDEX('PLA ESTRATÈGIC'!$G$4:$G$452,MATCH($N626,'PLA ESTRATÈGIC'!$Q$4:$Q$452,0)),""))</f>
        <v/>
      </c>
      <c r="P626" s="10">
        <f>IF($N626="","",IFERROR(INDEX('PLA ESTRATÈGIC'!$H$4:$H$452,MATCH($N626,'PLA ESTRATÈGIC'!$Q$4:$Q$452,0)),""))</f>
        <v/>
      </c>
      <c r="Q626" s="13" t="n"/>
      <c r="R626" s="11" t="n"/>
      <c r="S626" s="11" t="n"/>
      <c r="T626" s="11" t="n"/>
      <c r="U626" s="11" t="n"/>
      <c r="V626" s="10">
        <f>IF(COUNTA($C626,$D626,$J626,$M626)=0,"",IF(TRIM(IF($C626="","Falta l'actuació. ","")&amp;IF($D626="","Falta l'objectiu. ","")&amp;IF($J626="","Falta el tipus de despesa. ","")&amp;IF(AND($J626&lt;&gt;"",$J626&lt;&gt;"Mitjans propis",$J626&lt;&gt;"Altres",$M626=""),"Falta l'import. ","")&amp;IF(AND($J626="Contracte menor a càrrec del RAE",$K626=""),"Falta la partida RAE. ","")&amp;IF(AND($B626&lt;&gt;"",COUNTIF($B$6:$B$705,$B626)&gt;1),"Codi RAE repetit. ","")&amp;IF(AND($B626&lt;&gt;"",$J626&lt;&gt;"",$J626&lt;&gt;"Contracte menor a càrrec del RAE"),"Té codi RAE però no és de tipus RAE. ","")&amp;IF($N626="","Falta l'indicador del Pla. ","")&amp;IF($R626="","Falta el gestor. ","")&amp;IF($S626="","Falta indicar si és recurrent. ",""))="","✔",TRIM(IF($C626="","Falta l'actuació. ","")&amp;IF($D626="","Falta l'objectiu. ","")&amp;IF($J626="","Falta el tipus de despesa. ","")&amp;IF(AND($J626&lt;&gt;"",$J626&lt;&gt;"Mitjans propis",$J626&lt;&gt;"Altres",$M626=""),"Falta l'import. ","")&amp;IF(AND($J626="Contracte menor a càrrec del RAE",$K626=""),"Falta la partida RAE. ","")&amp;IF(AND($B626&lt;&gt;"",COUNTIF($B$6:$B$705,$B626)&gt;1),"Codi RAE repetit. ","")&amp;IF(AND($B626&lt;&gt;"",$J626&lt;&gt;"",$J626&lt;&gt;"Contracte menor a càrrec del RAE"),"Té codi RAE però no és de tipus RAE. ","")&amp;IF($N626="","Falta l'indicador del Pla. ","")&amp;IF($R626="","Falta el gestor. ","")&amp;IF($S626="","Falta indicar si és recurrent. ",""))))</f>
        <v/>
      </c>
    </row>
    <row r="627">
      <c r="A627" s="10">
        <f>IF($D627="","","27_"&amp;IFERROR(INDEX(Objectius!$E$2:$E$183,MATCH($D627,Objectius!$A$2:$A$183,0)),"??")&amp;"_"&amp;TEXT(COUNTIF($I$6:$I627,$I627),"00"))</f>
        <v/>
      </c>
      <c r="B627" s="11" t="n"/>
      <c r="C627" s="11" t="n"/>
      <c r="D627" s="11" t="n"/>
      <c r="E627" s="10">
        <f>IF($D627="","",IFERROR(INDEX(Objectius!$C$2:$C$183,MATCH($D627,Objectius!$A$2:$A$183,0)),"Objectiu no trobat al Pla"))</f>
        <v/>
      </c>
      <c r="F627" s="11" t="n"/>
      <c r="G627" s="11" t="n"/>
      <c r="H627" s="11" t="n"/>
      <c r="I627" s="10">
        <f>IF($D627="","",IFERROR(INDEX(Objectius!$D$2:$D$183,MATCH($D627,Objectius!$A$2:$A$183,0)),""))</f>
        <v/>
      </c>
      <c r="J627" s="11" t="n"/>
      <c r="K627" s="11" t="n"/>
      <c r="L627" s="11" t="n"/>
      <c r="M627" s="12" t="n"/>
      <c r="N627" s="11" t="n"/>
      <c r="O627" s="10">
        <f>IF($N627="","",IFERROR(INDEX('PLA ESTRATÈGIC'!$G$4:$G$452,MATCH($N627,'PLA ESTRATÈGIC'!$Q$4:$Q$452,0)),""))</f>
        <v/>
      </c>
      <c r="P627" s="10">
        <f>IF($N627="","",IFERROR(INDEX('PLA ESTRATÈGIC'!$H$4:$H$452,MATCH($N627,'PLA ESTRATÈGIC'!$Q$4:$Q$452,0)),""))</f>
        <v/>
      </c>
      <c r="Q627" s="13" t="n"/>
      <c r="R627" s="11" t="n"/>
      <c r="S627" s="11" t="n"/>
      <c r="T627" s="11" t="n"/>
      <c r="U627" s="11" t="n"/>
      <c r="V627" s="10">
        <f>IF(COUNTA($C627,$D627,$J627,$M627)=0,"",IF(TRIM(IF($C627="","Falta l'actuació. ","")&amp;IF($D627="","Falta l'objectiu. ","")&amp;IF($J627="","Falta el tipus de despesa. ","")&amp;IF(AND($J627&lt;&gt;"",$J627&lt;&gt;"Mitjans propis",$J627&lt;&gt;"Altres",$M627=""),"Falta l'import. ","")&amp;IF(AND($J627="Contracte menor a càrrec del RAE",$K627=""),"Falta la partida RAE. ","")&amp;IF(AND($B627&lt;&gt;"",COUNTIF($B$6:$B$705,$B627)&gt;1),"Codi RAE repetit. ","")&amp;IF(AND($B627&lt;&gt;"",$J627&lt;&gt;"",$J627&lt;&gt;"Contracte menor a càrrec del RAE"),"Té codi RAE però no és de tipus RAE. ","")&amp;IF($N627="","Falta l'indicador del Pla. ","")&amp;IF($R627="","Falta el gestor. ","")&amp;IF($S627="","Falta indicar si és recurrent. ",""))="","✔",TRIM(IF($C627="","Falta l'actuació. ","")&amp;IF($D627="","Falta l'objectiu. ","")&amp;IF($J627="","Falta el tipus de despesa. ","")&amp;IF(AND($J627&lt;&gt;"",$J627&lt;&gt;"Mitjans propis",$J627&lt;&gt;"Altres",$M627=""),"Falta l'import. ","")&amp;IF(AND($J627="Contracte menor a càrrec del RAE",$K627=""),"Falta la partida RAE. ","")&amp;IF(AND($B627&lt;&gt;"",COUNTIF($B$6:$B$705,$B627)&gt;1),"Codi RAE repetit. ","")&amp;IF(AND($B627&lt;&gt;"",$J627&lt;&gt;"",$J627&lt;&gt;"Contracte menor a càrrec del RAE"),"Té codi RAE però no és de tipus RAE. ","")&amp;IF($N627="","Falta l'indicador del Pla. ","")&amp;IF($R627="","Falta el gestor. ","")&amp;IF($S627="","Falta indicar si és recurrent. ",""))))</f>
        <v/>
      </c>
    </row>
    <row r="628">
      <c r="A628" s="10">
        <f>IF($D628="","","27_"&amp;IFERROR(INDEX(Objectius!$E$2:$E$183,MATCH($D628,Objectius!$A$2:$A$183,0)),"??")&amp;"_"&amp;TEXT(COUNTIF($I$6:$I628,$I628),"00"))</f>
        <v/>
      </c>
      <c r="B628" s="11" t="n"/>
      <c r="C628" s="11" t="n"/>
      <c r="D628" s="11" t="n"/>
      <c r="E628" s="10">
        <f>IF($D628="","",IFERROR(INDEX(Objectius!$C$2:$C$183,MATCH($D628,Objectius!$A$2:$A$183,0)),"Objectiu no trobat al Pla"))</f>
        <v/>
      </c>
      <c r="F628" s="11" t="n"/>
      <c r="G628" s="11" t="n"/>
      <c r="H628" s="11" t="n"/>
      <c r="I628" s="10">
        <f>IF($D628="","",IFERROR(INDEX(Objectius!$D$2:$D$183,MATCH($D628,Objectius!$A$2:$A$183,0)),""))</f>
        <v/>
      </c>
      <c r="J628" s="11" t="n"/>
      <c r="K628" s="11" t="n"/>
      <c r="L628" s="11" t="n"/>
      <c r="M628" s="12" t="n"/>
      <c r="N628" s="11" t="n"/>
      <c r="O628" s="10">
        <f>IF($N628="","",IFERROR(INDEX('PLA ESTRATÈGIC'!$G$4:$G$452,MATCH($N628,'PLA ESTRATÈGIC'!$Q$4:$Q$452,0)),""))</f>
        <v/>
      </c>
      <c r="P628" s="10">
        <f>IF($N628="","",IFERROR(INDEX('PLA ESTRATÈGIC'!$H$4:$H$452,MATCH($N628,'PLA ESTRATÈGIC'!$Q$4:$Q$452,0)),""))</f>
        <v/>
      </c>
      <c r="Q628" s="13" t="n"/>
      <c r="R628" s="11" t="n"/>
      <c r="S628" s="11" t="n"/>
      <c r="T628" s="11" t="n"/>
      <c r="U628" s="11" t="n"/>
      <c r="V628" s="10">
        <f>IF(COUNTA($C628,$D628,$J628,$M628)=0,"",IF(TRIM(IF($C628="","Falta l'actuació. ","")&amp;IF($D628="","Falta l'objectiu. ","")&amp;IF($J628="","Falta el tipus de despesa. ","")&amp;IF(AND($J628&lt;&gt;"",$J628&lt;&gt;"Mitjans propis",$J628&lt;&gt;"Altres",$M628=""),"Falta l'import. ","")&amp;IF(AND($J628="Contracte menor a càrrec del RAE",$K628=""),"Falta la partida RAE. ","")&amp;IF(AND($B628&lt;&gt;"",COUNTIF($B$6:$B$705,$B628)&gt;1),"Codi RAE repetit. ","")&amp;IF(AND($B628&lt;&gt;"",$J628&lt;&gt;"",$J628&lt;&gt;"Contracte menor a càrrec del RAE"),"Té codi RAE però no és de tipus RAE. ","")&amp;IF($N628="","Falta l'indicador del Pla. ","")&amp;IF($R628="","Falta el gestor. ","")&amp;IF($S628="","Falta indicar si és recurrent. ",""))="","✔",TRIM(IF($C628="","Falta l'actuació. ","")&amp;IF($D628="","Falta l'objectiu. ","")&amp;IF($J628="","Falta el tipus de despesa. ","")&amp;IF(AND($J628&lt;&gt;"",$J628&lt;&gt;"Mitjans propis",$J628&lt;&gt;"Altres",$M628=""),"Falta l'import. ","")&amp;IF(AND($J628="Contracte menor a càrrec del RAE",$K628=""),"Falta la partida RAE. ","")&amp;IF(AND($B628&lt;&gt;"",COUNTIF($B$6:$B$705,$B628)&gt;1),"Codi RAE repetit. ","")&amp;IF(AND($B628&lt;&gt;"",$J628&lt;&gt;"",$J628&lt;&gt;"Contracte menor a càrrec del RAE"),"Té codi RAE però no és de tipus RAE. ","")&amp;IF($N628="","Falta l'indicador del Pla. ","")&amp;IF($R628="","Falta el gestor. ","")&amp;IF($S628="","Falta indicar si és recurrent. ",""))))</f>
        <v/>
      </c>
    </row>
    <row r="629">
      <c r="A629" s="10">
        <f>IF($D629="","","27_"&amp;IFERROR(INDEX(Objectius!$E$2:$E$183,MATCH($D629,Objectius!$A$2:$A$183,0)),"??")&amp;"_"&amp;TEXT(COUNTIF($I$6:$I629,$I629),"00"))</f>
        <v/>
      </c>
      <c r="B629" s="11" t="n"/>
      <c r="C629" s="11" t="n"/>
      <c r="D629" s="11" t="n"/>
      <c r="E629" s="10">
        <f>IF($D629="","",IFERROR(INDEX(Objectius!$C$2:$C$183,MATCH($D629,Objectius!$A$2:$A$183,0)),"Objectiu no trobat al Pla"))</f>
        <v/>
      </c>
      <c r="F629" s="11" t="n"/>
      <c r="G629" s="11" t="n"/>
      <c r="H629" s="11" t="n"/>
      <c r="I629" s="10">
        <f>IF($D629="","",IFERROR(INDEX(Objectius!$D$2:$D$183,MATCH($D629,Objectius!$A$2:$A$183,0)),""))</f>
        <v/>
      </c>
      <c r="J629" s="11" t="n"/>
      <c r="K629" s="11" t="n"/>
      <c r="L629" s="11" t="n"/>
      <c r="M629" s="12" t="n"/>
      <c r="N629" s="11" t="n"/>
      <c r="O629" s="10">
        <f>IF($N629="","",IFERROR(INDEX('PLA ESTRATÈGIC'!$G$4:$G$452,MATCH($N629,'PLA ESTRATÈGIC'!$Q$4:$Q$452,0)),""))</f>
        <v/>
      </c>
      <c r="P629" s="10">
        <f>IF($N629="","",IFERROR(INDEX('PLA ESTRATÈGIC'!$H$4:$H$452,MATCH($N629,'PLA ESTRATÈGIC'!$Q$4:$Q$452,0)),""))</f>
        <v/>
      </c>
      <c r="Q629" s="13" t="n"/>
      <c r="R629" s="11" t="n"/>
      <c r="S629" s="11" t="n"/>
      <c r="T629" s="11" t="n"/>
      <c r="U629" s="11" t="n"/>
      <c r="V629" s="10">
        <f>IF(COUNTA($C629,$D629,$J629,$M629)=0,"",IF(TRIM(IF($C629="","Falta l'actuació. ","")&amp;IF($D629="","Falta l'objectiu. ","")&amp;IF($J629="","Falta el tipus de despesa. ","")&amp;IF(AND($J629&lt;&gt;"",$J629&lt;&gt;"Mitjans propis",$J629&lt;&gt;"Altres",$M629=""),"Falta l'import. ","")&amp;IF(AND($J629="Contracte menor a càrrec del RAE",$K629=""),"Falta la partida RAE. ","")&amp;IF(AND($B629&lt;&gt;"",COUNTIF($B$6:$B$705,$B629)&gt;1),"Codi RAE repetit. ","")&amp;IF(AND($B629&lt;&gt;"",$J629&lt;&gt;"",$J629&lt;&gt;"Contracte menor a càrrec del RAE"),"Té codi RAE però no és de tipus RAE. ","")&amp;IF($N629="","Falta l'indicador del Pla. ","")&amp;IF($R629="","Falta el gestor. ","")&amp;IF($S629="","Falta indicar si és recurrent. ",""))="","✔",TRIM(IF($C629="","Falta l'actuació. ","")&amp;IF($D629="","Falta l'objectiu. ","")&amp;IF($J629="","Falta el tipus de despesa. ","")&amp;IF(AND($J629&lt;&gt;"",$J629&lt;&gt;"Mitjans propis",$J629&lt;&gt;"Altres",$M629=""),"Falta l'import. ","")&amp;IF(AND($J629="Contracte menor a càrrec del RAE",$K629=""),"Falta la partida RAE. ","")&amp;IF(AND($B629&lt;&gt;"",COUNTIF($B$6:$B$705,$B629)&gt;1),"Codi RAE repetit. ","")&amp;IF(AND($B629&lt;&gt;"",$J629&lt;&gt;"",$J629&lt;&gt;"Contracte menor a càrrec del RAE"),"Té codi RAE però no és de tipus RAE. ","")&amp;IF($N629="","Falta l'indicador del Pla. ","")&amp;IF($R629="","Falta el gestor. ","")&amp;IF($S629="","Falta indicar si és recurrent. ",""))))</f>
        <v/>
      </c>
    </row>
    <row r="630">
      <c r="A630" s="10">
        <f>IF($D630="","","27_"&amp;IFERROR(INDEX(Objectius!$E$2:$E$183,MATCH($D630,Objectius!$A$2:$A$183,0)),"??")&amp;"_"&amp;TEXT(COUNTIF($I$6:$I630,$I630),"00"))</f>
        <v/>
      </c>
      <c r="B630" s="11" t="n"/>
      <c r="C630" s="11" t="n"/>
      <c r="D630" s="11" t="n"/>
      <c r="E630" s="10">
        <f>IF($D630="","",IFERROR(INDEX(Objectius!$C$2:$C$183,MATCH($D630,Objectius!$A$2:$A$183,0)),"Objectiu no trobat al Pla"))</f>
        <v/>
      </c>
      <c r="F630" s="11" t="n"/>
      <c r="G630" s="11" t="n"/>
      <c r="H630" s="11" t="n"/>
      <c r="I630" s="10">
        <f>IF($D630="","",IFERROR(INDEX(Objectius!$D$2:$D$183,MATCH($D630,Objectius!$A$2:$A$183,0)),""))</f>
        <v/>
      </c>
      <c r="J630" s="11" t="n"/>
      <c r="K630" s="11" t="n"/>
      <c r="L630" s="11" t="n"/>
      <c r="M630" s="12" t="n"/>
      <c r="N630" s="11" t="n"/>
      <c r="O630" s="10">
        <f>IF($N630="","",IFERROR(INDEX('PLA ESTRATÈGIC'!$G$4:$G$452,MATCH($N630,'PLA ESTRATÈGIC'!$Q$4:$Q$452,0)),""))</f>
        <v/>
      </c>
      <c r="P630" s="10">
        <f>IF($N630="","",IFERROR(INDEX('PLA ESTRATÈGIC'!$H$4:$H$452,MATCH($N630,'PLA ESTRATÈGIC'!$Q$4:$Q$452,0)),""))</f>
        <v/>
      </c>
      <c r="Q630" s="13" t="n"/>
      <c r="R630" s="11" t="n"/>
      <c r="S630" s="11" t="n"/>
      <c r="T630" s="11" t="n"/>
      <c r="U630" s="11" t="n"/>
      <c r="V630" s="10">
        <f>IF(COUNTA($C630,$D630,$J630,$M630)=0,"",IF(TRIM(IF($C630="","Falta l'actuació. ","")&amp;IF($D630="","Falta l'objectiu. ","")&amp;IF($J630="","Falta el tipus de despesa. ","")&amp;IF(AND($J630&lt;&gt;"",$J630&lt;&gt;"Mitjans propis",$J630&lt;&gt;"Altres",$M630=""),"Falta l'import. ","")&amp;IF(AND($J630="Contracte menor a càrrec del RAE",$K630=""),"Falta la partida RAE. ","")&amp;IF(AND($B630&lt;&gt;"",COUNTIF($B$6:$B$705,$B630)&gt;1),"Codi RAE repetit. ","")&amp;IF(AND($B630&lt;&gt;"",$J630&lt;&gt;"",$J630&lt;&gt;"Contracte menor a càrrec del RAE"),"Té codi RAE però no és de tipus RAE. ","")&amp;IF($N630="","Falta l'indicador del Pla. ","")&amp;IF($R630="","Falta el gestor. ","")&amp;IF($S630="","Falta indicar si és recurrent. ",""))="","✔",TRIM(IF($C630="","Falta l'actuació. ","")&amp;IF($D630="","Falta l'objectiu. ","")&amp;IF($J630="","Falta el tipus de despesa. ","")&amp;IF(AND($J630&lt;&gt;"",$J630&lt;&gt;"Mitjans propis",$J630&lt;&gt;"Altres",$M630=""),"Falta l'import. ","")&amp;IF(AND($J630="Contracte menor a càrrec del RAE",$K630=""),"Falta la partida RAE. ","")&amp;IF(AND($B630&lt;&gt;"",COUNTIF($B$6:$B$705,$B630)&gt;1),"Codi RAE repetit. ","")&amp;IF(AND($B630&lt;&gt;"",$J630&lt;&gt;"",$J630&lt;&gt;"Contracte menor a càrrec del RAE"),"Té codi RAE però no és de tipus RAE. ","")&amp;IF($N630="","Falta l'indicador del Pla. ","")&amp;IF($R630="","Falta el gestor. ","")&amp;IF($S630="","Falta indicar si és recurrent. ",""))))</f>
        <v/>
      </c>
    </row>
    <row r="631">
      <c r="A631" s="10">
        <f>IF($D631="","","27_"&amp;IFERROR(INDEX(Objectius!$E$2:$E$183,MATCH($D631,Objectius!$A$2:$A$183,0)),"??")&amp;"_"&amp;TEXT(COUNTIF($I$6:$I631,$I631),"00"))</f>
        <v/>
      </c>
      <c r="B631" s="11" t="n"/>
      <c r="C631" s="11" t="n"/>
      <c r="D631" s="11" t="n"/>
      <c r="E631" s="10">
        <f>IF($D631="","",IFERROR(INDEX(Objectius!$C$2:$C$183,MATCH($D631,Objectius!$A$2:$A$183,0)),"Objectiu no trobat al Pla"))</f>
        <v/>
      </c>
      <c r="F631" s="11" t="n"/>
      <c r="G631" s="11" t="n"/>
      <c r="H631" s="11" t="n"/>
      <c r="I631" s="10">
        <f>IF($D631="","",IFERROR(INDEX(Objectius!$D$2:$D$183,MATCH($D631,Objectius!$A$2:$A$183,0)),""))</f>
        <v/>
      </c>
      <c r="J631" s="11" t="n"/>
      <c r="K631" s="11" t="n"/>
      <c r="L631" s="11" t="n"/>
      <c r="M631" s="12" t="n"/>
      <c r="N631" s="11" t="n"/>
      <c r="O631" s="10">
        <f>IF($N631="","",IFERROR(INDEX('PLA ESTRATÈGIC'!$G$4:$G$452,MATCH($N631,'PLA ESTRATÈGIC'!$Q$4:$Q$452,0)),""))</f>
        <v/>
      </c>
      <c r="P631" s="10">
        <f>IF($N631="","",IFERROR(INDEX('PLA ESTRATÈGIC'!$H$4:$H$452,MATCH($N631,'PLA ESTRATÈGIC'!$Q$4:$Q$452,0)),""))</f>
        <v/>
      </c>
      <c r="Q631" s="13" t="n"/>
      <c r="R631" s="11" t="n"/>
      <c r="S631" s="11" t="n"/>
      <c r="T631" s="11" t="n"/>
      <c r="U631" s="11" t="n"/>
      <c r="V631" s="10">
        <f>IF(COUNTA($C631,$D631,$J631,$M631)=0,"",IF(TRIM(IF($C631="","Falta l'actuació. ","")&amp;IF($D631="","Falta l'objectiu. ","")&amp;IF($J631="","Falta el tipus de despesa. ","")&amp;IF(AND($J631&lt;&gt;"",$J631&lt;&gt;"Mitjans propis",$J631&lt;&gt;"Altres",$M631=""),"Falta l'import. ","")&amp;IF(AND($J631="Contracte menor a càrrec del RAE",$K631=""),"Falta la partida RAE. ","")&amp;IF(AND($B631&lt;&gt;"",COUNTIF($B$6:$B$705,$B631)&gt;1),"Codi RAE repetit. ","")&amp;IF(AND($B631&lt;&gt;"",$J631&lt;&gt;"",$J631&lt;&gt;"Contracte menor a càrrec del RAE"),"Té codi RAE però no és de tipus RAE. ","")&amp;IF($N631="","Falta l'indicador del Pla. ","")&amp;IF($R631="","Falta el gestor. ","")&amp;IF($S631="","Falta indicar si és recurrent. ",""))="","✔",TRIM(IF($C631="","Falta l'actuació. ","")&amp;IF($D631="","Falta l'objectiu. ","")&amp;IF($J631="","Falta el tipus de despesa. ","")&amp;IF(AND($J631&lt;&gt;"",$J631&lt;&gt;"Mitjans propis",$J631&lt;&gt;"Altres",$M631=""),"Falta l'import. ","")&amp;IF(AND($J631="Contracte menor a càrrec del RAE",$K631=""),"Falta la partida RAE. ","")&amp;IF(AND($B631&lt;&gt;"",COUNTIF($B$6:$B$705,$B631)&gt;1),"Codi RAE repetit. ","")&amp;IF(AND($B631&lt;&gt;"",$J631&lt;&gt;"",$J631&lt;&gt;"Contracte menor a càrrec del RAE"),"Té codi RAE però no és de tipus RAE. ","")&amp;IF($N631="","Falta l'indicador del Pla. ","")&amp;IF($R631="","Falta el gestor. ","")&amp;IF($S631="","Falta indicar si és recurrent. ",""))))</f>
        <v/>
      </c>
    </row>
    <row r="632">
      <c r="A632" s="10">
        <f>IF($D632="","","27_"&amp;IFERROR(INDEX(Objectius!$E$2:$E$183,MATCH($D632,Objectius!$A$2:$A$183,0)),"??")&amp;"_"&amp;TEXT(COUNTIF($I$6:$I632,$I632),"00"))</f>
        <v/>
      </c>
      <c r="B632" s="11" t="n"/>
      <c r="C632" s="11" t="n"/>
      <c r="D632" s="11" t="n"/>
      <c r="E632" s="10">
        <f>IF($D632="","",IFERROR(INDEX(Objectius!$C$2:$C$183,MATCH($D632,Objectius!$A$2:$A$183,0)),"Objectiu no trobat al Pla"))</f>
        <v/>
      </c>
      <c r="F632" s="11" t="n"/>
      <c r="G632" s="11" t="n"/>
      <c r="H632" s="11" t="n"/>
      <c r="I632" s="10">
        <f>IF($D632="","",IFERROR(INDEX(Objectius!$D$2:$D$183,MATCH($D632,Objectius!$A$2:$A$183,0)),""))</f>
        <v/>
      </c>
      <c r="J632" s="11" t="n"/>
      <c r="K632" s="11" t="n"/>
      <c r="L632" s="11" t="n"/>
      <c r="M632" s="12" t="n"/>
      <c r="N632" s="11" t="n"/>
      <c r="O632" s="10">
        <f>IF($N632="","",IFERROR(INDEX('PLA ESTRATÈGIC'!$G$4:$G$452,MATCH($N632,'PLA ESTRATÈGIC'!$Q$4:$Q$452,0)),""))</f>
        <v/>
      </c>
      <c r="P632" s="10">
        <f>IF($N632="","",IFERROR(INDEX('PLA ESTRATÈGIC'!$H$4:$H$452,MATCH($N632,'PLA ESTRATÈGIC'!$Q$4:$Q$452,0)),""))</f>
        <v/>
      </c>
      <c r="Q632" s="13" t="n"/>
      <c r="R632" s="11" t="n"/>
      <c r="S632" s="11" t="n"/>
      <c r="T632" s="11" t="n"/>
      <c r="U632" s="11" t="n"/>
      <c r="V632" s="10">
        <f>IF(COUNTA($C632,$D632,$J632,$M632)=0,"",IF(TRIM(IF($C632="","Falta l'actuació. ","")&amp;IF($D632="","Falta l'objectiu. ","")&amp;IF($J632="","Falta el tipus de despesa. ","")&amp;IF(AND($J632&lt;&gt;"",$J632&lt;&gt;"Mitjans propis",$J632&lt;&gt;"Altres",$M632=""),"Falta l'import. ","")&amp;IF(AND($J632="Contracte menor a càrrec del RAE",$K632=""),"Falta la partida RAE. ","")&amp;IF(AND($B632&lt;&gt;"",COUNTIF($B$6:$B$705,$B632)&gt;1),"Codi RAE repetit. ","")&amp;IF(AND($B632&lt;&gt;"",$J632&lt;&gt;"",$J632&lt;&gt;"Contracte menor a càrrec del RAE"),"Té codi RAE però no és de tipus RAE. ","")&amp;IF($N632="","Falta l'indicador del Pla. ","")&amp;IF($R632="","Falta el gestor. ","")&amp;IF($S632="","Falta indicar si és recurrent. ",""))="","✔",TRIM(IF($C632="","Falta l'actuació. ","")&amp;IF($D632="","Falta l'objectiu. ","")&amp;IF($J632="","Falta el tipus de despesa. ","")&amp;IF(AND($J632&lt;&gt;"",$J632&lt;&gt;"Mitjans propis",$J632&lt;&gt;"Altres",$M632=""),"Falta l'import. ","")&amp;IF(AND($J632="Contracte menor a càrrec del RAE",$K632=""),"Falta la partida RAE. ","")&amp;IF(AND($B632&lt;&gt;"",COUNTIF($B$6:$B$705,$B632)&gt;1),"Codi RAE repetit. ","")&amp;IF(AND($B632&lt;&gt;"",$J632&lt;&gt;"",$J632&lt;&gt;"Contracte menor a càrrec del RAE"),"Té codi RAE però no és de tipus RAE. ","")&amp;IF($N632="","Falta l'indicador del Pla. ","")&amp;IF($R632="","Falta el gestor. ","")&amp;IF($S632="","Falta indicar si és recurrent. ",""))))</f>
        <v/>
      </c>
    </row>
    <row r="633">
      <c r="A633" s="10">
        <f>IF($D633="","","27_"&amp;IFERROR(INDEX(Objectius!$E$2:$E$183,MATCH($D633,Objectius!$A$2:$A$183,0)),"??")&amp;"_"&amp;TEXT(COUNTIF($I$6:$I633,$I633),"00"))</f>
        <v/>
      </c>
      <c r="B633" s="11" t="n"/>
      <c r="C633" s="11" t="n"/>
      <c r="D633" s="11" t="n"/>
      <c r="E633" s="10">
        <f>IF($D633="","",IFERROR(INDEX(Objectius!$C$2:$C$183,MATCH($D633,Objectius!$A$2:$A$183,0)),"Objectiu no trobat al Pla"))</f>
        <v/>
      </c>
      <c r="F633" s="11" t="n"/>
      <c r="G633" s="11" t="n"/>
      <c r="H633" s="11" t="n"/>
      <c r="I633" s="10">
        <f>IF($D633="","",IFERROR(INDEX(Objectius!$D$2:$D$183,MATCH($D633,Objectius!$A$2:$A$183,0)),""))</f>
        <v/>
      </c>
      <c r="J633" s="11" t="n"/>
      <c r="K633" s="11" t="n"/>
      <c r="L633" s="11" t="n"/>
      <c r="M633" s="12" t="n"/>
      <c r="N633" s="11" t="n"/>
      <c r="O633" s="10">
        <f>IF($N633="","",IFERROR(INDEX('PLA ESTRATÈGIC'!$G$4:$G$452,MATCH($N633,'PLA ESTRATÈGIC'!$Q$4:$Q$452,0)),""))</f>
        <v/>
      </c>
      <c r="P633" s="10">
        <f>IF($N633="","",IFERROR(INDEX('PLA ESTRATÈGIC'!$H$4:$H$452,MATCH($N633,'PLA ESTRATÈGIC'!$Q$4:$Q$452,0)),""))</f>
        <v/>
      </c>
      <c r="Q633" s="13" t="n"/>
      <c r="R633" s="11" t="n"/>
      <c r="S633" s="11" t="n"/>
      <c r="T633" s="11" t="n"/>
      <c r="U633" s="11" t="n"/>
      <c r="V633" s="10">
        <f>IF(COUNTA($C633,$D633,$J633,$M633)=0,"",IF(TRIM(IF($C633="","Falta l'actuació. ","")&amp;IF($D633="","Falta l'objectiu. ","")&amp;IF($J633="","Falta el tipus de despesa. ","")&amp;IF(AND($J633&lt;&gt;"",$J633&lt;&gt;"Mitjans propis",$J633&lt;&gt;"Altres",$M633=""),"Falta l'import. ","")&amp;IF(AND($J633="Contracte menor a càrrec del RAE",$K633=""),"Falta la partida RAE. ","")&amp;IF(AND($B633&lt;&gt;"",COUNTIF($B$6:$B$705,$B633)&gt;1),"Codi RAE repetit. ","")&amp;IF(AND($B633&lt;&gt;"",$J633&lt;&gt;"",$J633&lt;&gt;"Contracte menor a càrrec del RAE"),"Té codi RAE però no és de tipus RAE. ","")&amp;IF($N633="","Falta l'indicador del Pla. ","")&amp;IF($R633="","Falta el gestor. ","")&amp;IF($S633="","Falta indicar si és recurrent. ",""))="","✔",TRIM(IF($C633="","Falta l'actuació. ","")&amp;IF($D633="","Falta l'objectiu. ","")&amp;IF($J633="","Falta el tipus de despesa. ","")&amp;IF(AND($J633&lt;&gt;"",$J633&lt;&gt;"Mitjans propis",$J633&lt;&gt;"Altres",$M633=""),"Falta l'import. ","")&amp;IF(AND($J633="Contracte menor a càrrec del RAE",$K633=""),"Falta la partida RAE. ","")&amp;IF(AND($B633&lt;&gt;"",COUNTIF($B$6:$B$705,$B633)&gt;1),"Codi RAE repetit. ","")&amp;IF(AND($B633&lt;&gt;"",$J633&lt;&gt;"",$J633&lt;&gt;"Contracte menor a càrrec del RAE"),"Té codi RAE però no és de tipus RAE. ","")&amp;IF($N633="","Falta l'indicador del Pla. ","")&amp;IF($R633="","Falta el gestor. ","")&amp;IF($S633="","Falta indicar si és recurrent. ",""))))</f>
        <v/>
      </c>
    </row>
    <row r="634">
      <c r="A634" s="10">
        <f>IF($D634="","","27_"&amp;IFERROR(INDEX(Objectius!$E$2:$E$183,MATCH($D634,Objectius!$A$2:$A$183,0)),"??")&amp;"_"&amp;TEXT(COUNTIF($I$6:$I634,$I634),"00"))</f>
        <v/>
      </c>
      <c r="B634" s="11" t="n"/>
      <c r="C634" s="11" t="n"/>
      <c r="D634" s="11" t="n"/>
      <c r="E634" s="10">
        <f>IF($D634="","",IFERROR(INDEX(Objectius!$C$2:$C$183,MATCH($D634,Objectius!$A$2:$A$183,0)),"Objectiu no trobat al Pla"))</f>
        <v/>
      </c>
      <c r="F634" s="11" t="n"/>
      <c r="G634" s="11" t="n"/>
      <c r="H634" s="11" t="n"/>
      <c r="I634" s="10">
        <f>IF($D634="","",IFERROR(INDEX(Objectius!$D$2:$D$183,MATCH($D634,Objectius!$A$2:$A$183,0)),""))</f>
        <v/>
      </c>
      <c r="J634" s="11" t="n"/>
      <c r="K634" s="11" t="n"/>
      <c r="L634" s="11" t="n"/>
      <c r="M634" s="12" t="n"/>
      <c r="N634" s="11" t="n"/>
      <c r="O634" s="10">
        <f>IF($N634="","",IFERROR(INDEX('PLA ESTRATÈGIC'!$G$4:$G$452,MATCH($N634,'PLA ESTRATÈGIC'!$Q$4:$Q$452,0)),""))</f>
        <v/>
      </c>
      <c r="P634" s="10">
        <f>IF($N634="","",IFERROR(INDEX('PLA ESTRATÈGIC'!$H$4:$H$452,MATCH($N634,'PLA ESTRATÈGIC'!$Q$4:$Q$452,0)),""))</f>
        <v/>
      </c>
      <c r="Q634" s="13" t="n"/>
      <c r="R634" s="11" t="n"/>
      <c r="S634" s="11" t="n"/>
      <c r="T634" s="11" t="n"/>
      <c r="U634" s="11" t="n"/>
      <c r="V634" s="10">
        <f>IF(COUNTA($C634,$D634,$J634,$M634)=0,"",IF(TRIM(IF($C634="","Falta l'actuació. ","")&amp;IF($D634="","Falta l'objectiu. ","")&amp;IF($J634="","Falta el tipus de despesa. ","")&amp;IF(AND($J634&lt;&gt;"",$J634&lt;&gt;"Mitjans propis",$J634&lt;&gt;"Altres",$M634=""),"Falta l'import. ","")&amp;IF(AND($J634="Contracte menor a càrrec del RAE",$K634=""),"Falta la partida RAE. ","")&amp;IF(AND($B634&lt;&gt;"",COUNTIF($B$6:$B$705,$B634)&gt;1),"Codi RAE repetit. ","")&amp;IF(AND($B634&lt;&gt;"",$J634&lt;&gt;"",$J634&lt;&gt;"Contracte menor a càrrec del RAE"),"Té codi RAE però no és de tipus RAE. ","")&amp;IF($N634="","Falta l'indicador del Pla. ","")&amp;IF($R634="","Falta el gestor. ","")&amp;IF($S634="","Falta indicar si és recurrent. ",""))="","✔",TRIM(IF($C634="","Falta l'actuació. ","")&amp;IF($D634="","Falta l'objectiu. ","")&amp;IF($J634="","Falta el tipus de despesa. ","")&amp;IF(AND($J634&lt;&gt;"",$J634&lt;&gt;"Mitjans propis",$J634&lt;&gt;"Altres",$M634=""),"Falta l'import. ","")&amp;IF(AND($J634="Contracte menor a càrrec del RAE",$K634=""),"Falta la partida RAE. ","")&amp;IF(AND($B634&lt;&gt;"",COUNTIF($B$6:$B$705,$B634)&gt;1),"Codi RAE repetit. ","")&amp;IF(AND($B634&lt;&gt;"",$J634&lt;&gt;"",$J634&lt;&gt;"Contracte menor a càrrec del RAE"),"Té codi RAE però no és de tipus RAE. ","")&amp;IF($N634="","Falta l'indicador del Pla. ","")&amp;IF($R634="","Falta el gestor. ","")&amp;IF($S634="","Falta indicar si és recurrent. ",""))))</f>
        <v/>
      </c>
    </row>
    <row r="635">
      <c r="A635" s="10">
        <f>IF($D635="","","27_"&amp;IFERROR(INDEX(Objectius!$E$2:$E$183,MATCH($D635,Objectius!$A$2:$A$183,0)),"??")&amp;"_"&amp;TEXT(COUNTIF($I$6:$I635,$I635),"00"))</f>
        <v/>
      </c>
      <c r="B635" s="11" t="n"/>
      <c r="C635" s="11" t="n"/>
      <c r="D635" s="11" t="n"/>
      <c r="E635" s="10">
        <f>IF($D635="","",IFERROR(INDEX(Objectius!$C$2:$C$183,MATCH($D635,Objectius!$A$2:$A$183,0)),"Objectiu no trobat al Pla"))</f>
        <v/>
      </c>
      <c r="F635" s="11" t="n"/>
      <c r="G635" s="11" t="n"/>
      <c r="H635" s="11" t="n"/>
      <c r="I635" s="10">
        <f>IF($D635="","",IFERROR(INDEX(Objectius!$D$2:$D$183,MATCH($D635,Objectius!$A$2:$A$183,0)),""))</f>
        <v/>
      </c>
      <c r="J635" s="11" t="n"/>
      <c r="K635" s="11" t="n"/>
      <c r="L635" s="11" t="n"/>
      <c r="M635" s="12" t="n"/>
      <c r="N635" s="11" t="n"/>
      <c r="O635" s="10">
        <f>IF($N635="","",IFERROR(INDEX('PLA ESTRATÈGIC'!$G$4:$G$452,MATCH($N635,'PLA ESTRATÈGIC'!$Q$4:$Q$452,0)),""))</f>
        <v/>
      </c>
      <c r="P635" s="10">
        <f>IF($N635="","",IFERROR(INDEX('PLA ESTRATÈGIC'!$H$4:$H$452,MATCH($N635,'PLA ESTRATÈGIC'!$Q$4:$Q$452,0)),""))</f>
        <v/>
      </c>
      <c r="Q635" s="13" t="n"/>
      <c r="R635" s="11" t="n"/>
      <c r="S635" s="11" t="n"/>
      <c r="T635" s="11" t="n"/>
      <c r="U635" s="11" t="n"/>
      <c r="V635" s="10">
        <f>IF(COUNTA($C635,$D635,$J635,$M635)=0,"",IF(TRIM(IF($C635="","Falta l'actuació. ","")&amp;IF($D635="","Falta l'objectiu. ","")&amp;IF($J635="","Falta el tipus de despesa. ","")&amp;IF(AND($J635&lt;&gt;"",$J635&lt;&gt;"Mitjans propis",$J635&lt;&gt;"Altres",$M635=""),"Falta l'import. ","")&amp;IF(AND($J635="Contracte menor a càrrec del RAE",$K635=""),"Falta la partida RAE. ","")&amp;IF(AND($B635&lt;&gt;"",COUNTIF($B$6:$B$705,$B635)&gt;1),"Codi RAE repetit. ","")&amp;IF(AND($B635&lt;&gt;"",$J635&lt;&gt;"",$J635&lt;&gt;"Contracte menor a càrrec del RAE"),"Té codi RAE però no és de tipus RAE. ","")&amp;IF($N635="","Falta l'indicador del Pla. ","")&amp;IF($R635="","Falta el gestor. ","")&amp;IF($S635="","Falta indicar si és recurrent. ",""))="","✔",TRIM(IF($C635="","Falta l'actuació. ","")&amp;IF($D635="","Falta l'objectiu. ","")&amp;IF($J635="","Falta el tipus de despesa. ","")&amp;IF(AND($J635&lt;&gt;"",$J635&lt;&gt;"Mitjans propis",$J635&lt;&gt;"Altres",$M635=""),"Falta l'import. ","")&amp;IF(AND($J635="Contracte menor a càrrec del RAE",$K635=""),"Falta la partida RAE. ","")&amp;IF(AND($B635&lt;&gt;"",COUNTIF($B$6:$B$705,$B635)&gt;1),"Codi RAE repetit. ","")&amp;IF(AND($B635&lt;&gt;"",$J635&lt;&gt;"",$J635&lt;&gt;"Contracte menor a càrrec del RAE"),"Té codi RAE però no és de tipus RAE. ","")&amp;IF($N635="","Falta l'indicador del Pla. ","")&amp;IF($R635="","Falta el gestor. ","")&amp;IF($S635="","Falta indicar si és recurrent. ",""))))</f>
        <v/>
      </c>
    </row>
    <row r="636">
      <c r="A636" s="10">
        <f>IF($D636="","","27_"&amp;IFERROR(INDEX(Objectius!$E$2:$E$183,MATCH($D636,Objectius!$A$2:$A$183,0)),"??")&amp;"_"&amp;TEXT(COUNTIF($I$6:$I636,$I636),"00"))</f>
        <v/>
      </c>
      <c r="B636" s="11" t="n"/>
      <c r="C636" s="11" t="n"/>
      <c r="D636" s="11" t="n"/>
      <c r="E636" s="10">
        <f>IF($D636="","",IFERROR(INDEX(Objectius!$C$2:$C$183,MATCH($D636,Objectius!$A$2:$A$183,0)),"Objectiu no trobat al Pla"))</f>
        <v/>
      </c>
      <c r="F636" s="11" t="n"/>
      <c r="G636" s="11" t="n"/>
      <c r="H636" s="11" t="n"/>
      <c r="I636" s="10">
        <f>IF($D636="","",IFERROR(INDEX(Objectius!$D$2:$D$183,MATCH($D636,Objectius!$A$2:$A$183,0)),""))</f>
        <v/>
      </c>
      <c r="J636" s="11" t="n"/>
      <c r="K636" s="11" t="n"/>
      <c r="L636" s="11" t="n"/>
      <c r="M636" s="12" t="n"/>
      <c r="N636" s="11" t="n"/>
      <c r="O636" s="10">
        <f>IF($N636="","",IFERROR(INDEX('PLA ESTRATÈGIC'!$G$4:$G$452,MATCH($N636,'PLA ESTRATÈGIC'!$Q$4:$Q$452,0)),""))</f>
        <v/>
      </c>
      <c r="P636" s="10">
        <f>IF($N636="","",IFERROR(INDEX('PLA ESTRATÈGIC'!$H$4:$H$452,MATCH($N636,'PLA ESTRATÈGIC'!$Q$4:$Q$452,0)),""))</f>
        <v/>
      </c>
      <c r="Q636" s="13" t="n"/>
      <c r="R636" s="11" t="n"/>
      <c r="S636" s="11" t="n"/>
      <c r="T636" s="11" t="n"/>
      <c r="U636" s="11" t="n"/>
      <c r="V636" s="10">
        <f>IF(COUNTA($C636,$D636,$J636,$M636)=0,"",IF(TRIM(IF($C636="","Falta l'actuació. ","")&amp;IF($D636="","Falta l'objectiu. ","")&amp;IF($J636="","Falta el tipus de despesa. ","")&amp;IF(AND($J636&lt;&gt;"",$J636&lt;&gt;"Mitjans propis",$J636&lt;&gt;"Altres",$M636=""),"Falta l'import. ","")&amp;IF(AND($J636="Contracte menor a càrrec del RAE",$K636=""),"Falta la partida RAE. ","")&amp;IF(AND($B636&lt;&gt;"",COUNTIF($B$6:$B$705,$B636)&gt;1),"Codi RAE repetit. ","")&amp;IF(AND($B636&lt;&gt;"",$J636&lt;&gt;"",$J636&lt;&gt;"Contracte menor a càrrec del RAE"),"Té codi RAE però no és de tipus RAE. ","")&amp;IF($N636="","Falta l'indicador del Pla. ","")&amp;IF($R636="","Falta el gestor. ","")&amp;IF($S636="","Falta indicar si és recurrent. ",""))="","✔",TRIM(IF($C636="","Falta l'actuació. ","")&amp;IF($D636="","Falta l'objectiu. ","")&amp;IF($J636="","Falta el tipus de despesa. ","")&amp;IF(AND($J636&lt;&gt;"",$J636&lt;&gt;"Mitjans propis",$J636&lt;&gt;"Altres",$M636=""),"Falta l'import. ","")&amp;IF(AND($J636="Contracte menor a càrrec del RAE",$K636=""),"Falta la partida RAE. ","")&amp;IF(AND($B636&lt;&gt;"",COUNTIF($B$6:$B$705,$B636)&gt;1),"Codi RAE repetit. ","")&amp;IF(AND($B636&lt;&gt;"",$J636&lt;&gt;"",$J636&lt;&gt;"Contracte menor a càrrec del RAE"),"Té codi RAE però no és de tipus RAE. ","")&amp;IF($N636="","Falta l'indicador del Pla. ","")&amp;IF($R636="","Falta el gestor. ","")&amp;IF($S636="","Falta indicar si és recurrent. ",""))))</f>
        <v/>
      </c>
    </row>
    <row r="637">
      <c r="A637" s="10">
        <f>IF($D637="","","27_"&amp;IFERROR(INDEX(Objectius!$E$2:$E$183,MATCH($D637,Objectius!$A$2:$A$183,0)),"??")&amp;"_"&amp;TEXT(COUNTIF($I$6:$I637,$I637),"00"))</f>
        <v/>
      </c>
      <c r="B637" s="11" t="n"/>
      <c r="C637" s="11" t="n"/>
      <c r="D637" s="11" t="n"/>
      <c r="E637" s="10">
        <f>IF($D637="","",IFERROR(INDEX(Objectius!$C$2:$C$183,MATCH($D637,Objectius!$A$2:$A$183,0)),"Objectiu no trobat al Pla"))</f>
        <v/>
      </c>
      <c r="F637" s="11" t="n"/>
      <c r="G637" s="11" t="n"/>
      <c r="H637" s="11" t="n"/>
      <c r="I637" s="10">
        <f>IF($D637="","",IFERROR(INDEX(Objectius!$D$2:$D$183,MATCH($D637,Objectius!$A$2:$A$183,0)),""))</f>
        <v/>
      </c>
      <c r="J637" s="11" t="n"/>
      <c r="K637" s="11" t="n"/>
      <c r="L637" s="11" t="n"/>
      <c r="M637" s="12" t="n"/>
      <c r="N637" s="11" t="n"/>
      <c r="O637" s="10">
        <f>IF($N637="","",IFERROR(INDEX('PLA ESTRATÈGIC'!$G$4:$G$452,MATCH($N637,'PLA ESTRATÈGIC'!$Q$4:$Q$452,0)),""))</f>
        <v/>
      </c>
      <c r="P637" s="10">
        <f>IF($N637="","",IFERROR(INDEX('PLA ESTRATÈGIC'!$H$4:$H$452,MATCH($N637,'PLA ESTRATÈGIC'!$Q$4:$Q$452,0)),""))</f>
        <v/>
      </c>
      <c r="Q637" s="13" t="n"/>
      <c r="R637" s="11" t="n"/>
      <c r="S637" s="11" t="n"/>
      <c r="T637" s="11" t="n"/>
      <c r="U637" s="11" t="n"/>
      <c r="V637" s="10">
        <f>IF(COUNTA($C637,$D637,$J637,$M637)=0,"",IF(TRIM(IF($C637="","Falta l'actuació. ","")&amp;IF($D637="","Falta l'objectiu. ","")&amp;IF($J637="","Falta el tipus de despesa. ","")&amp;IF(AND($J637&lt;&gt;"",$J637&lt;&gt;"Mitjans propis",$J637&lt;&gt;"Altres",$M637=""),"Falta l'import. ","")&amp;IF(AND($J637="Contracte menor a càrrec del RAE",$K637=""),"Falta la partida RAE. ","")&amp;IF(AND($B637&lt;&gt;"",COUNTIF($B$6:$B$705,$B637)&gt;1),"Codi RAE repetit. ","")&amp;IF(AND($B637&lt;&gt;"",$J637&lt;&gt;"",$J637&lt;&gt;"Contracte menor a càrrec del RAE"),"Té codi RAE però no és de tipus RAE. ","")&amp;IF($N637="","Falta l'indicador del Pla. ","")&amp;IF($R637="","Falta el gestor. ","")&amp;IF($S637="","Falta indicar si és recurrent. ",""))="","✔",TRIM(IF($C637="","Falta l'actuació. ","")&amp;IF($D637="","Falta l'objectiu. ","")&amp;IF($J637="","Falta el tipus de despesa. ","")&amp;IF(AND($J637&lt;&gt;"",$J637&lt;&gt;"Mitjans propis",$J637&lt;&gt;"Altres",$M637=""),"Falta l'import. ","")&amp;IF(AND($J637="Contracte menor a càrrec del RAE",$K637=""),"Falta la partida RAE. ","")&amp;IF(AND($B637&lt;&gt;"",COUNTIF($B$6:$B$705,$B637)&gt;1),"Codi RAE repetit. ","")&amp;IF(AND($B637&lt;&gt;"",$J637&lt;&gt;"",$J637&lt;&gt;"Contracte menor a càrrec del RAE"),"Té codi RAE però no és de tipus RAE. ","")&amp;IF($N637="","Falta l'indicador del Pla. ","")&amp;IF($R637="","Falta el gestor. ","")&amp;IF($S637="","Falta indicar si és recurrent. ",""))))</f>
        <v/>
      </c>
    </row>
    <row r="638">
      <c r="A638" s="10">
        <f>IF($D638="","","27_"&amp;IFERROR(INDEX(Objectius!$E$2:$E$183,MATCH($D638,Objectius!$A$2:$A$183,0)),"??")&amp;"_"&amp;TEXT(COUNTIF($I$6:$I638,$I638),"00"))</f>
        <v/>
      </c>
      <c r="B638" s="11" t="n"/>
      <c r="C638" s="11" t="n"/>
      <c r="D638" s="11" t="n"/>
      <c r="E638" s="10">
        <f>IF($D638="","",IFERROR(INDEX(Objectius!$C$2:$C$183,MATCH($D638,Objectius!$A$2:$A$183,0)),"Objectiu no trobat al Pla"))</f>
        <v/>
      </c>
      <c r="F638" s="11" t="n"/>
      <c r="G638" s="11" t="n"/>
      <c r="H638" s="11" t="n"/>
      <c r="I638" s="10">
        <f>IF($D638="","",IFERROR(INDEX(Objectius!$D$2:$D$183,MATCH($D638,Objectius!$A$2:$A$183,0)),""))</f>
        <v/>
      </c>
      <c r="J638" s="11" t="n"/>
      <c r="K638" s="11" t="n"/>
      <c r="L638" s="11" t="n"/>
      <c r="M638" s="12" t="n"/>
      <c r="N638" s="11" t="n"/>
      <c r="O638" s="10">
        <f>IF($N638="","",IFERROR(INDEX('PLA ESTRATÈGIC'!$G$4:$G$452,MATCH($N638,'PLA ESTRATÈGIC'!$Q$4:$Q$452,0)),""))</f>
        <v/>
      </c>
      <c r="P638" s="10">
        <f>IF($N638="","",IFERROR(INDEX('PLA ESTRATÈGIC'!$H$4:$H$452,MATCH($N638,'PLA ESTRATÈGIC'!$Q$4:$Q$452,0)),""))</f>
        <v/>
      </c>
      <c r="Q638" s="13" t="n"/>
      <c r="R638" s="11" t="n"/>
      <c r="S638" s="11" t="n"/>
      <c r="T638" s="11" t="n"/>
      <c r="U638" s="11" t="n"/>
      <c r="V638" s="10">
        <f>IF(COUNTA($C638,$D638,$J638,$M638)=0,"",IF(TRIM(IF($C638="","Falta l'actuació. ","")&amp;IF($D638="","Falta l'objectiu. ","")&amp;IF($J638="","Falta el tipus de despesa. ","")&amp;IF(AND($J638&lt;&gt;"",$J638&lt;&gt;"Mitjans propis",$J638&lt;&gt;"Altres",$M638=""),"Falta l'import. ","")&amp;IF(AND($J638="Contracte menor a càrrec del RAE",$K638=""),"Falta la partida RAE. ","")&amp;IF(AND($B638&lt;&gt;"",COUNTIF($B$6:$B$705,$B638)&gt;1),"Codi RAE repetit. ","")&amp;IF(AND($B638&lt;&gt;"",$J638&lt;&gt;"",$J638&lt;&gt;"Contracte menor a càrrec del RAE"),"Té codi RAE però no és de tipus RAE. ","")&amp;IF($N638="","Falta l'indicador del Pla. ","")&amp;IF($R638="","Falta el gestor. ","")&amp;IF($S638="","Falta indicar si és recurrent. ",""))="","✔",TRIM(IF($C638="","Falta l'actuació. ","")&amp;IF($D638="","Falta l'objectiu. ","")&amp;IF($J638="","Falta el tipus de despesa. ","")&amp;IF(AND($J638&lt;&gt;"",$J638&lt;&gt;"Mitjans propis",$J638&lt;&gt;"Altres",$M638=""),"Falta l'import. ","")&amp;IF(AND($J638="Contracte menor a càrrec del RAE",$K638=""),"Falta la partida RAE. ","")&amp;IF(AND($B638&lt;&gt;"",COUNTIF($B$6:$B$705,$B638)&gt;1),"Codi RAE repetit. ","")&amp;IF(AND($B638&lt;&gt;"",$J638&lt;&gt;"",$J638&lt;&gt;"Contracte menor a càrrec del RAE"),"Té codi RAE però no és de tipus RAE. ","")&amp;IF($N638="","Falta l'indicador del Pla. ","")&amp;IF($R638="","Falta el gestor. ","")&amp;IF($S638="","Falta indicar si és recurrent. ",""))))</f>
        <v/>
      </c>
    </row>
    <row r="639">
      <c r="A639" s="10">
        <f>IF($D639="","","27_"&amp;IFERROR(INDEX(Objectius!$E$2:$E$183,MATCH($D639,Objectius!$A$2:$A$183,0)),"??")&amp;"_"&amp;TEXT(COUNTIF($I$6:$I639,$I639),"00"))</f>
        <v/>
      </c>
      <c r="B639" s="11" t="n"/>
      <c r="C639" s="11" t="n"/>
      <c r="D639" s="11" t="n"/>
      <c r="E639" s="10">
        <f>IF($D639="","",IFERROR(INDEX(Objectius!$C$2:$C$183,MATCH($D639,Objectius!$A$2:$A$183,0)),"Objectiu no trobat al Pla"))</f>
        <v/>
      </c>
      <c r="F639" s="11" t="n"/>
      <c r="G639" s="11" t="n"/>
      <c r="H639" s="11" t="n"/>
      <c r="I639" s="10">
        <f>IF($D639="","",IFERROR(INDEX(Objectius!$D$2:$D$183,MATCH($D639,Objectius!$A$2:$A$183,0)),""))</f>
        <v/>
      </c>
      <c r="J639" s="11" t="n"/>
      <c r="K639" s="11" t="n"/>
      <c r="L639" s="11" t="n"/>
      <c r="M639" s="12" t="n"/>
      <c r="N639" s="11" t="n"/>
      <c r="O639" s="10">
        <f>IF($N639="","",IFERROR(INDEX('PLA ESTRATÈGIC'!$G$4:$G$452,MATCH($N639,'PLA ESTRATÈGIC'!$Q$4:$Q$452,0)),""))</f>
        <v/>
      </c>
      <c r="P639" s="10">
        <f>IF($N639="","",IFERROR(INDEX('PLA ESTRATÈGIC'!$H$4:$H$452,MATCH($N639,'PLA ESTRATÈGIC'!$Q$4:$Q$452,0)),""))</f>
        <v/>
      </c>
      <c r="Q639" s="13" t="n"/>
      <c r="R639" s="11" t="n"/>
      <c r="S639" s="11" t="n"/>
      <c r="T639" s="11" t="n"/>
      <c r="U639" s="11" t="n"/>
      <c r="V639" s="10">
        <f>IF(COUNTA($C639,$D639,$J639,$M639)=0,"",IF(TRIM(IF($C639="","Falta l'actuació. ","")&amp;IF($D639="","Falta l'objectiu. ","")&amp;IF($J639="","Falta el tipus de despesa. ","")&amp;IF(AND($J639&lt;&gt;"",$J639&lt;&gt;"Mitjans propis",$J639&lt;&gt;"Altres",$M639=""),"Falta l'import. ","")&amp;IF(AND($J639="Contracte menor a càrrec del RAE",$K639=""),"Falta la partida RAE. ","")&amp;IF(AND($B639&lt;&gt;"",COUNTIF($B$6:$B$705,$B639)&gt;1),"Codi RAE repetit. ","")&amp;IF(AND($B639&lt;&gt;"",$J639&lt;&gt;"",$J639&lt;&gt;"Contracte menor a càrrec del RAE"),"Té codi RAE però no és de tipus RAE. ","")&amp;IF($N639="","Falta l'indicador del Pla. ","")&amp;IF($R639="","Falta el gestor. ","")&amp;IF($S639="","Falta indicar si és recurrent. ",""))="","✔",TRIM(IF($C639="","Falta l'actuació. ","")&amp;IF($D639="","Falta l'objectiu. ","")&amp;IF($J639="","Falta el tipus de despesa. ","")&amp;IF(AND($J639&lt;&gt;"",$J639&lt;&gt;"Mitjans propis",$J639&lt;&gt;"Altres",$M639=""),"Falta l'import. ","")&amp;IF(AND($J639="Contracte menor a càrrec del RAE",$K639=""),"Falta la partida RAE. ","")&amp;IF(AND($B639&lt;&gt;"",COUNTIF($B$6:$B$705,$B639)&gt;1),"Codi RAE repetit. ","")&amp;IF(AND($B639&lt;&gt;"",$J639&lt;&gt;"",$J639&lt;&gt;"Contracte menor a càrrec del RAE"),"Té codi RAE però no és de tipus RAE. ","")&amp;IF($N639="","Falta l'indicador del Pla. ","")&amp;IF($R639="","Falta el gestor. ","")&amp;IF($S639="","Falta indicar si és recurrent. ",""))))</f>
        <v/>
      </c>
    </row>
    <row r="640">
      <c r="A640" s="10">
        <f>IF($D640="","","27_"&amp;IFERROR(INDEX(Objectius!$E$2:$E$183,MATCH($D640,Objectius!$A$2:$A$183,0)),"??")&amp;"_"&amp;TEXT(COUNTIF($I$6:$I640,$I640),"00"))</f>
        <v/>
      </c>
      <c r="B640" s="11" t="n"/>
      <c r="C640" s="11" t="n"/>
      <c r="D640" s="11" t="n"/>
      <c r="E640" s="10">
        <f>IF($D640="","",IFERROR(INDEX(Objectius!$C$2:$C$183,MATCH($D640,Objectius!$A$2:$A$183,0)),"Objectiu no trobat al Pla"))</f>
        <v/>
      </c>
      <c r="F640" s="11" t="n"/>
      <c r="G640" s="11" t="n"/>
      <c r="H640" s="11" t="n"/>
      <c r="I640" s="10">
        <f>IF($D640="","",IFERROR(INDEX(Objectius!$D$2:$D$183,MATCH($D640,Objectius!$A$2:$A$183,0)),""))</f>
        <v/>
      </c>
      <c r="J640" s="11" t="n"/>
      <c r="K640" s="11" t="n"/>
      <c r="L640" s="11" t="n"/>
      <c r="M640" s="12" t="n"/>
      <c r="N640" s="11" t="n"/>
      <c r="O640" s="10">
        <f>IF($N640="","",IFERROR(INDEX('PLA ESTRATÈGIC'!$G$4:$G$452,MATCH($N640,'PLA ESTRATÈGIC'!$Q$4:$Q$452,0)),""))</f>
        <v/>
      </c>
      <c r="P640" s="10">
        <f>IF($N640="","",IFERROR(INDEX('PLA ESTRATÈGIC'!$H$4:$H$452,MATCH($N640,'PLA ESTRATÈGIC'!$Q$4:$Q$452,0)),""))</f>
        <v/>
      </c>
      <c r="Q640" s="13" t="n"/>
      <c r="R640" s="11" t="n"/>
      <c r="S640" s="11" t="n"/>
      <c r="T640" s="11" t="n"/>
      <c r="U640" s="11" t="n"/>
      <c r="V640" s="10">
        <f>IF(COUNTA($C640,$D640,$J640,$M640)=0,"",IF(TRIM(IF($C640="","Falta l'actuació. ","")&amp;IF($D640="","Falta l'objectiu. ","")&amp;IF($J640="","Falta el tipus de despesa. ","")&amp;IF(AND($J640&lt;&gt;"",$J640&lt;&gt;"Mitjans propis",$J640&lt;&gt;"Altres",$M640=""),"Falta l'import. ","")&amp;IF(AND($J640="Contracte menor a càrrec del RAE",$K640=""),"Falta la partida RAE. ","")&amp;IF(AND($B640&lt;&gt;"",COUNTIF($B$6:$B$705,$B640)&gt;1),"Codi RAE repetit. ","")&amp;IF(AND($B640&lt;&gt;"",$J640&lt;&gt;"",$J640&lt;&gt;"Contracte menor a càrrec del RAE"),"Té codi RAE però no és de tipus RAE. ","")&amp;IF($N640="","Falta l'indicador del Pla. ","")&amp;IF($R640="","Falta el gestor. ","")&amp;IF($S640="","Falta indicar si és recurrent. ",""))="","✔",TRIM(IF($C640="","Falta l'actuació. ","")&amp;IF($D640="","Falta l'objectiu. ","")&amp;IF($J640="","Falta el tipus de despesa. ","")&amp;IF(AND($J640&lt;&gt;"",$J640&lt;&gt;"Mitjans propis",$J640&lt;&gt;"Altres",$M640=""),"Falta l'import. ","")&amp;IF(AND($J640="Contracte menor a càrrec del RAE",$K640=""),"Falta la partida RAE. ","")&amp;IF(AND($B640&lt;&gt;"",COUNTIF($B$6:$B$705,$B640)&gt;1),"Codi RAE repetit. ","")&amp;IF(AND($B640&lt;&gt;"",$J640&lt;&gt;"",$J640&lt;&gt;"Contracte menor a càrrec del RAE"),"Té codi RAE però no és de tipus RAE. ","")&amp;IF($N640="","Falta l'indicador del Pla. ","")&amp;IF($R640="","Falta el gestor. ","")&amp;IF($S640="","Falta indicar si és recurrent. ",""))))</f>
        <v/>
      </c>
    </row>
    <row r="641">
      <c r="A641" s="10">
        <f>IF($D641="","","27_"&amp;IFERROR(INDEX(Objectius!$E$2:$E$183,MATCH($D641,Objectius!$A$2:$A$183,0)),"??")&amp;"_"&amp;TEXT(COUNTIF($I$6:$I641,$I641),"00"))</f>
        <v/>
      </c>
      <c r="B641" s="11" t="n"/>
      <c r="C641" s="11" t="n"/>
      <c r="D641" s="11" t="n"/>
      <c r="E641" s="10">
        <f>IF($D641="","",IFERROR(INDEX(Objectius!$C$2:$C$183,MATCH($D641,Objectius!$A$2:$A$183,0)),"Objectiu no trobat al Pla"))</f>
        <v/>
      </c>
      <c r="F641" s="11" t="n"/>
      <c r="G641" s="11" t="n"/>
      <c r="H641" s="11" t="n"/>
      <c r="I641" s="10">
        <f>IF($D641="","",IFERROR(INDEX(Objectius!$D$2:$D$183,MATCH($D641,Objectius!$A$2:$A$183,0)),""))</f>
        <v/>
      </c>
      <c r="J641" s="11" t="n"/>
      <c r="K641" s="11" t="n"/>
      <c r="L641" s="11" t="n"/>
      <c r="M641" s="12" t="n"/>
      <c r="N641" s="11" t="n"/>
      <c r="O641" s="10">
        <f>IF($N641="","",IFERROR(INDEX('PLA ESTRATÈGIC'!$G$4:$G$452,MATCH($N641,'PLA ESTRATÈGIC'!$Q$4:$Q$452,0)),""))</f>
        <v/>
      </c>
      <c r="P641" s="10">
        <f>IF($N641="","",IFERROR(INDEX('PLA ESTRATÈGIC'!$H$4:$H$452,MATCH($N641,'PLA ESTRATÈGIC'!$Q$4:$Q$452,0)),""))</f>
        <v/>
      </c>
      <c r="Q641" s="13" t="n"/>
      <c r="R641" s="11" t="n"/>
      <c r="S641" s="11" t="n"/>
      <c r="T641" s="11" t="n"/>
      <c r="U641" s="11" t="n"/>
      <c r="V641" s="10">
        <f>IF(COUNTA($C641,$D641,$J641,$M641)=0,"",IF(TRIM(IF($C641="","Falta l'actuació. ","")&amp;IF($D641="","Falta l'objectiu. ","")&amp;IF($J641="","Falta el tipus de despesa. ","")&amp;IF(AND($J641&lt;&gt;"",$J641&lt;&gt;"Mitjans propis",$J641&lt;&gt;"Altres",$M641=""),"Falta l'import. ","")&amp;IF(AND($J641="Contracte menor a càrrec del RAE",$K641=""),"Falta la partida RAE. ","")&amp;IF(AND($B641&lt;&gt;"",COUNTIF($B$6:$B$705,$B641)&gt;1),"Codi RAE repetit. ","")&amp;IF(AND($B641&lt;&gt;"",$J641&lt;&gt;"",$J641&lt;&gt;"Contracte menor a càrrec del RAE"),"Té codi RAE però no és de tipus RAE. ","")&amp;IF($N641="","Falta l'indicador del Pla. ","")&amp;IF($R641="","Falta el gestor. ","")&amp;IF($S641="","Falta indicar si és recurrent. ",""))="","✔",TRIM(IF($C641="","Falta l'actuació. ","")&amp;IF($D641="","Falta l'objectiu. ","")&amp;IF($J641="","Falta el tipus de despesa. ","")&amp;IF(AND($J641&lt;&gt;"",$J641&lt;&gt;"Mitjans propis",$J641&lt;&gt;"Altres",$M641=""),"Falta l'import. ","")&amp;IF(AND($J641="Contracte menor a càrrec del RAE",$K641=""),"Falta la partida RAE. ","")&amp;IF(AND($B641&lt;&gt;"",COUNTIF($B$6:$B$705,$B641)&gt;1),"Codi RAE repetit. ","")&amp;IF(AND($B641&lt;&gt;"",$J641&lt;&gt;"",$J641&lt;&gt;"Contracte menor a càrrec del RAE"),"Té codi RAE però no és de tipus RAE. ","")&amp;IF($N641="","Falta l'indicador del Pla. ","")&amp;IF($R641="","Falta el gestor. ","")&amp;IF($S641="","Falta indicar si és recurrent. ",""))))</f>
        <v/>
      </c>
    </row>
    <row r="642">
      <c r="A642" s="10">
        <f>IF($D642="","","27_"&amp;IFERROR(INDEX(Objectius!$E$2:$E$183,MATCH($D642,Objectius!$A$2:$A$183,0)),"??")&amp;"_"&amp;TEXT(COUNTIF($I$6:$I642,$I642),"00"))</f>
        <v/>
      </c>
      <c r="B642" s="11" t="n"/>
      <c r="C642" s="11" t="n"/>
      <c r="D642" s="11" t="n"/>
      <c r="E642" s="10">
        <f>IF($D642="","",IFERROR(INDEX(Objectius!$C$2:$C$183,MATCH($D642,Objectius!$A$2:$A$183,0)),"Objectiu no trobat al Pla"))</f>
        <v/>
      </c>
      <c r="F642" s="11" t="n"/>
      <c r="G642" s="11" t="n"/>
      <c r="H642" s="11" t="n"/>
      <c r="I642" s="10">
        <f>IF($D642="","",IFERROR(INDEX(Objectius!$D$2:$D$183,MATCH($D642,Objectius!$A$2:$A$183,0)),""))</f>
        <v/>
      </c>
      <c r="J642" s="11" t="n"/>
      <c r="K642" s="11" t="n"/>
      <c r="L642" s="11" t="n"/>
      <c r="M642" s="12" t="n"/>
      <c r="N642" s="11" t="n"/>
      <c r="O642" s="10">
        <f>IF($N642="","",IFERROR(INDEX('PLA ESTRATÈGIC'!$G$4:$G$452,MATCH($N642,'PLA ESTRATÈGIC'!$Q$4:$Q$452,0)),""))</f>
        <v/>
      </c>
      <c r="P642" s="10">
        <f>IF($N642="","",IFERROR(INDEX('PLA ESTRATÈGIC'!$H$4:$H$452,MATCH($N642,'PLA ESTRATÈGIC'!$Q$4:$Q$452,0)),""))</f>
        <v/>
      </c>
      <c r="Q642" s="13" t="n"/>
      <c r="R642" s="11" t="n"/>
      <c r="S642" s="11" t="n"/>
      <c r="T642" s="11" t="n"/>
      <c r="U642" s="11" t="n"/>
      <c r="V642" s="10">
        <f>IF(COUNTA($C642,$D642,$J642,$M642)=0,"",IF(TRIM(IF($C642="","Falta l'actuació. ","")&amp;IF($D642="","Falta l'objectiu. ","")&amp;IF($J642="","Falta el tipus de despesa. ","")&amp;IF(AND($J642&lt;&gt;"",$J642&lt;&gt;"Mitjans propis",$J642&lt;&gt;"Altres",$M642=""),"Falta l'import. ","")&amp;IF(AND($J642="Contracte menor a càrrec del RAE",$K642=""),"Falta la partida RAE. ","")&amp;IF(AND($B642&lt;&gt;"",COUNTIF($B$6:$B$705,$B642)&gt;1),"Codi RAE repetit. ","")&amp;IF(AND($B642&lt;&gt;"",$J642&lt;&gt;"",$J642&lt;&gt;"Contracte menor a càrrec del RAE"),"Té codi RAE però no és de tipus RAE. ","")&amp;IF($N642="","Falta l'indicador del Pla. ","")&amp;IF($R642="","Falta el gestor. ","")&amp;IF($S642="","Falta indicar si és recurrent. ",""))="","✔",TRIM(IF($C642="","Falta l'actuació. ","")&amp;IF($D642="","Falta l'objectiu. ","")&amp;IF($J642="","Falta el tipus de despesa. ","")&amp;IF(AND($J642&lt;&gt;"",$J642&lt;&gt;"Mitjans propis",$J642&lt;&gt;"Altres",$M642=""),"Falta l'import. ","")&amp;IF(AND($J642="Contracte menor a càrrec del RAE",$K642=""),"Falta la partida RAE. ","")&amp;IF(AND($B642&lt;&gt;"",COUNTIF($B$6:$B$705,$B642)&gt;1),"Codi RAE repetit. ","")&amp;IF(AND($B642&lt;&gt;"",$J642&lt;&gt;"",$J642&lt;&gt;"Contracte menor a càrrec del RAE"),"Té codi RAE però no és de tipus RAE. ","")&amp;IF($N642="","Falta l'indicador del Pla. ","")&amp;IF($R642="","Falta el gestor. ","")&amp;IF($S642="","Falta indicar si és recurrent. ",""))))</f>
        <v/>
      </c>
    </row>
    <row r="643">
      <c r="A643" s="10">
        <f>IF($D643="","","27_"&amp;IFERROR(INDEX(Objectius!$E$2:$E$183,MATCH($D643,Objectius!$A$2:$A$183,0)),"??")&amp;"_"&amp;TEXT(COUNTIF($I$6:$I643,$I643),"00"))</f>
        <v/>
      </c>
      <c r="B643" s="11" t="n"/>
      <c r="C643" s="11" t="n"/>
      <c r="D643" s="11" t="n"/>
      <c r="E643" s="10">
        <f>IF($D643="","",IFERROR(INDEX(Objectius!$C$2:$C$183,MATCH($D643,Objectius!$A$2:$A$183,0)),"Objectiu no trobat al Pla"))</f>
        <v/>
      </c>
      <c r="F643" s="11" t="n"/>
      <c r="G643" s="11" t="n"/>
      <c r="H643" s="11" t="n"/>
      <c r="I643" s="10">
        <f>IF($D643="","",IFERROR(INDEX(Objectius!$D$2:$D$183,MATCH($D643,Objectius!$A$2:$A$183,0)),""))</f>
        <v/>
      </c>
      <c r="J643" s="11" t="n"/>
      <c r="K643" s="11" t="n"/>
      <c r="L643" s="11" t="n"/>
      <c r="M643" s="12" t="n"/>
      <c r="N643" s="11" t="n"/>
      <c r="O643" s="10">
        <f>IF($N643="","",IFERROR(INDEX('PLA ESTRATÈGIC'!$G$4:$G$452,MATCH($N643,'PLA ESTRATÈGIC'!$Q$4:$Q$452,0)),""))</f>
        <v/>
      </c>
      <c r="P643" s="10">
        <f>IF($N643="","",IFERROR(INDEX('PLA ESTRATÈGIC'!$H$4:$H$452,MATCH($N643,'PLA ESTRATÈGIC'!$Q$4:$Q$452,0)),""))</f>
        <v/>
      </c>
      <c r="Q643" s="13" t="n"/>
      <c r="R643" s="11" t="n"/>
      <c r="S643" s="11" t="n"/>
      <c r="T643" s="11" t="n"/>
      <c r="U643" s="11" t="n"/>
      <c r="V643" s="10">
        <f>IF(COUNTA($C643,$D643,$J643,$M643)=0,"",IF(TRIM(IF($C643="","Falta l'actuació. ","")&amp;IF($D643="","Falta l'objectiu. ","")&amp;IF($J643="","Falta el tipus de despesa. ","")&amp;IF(AND($J643&lt;&gt;"",$J643&lt;&gt;"Mitjans propis",$J643&lt;&gt;"Altres",$M643=""),"Falta l'import. ","")&amp;IF(AND($J643="Contracte menor a càrrec del RAE",$K643=""),"Falta la partida RAE. ","")&amp;IF(AND($B643&lt;&gt;"",COUNTIF($B$6:$B$705,$B643)&gt;1),"Codi RAE repetit. ","")&amp;IF(AND($B643&lt;&gt;"",$J643&lt;&gt;"",$J643&lt;&gt;"Contracte menor a càrrec del RAE"),"Té codi RAE però no és de tipus RAE. ","")&amp;IF($N643="","Falta l'indicador del Pla. ","")&amp;IF($R643="","Falta el gestor. ","")&amp;IF($S643="","Falta indicar si és recurrent. ",""))="","✔",TRIM(IF($C643="","Falta l'actuació. ","")&amp;IF($D643="","Falta l'objectiu. ","")&amp;IF($J643="","Falta el tipus de despesa. ","")&amp;IF(AND($J643&lt;&gt;"",$J643&lt;&gt;"Mitjans propis",$J643&lt;&gt;"Altres",$M643=""),"Falta l'import. ","")&amp;IF(AND($J643="Contracte menor a càrrec del RAE",$K643=""),"Falta la partida RAE. ","")&amp;IF(AND($B643&lt;&gt;"",COUNTIF($B$6:$B$705,$B643)&gt;1),"Codi RAE repetit. ","")&amp;IF(AND($B643&lt;&gt;"",$J643&lt;&gt;"",$J643&lt;&gt;"Contracte menor a càrrec del RAE"),"Té codi RAE però no és de tipus RAE. ","")&amp;IF($N643="","Falta l'indicador del Pla. ","")&amp;IF($R643="","Falta el gestor. ","")&amp;IF($S643="","Falta indicar si és recurrent. ",""))))</f>
        <v/>
      </c>
    </row>
    <row r="644">
      <c r="A644" s="10">
        <f>IF($D644="","","27_"&amp;IFERROR(INDEX(Objectius!$E$2:$E$183,MATCH($D644,Objectius!$A$2:$A$183,0)),"??")&amp;"_"&amp;TEXT(COUNTIF($I$6:$I644,$I644),"00"))</f>
        <v/>
      </c>
      <c r="B644" s="11" t="n"/>
      <c r="C644" s="11" t="n"/>
      <c r="D644" s="11" t="n"/>
      <c r="E644" s="10">
        <f>IF($D644="","",IFERROR(INDEX(Objectius!$C$2:$C$183,MATCH($D644,Objectius!$A$2:$A$183,0)),"Objectiu no trobat al Pla"))</f>
        <v/>
      </c>
      <c r="F644" s="11" t="n"/>
      <c r="G644" s="11" t="n"/>
      <c r="H644" s="11" t="n"/>
      <c r="I644" s="10">
        <f>IF($D644="","",IFERROR(INDEX(Objectius!$D$2:$D$183,MATCH($D644,Objectius!$A$2:$A$183,0)),""))</f>
        <v/>
      </c>
      <c r="J644" s="11" t="n"/>
      <c r="K644" s="11" t="n"/>
      <c r="L644" s="11" t="n"/>
      <c r="M644" s="12" t="n"/>
      <c r="N644" s="11" t="n"/>
      <c r="O644" s="10">
        <f>IF($N644="","",IFERROR(INDEX('PLA ESTRATÈGIC'!$G$4:$G$452,MATCH($N644,'PLA ESTRATÈGIC'!$Q$4:$Q$452,0)),""))</f>
        <v/>
      </c>
      <c r="P644" s="10">
        <f>IF($N644="","",IFERROR(INDEX('PLA ESTRATÈGIC'!$H$4:$H$452,MATCH($N644,'PLA ESTRATÈGIC'!$Q$4:$Q$452,0)),""))</f>
        <v/>
      </c>
      <c r="Q644" s="13" t="n"/>
      <c r="R644" s="11" t="n"/>
      <c r="S644" s="11" t="n"/>
      <c r="T644" s="11" t="n"/>
      <c r="U644" s="11" t="n"/>
      <c r="V644" s="10">
        <f>IF(COUNTA($C644,$D644,$J644,$M644)=0,"",IF(TRIM(IF($C644="","Falta l'actuació. ","")&amp;IF($D644="","Falta l'objectiu. ","")&amp;IF($J644="","Falta el tipus de despesa. ","")&amp;IF(AND($J644&lt;&gt;"",$J644&lt;&gt;"Mitjans propis",$J644&lt;&gt;"Altres",$M644=""),"Falta l'import. ","")&amp;IF(AND($J644="Contracte menor a càrrec del RAE",$K644=""),"Falta la partida RAE. ","")&amp;IF(AND($B644&lt;&gt;"",COUNTIF($B$6:$B$705,$B644)&gt;1),"Codi RAE repetit. ","")&amp;IF(AND($B644&lt;&gt;"",$J644&lt;&gt;"",$J644&lt;&gt;"Contracte menor a càrrec del RAE"),"Té codi RAE però no és de tipus RAE. ","")&amp;IF($N644="","Falta l'indicador del Pla. ","")&amp;IF($R644="","Falta el gestor. ","")&amp;IF($S644="","Falta indicar si és recurrent. ",""))="","✔",TRIM(IF($C644="","Falta l'actuació. ","")&amp;IF($D644="","Falta l'objectiu. ","")&amp;IF($J644="","Falta el tipus de despesa. ","")&amp;IF(AND($J644&lt;&gt;"",$J644&lt;&gt;"Mitjans propis",$J644&lt;&gt;"Altres",$M644=""),"Falta l'import. ","")&amp;IF(AND($J644="Contracte menor a càrrec del RAE",$K644=""),"Falta la partida RAE. ","")&amp;IF(AND($B644&lt;&gt;"",COUNTIF($B$6:$B$705,$B644)&gt;1),"Codi RAE repetit. ","")&amp;IF(AND($B644&lt;&gt;"",$J644&lt;&gt;"",$J644&lt;&gt;"Contracte menor a càrrec del RAE"),"Té codi RAE però no és de tipus RAE. ","")&amp;IF($N644="","Falta l'indicador del Pla. ","")&amp;IF($R644="","Falta el gestor. ","")&amp;IF($S644="","Falta indicar si és recurrent. ",""))))</f>
        <v/>
      </c>
    </row>
    <row r="645">
      <c r="A645" s="10">
        <f>IF($D645="","","27_"&amp;IFERROR(INDEX(Objectius!$E$2:$E$183,MATCH($D645,Objectius!$A$2:$A$183,0)),"??")&amp;"_"&amp;TEXT(COUNTIF($I$6:$I645,$I645),"00"))</f>
        <v/>
      </c>
      <c r="B645" s="11" t="n"/>
      <c r="C645" s="11" t="n"/>
      <c r="D645" s="11" t="n"/>
      <c r="E645" s="10">
        <f>IF($D645="","",IFERROR(INDEX(Objectius!$C$2:$C$183,MATCH($D645,Objectius!$A$2:$A$183,0)),"Objectiu no trobat al Pla"))</f>
        <v/>
      </c>
      <c r="F645" s="11" t="n"/>
      <c r="G645" s="11" t="n"/>
      <c r="H645" s="11" t="n"/>
      <c r="I645" s="10">
        <f>IF($D645="","",IFERROR(INDEX(Objectius!$D$2:$D$183,MATCH($D645,Objectius!$A$2:$A$183,0)),""))</f>
        <v/>
      </c>
      <c r="J645" s="11" t="n"/>
      <c r="K645" s="11" t="n"/>
      <c r="L645" s="11" t="n"/>
      <c r="M645" s="12" t="n"/>
      <c r="N645" s="11" t="n"/>
      <c r="O645" s="10">
        <f>IF($N645="","",IFERROR(INDEX('PLA ESTRATÈGIC'!$G$4:$G$452,MATCH($N645,'PLA ESTRATÈGIC'!$Q$4:$Q$452,0)),""))</f>
        <v/>
      </c>
      <c r="P645" s="10">
        <f>IF($N645="","",IFERROR(INDEX('PLA ESTRATÈGIC'!$H$4:$H$452,MATCH($N645,'PLA ESTRATÈGIC'!$Q$4:$Q$452,0)),""))</f>
        <v/>
      </c>
      <c r="Q645" s="13" t="n"/>
      <c r="R645" s="11" t="n"/>
      <c r="S645" s="11" t="n"/>
      <c r="T645" s="11" t="n"/>
      <c r="U645" s="11" t="n"/>
      <c r="V645" s="10">
        <f>IF(COUNTA($C645,$D645,$J645,$M645)=0,"",IF(TRIM(IF($C645="","Falta l'actuació. ","")&amp;IF($D645="","Falta l'objectiu. ","")&amp;IF($J645="","Falta el tipus de despesa. ","")&amp;IF(AND($J645&lt;&gt;"",$J645&lt;&gt;"Mitjans propis",$J645&lt;&gt;"Altres",$M645=""),"Falta l'import. ","")&amp;IF(AND($J645="Contracte menor a càrrec del RAE",$K645=""),"Falta la partida RAE. ","")&amp;IF(AND($B645&lt;&gt;"",COUNTIF($B$6:$B$705,$B645)&gt;1),"Codi RAE repetit. ","")&amp;IF(AND($B645&lt;&gt;"",$J645&lt;&gt;"",$J645&lt;&gt;"Contracte menor a càrrec del RAE"),"Té codi RAE però no és de tipus RAE. ","")&amp;IF($N645="","Falta l'indicador del Pla. ","")&amp;IF($R645="","Falta el gestor. ","")&amp;IF($S645="","Falta indicar si és recurrent. ",""))="","✔",TRIM(IF($C645="","Falta l'actuació. ","")&amp;IF($D645="","Falta l'objectiu. ","")&amp;IF($J645="","Falta el tipus de despesa. ","")&amp;IF(AND($J645&lt;&gt;"",$J645&lt;&gt;"Mitjans propis",$J645&lt;&gt;"Altres",$M645=""),"Falta l'import. ","")&amp;IF(AND($J645="Contracte menor a càrrec del RAE",$K645=""),"Falta la partida RAE. ","")&amp;IF(AND($B645&lt;&gt;"",COUNTIF($B$6:$B$705,$B645)&gt;1),"Codi RAE repetit. ","")&amp;IF(AND($B645&lt;&gt;"",$J645&lt;&gt;"",$J645&lt;&gt;"Contracte menor a càrrec del RAE"),"Té codi RAE però no és de tipus RAE. ","")&amp;IF($N645="","Falta l'indicador del Pla. ","")&amp;IF($R645="","Falta el gestor. ","")&amp;IF($S645="","Falta indicar si és recurrent. ",""))))</f>
        <v/>
      </c>
    </row>
    <row r="646">
      <c r="A646" s="10">
        <f>IF($D646="","","27_"&amp;IFERROR(INDEX(Objectius!$E$2:$E$183,MATCH($D646,Objectius!$A$2:$A$183,0)),"??")&amp;"_"&amp;TEXT(COUNTIF($I$6:$I646,$I646),"00"))</f>
        <v/>
      </c>
      <c r="B646" s="11" t="n"/>
      <c r="C646" s="11" t="n"/>
      <c r="D646" s="11" t="n"/>
      <c r="E646" s="10">
        <f>IF($D646="","",IFERROR(INDEX(Objectius!$C$2:$C$183,MATCH($D646,Objectius!$A$2:$A$183,0)),"Objectiu no trobat al Pla"))</f>
        <v/>
      </c>
      <c r="F646" s="11" t="n"/>
      <c r="G646" s="11" t="n"/>
      <c r="H646" s="11" t="n"/>
      <c r="I646" s="10">
        <f>IF($D646="","",IFERROR(INDEX(Objectius!$D$2:$D$183,MATCH($D646,Objectius!$A$2:$A$183,0)),""))</f>
        <v/>
      </c>
      <c r="J646" s="11" t="n"/>
      <c r="K646" s="11" t="n"/>
      <c r="L646" s="11" t="n"/>
      <c r="M646" s="12" t="n"/>
      <c r="N646" s="11" t="n"/>
      <c r="O646" s="10">
        <f>IF($N646="","",IFERROR(INDEX('PLA ESTRATÈGIC'!$G$4:$G$452,MATCH($N646,'PLA ESTRATÈGIC'!$Q$4:$Q$452,0)),""))</f>
        <v/>
      </c>
      <c r="P646" s="10">
        <f>IF($N646="","",IFERROR(INDEX('PLA ESTRATÈGIC'!$H$4:$H$452,MATCH($N646,'PLA ESTRATÈGIC'!$Q$4:$Q$452,0)),""))</f>
        <v/>
      </c>
      <c r="Q646" s="13" t="n"/>
      <c r="R646" s="11" t="n"/>
      <c r="S646" s="11" t="n"/>
      <c r="T646" s="11" t="n"/>
      <c r="U646" s="11" t="n"/>
      <c r="V646" s="10">
        <f>IF(COUNTA($C646,$D646,$J646,$M646)=0,"",IF(TRIM(IF($C646="","Falta l'actuació. ","")&amp;IF($D646="","Falta l'objectiu. ","")&amp;IF($J646="","Falta el tipus de despesa. ","")&amp;IF(AND($J646&lt;&gt;"",$J646&lt;&gt;"Mitjans propis",$J646&lt;&gt;"Altres",$M646=""),"Falta l'import. ","")&amp;IF(AND($J646="Contracte menor a càrrec del RAE",$K646=""),"Falta la partida RAE. ","")&amp;IF(AND($B646&lt;&gt;"",COUNTIF($B$6:$B$705,$B646)&gt;1),"Codi RAE repetit. ","")&amp;IF(AND($B646&lt;&gt;"",$J646&lt;&gt;"",$J646&lt;&gt;"Contracte menor a càrrec del RAE"),"Té codi RAE però no és de tipus RAE. ","")&amp;IF($N646="","Falta l'indicador del Pla. ","")&amp;IF($R646="","Falta el gestor. ","")&amp;IF($S646="","Falta indicar si és recurrent. ",""))="","✔",TRIM(IF($C646="","Falta l'actuació. ","")&amp;IF($D646="","Falta l'objectiu. ","")&amp;IF($J646="","Falta el tipus de despesa. ","")&amp;IF(AND($J646&lt;&gt;"",$J646&lt;&gt;"Mitjans propis",$J646&lt;&gt;"Altres",$M646=""),"Falta l'import. ","")&amp;IF(AND($J646="Contracte menor a càrrec del RAE",$K646=""),"Falta la partida RAE. ","")&amp;IF(AND($B646&lt;&gt;"",COUNTIF($B$6:$B$705,$B646)&gt;1),"Codi RAE repetit. ","")&amp;IF(AND($B646&lt;&gt;"",$J646&lt;&gt;"",$J646&lt;&gt;"Contracte menor a càrrec del RAE"),"Té codi RAE però no és de tipus RAE. ","")&amp;IF($N646="","Falta l'indicador del Pla. ","")&amp;IF($R646="","Falta el gestor. ","")&amp;IF($S646="","Falta indicar si és recurrent. ",""))))</f>
        <v/>
      </c>
    </row>
    <row r="647">
      <c r="A647" s="10">
        <f>IF($D647="","","27_"&amp;IFERROR(INDEX(Objectius!$E$2:$E$183,MATCH($D647,Objectius!$A$2:$A$183,0)),"??")&amp;"_"&amp;TEXT(COUNTIF($I$6:$I647,$I647),"00"))</f>
        <v/>
      </c>
      <c r="B647" s="11" t="n"/>
      <c r="C647" s="11" t="n"/>
      <c r="D647" s="11" t="n"/>
      <c r="E647" s="10">
        <f>IF($D647="","",IFERROR(INDEX(Objectius!$C$2:$C$183,MATCH($D647,Objectius!$A$2:$A$183,0)),"Objectiu no trobat al Pla"))</f>
        <v/>
      </c>
      <c r="F647" s="11" t="n"/>
      <c r="G647" s="11" t="n"/>
      <c r="H647" s="11" t="n"/>
      <c r="I647" s="10">
        <f>IF($D647="","",IFERROR(INDEX(Objectius!$D$2:$D$183,MATCH($D647,Objectius!$A$2:$A$183,0)),""))</f>
        <v/>
      </c>
      <c r="J647" s="11" t="n"/>
      <c r="K647" s="11" t="n"/>
      <c r="L647" s="11" t="n"/>
      <c r="M647" s="12" t="n"/>
      <c r="N647" s="11" t="n"/>
      <c r="O647" s="10">
        <f>IF($N647="","",IFERROR(INDEX('PLA ESTRATÈGIC'!$G$4:$G$452,MATCH($N647,'PLA ESTRATÈGIC'!$Q$4:$Q$452,0)),""))</f>
        <v/>
      </c>
      <c r="P647" s="10">
        <f>IF($N647="","",IFERROR(INDEX('PLA ESTRATÈGIC'!$H$4:$H$452,MATCH($N647,'PLA ESTRATÈGIC'!$Q$4:$Q$452,0)),""))</f>
        <v/>
      </c>
      <c r="Q647" s="13" t="n"/>
      <c r="R647" s="11" t="n"/>
      <c r="S647" s="11" t="n"/>
      <c r="T647" s="11" t="n"/>
      <c r="U647" s="11" t="n"/>
      <c r="V647" s="10">
        <f>IF(COUNTA($C647,$D647,$J647,$M647)=0,"",IF(TRIM(IF($C647="","Falta l'actuació. ","")&amp;IF($D647="","Falta l'objectiu. ","")&amp;IF($J647="","Falta el tipus de despesa. ","")&amp;IF(AND($J647&lt;&gt;"",$J647&lt;&gt;"Mitjans propis",$J647&lt;&gt;"Altres",$M647=""),"Falta l'import. ","")&amp;IF(AND($J647="Contracte menor a càrrec del RAE",$K647=""),"Falta la partida RAE. ","")&amp;IF(AND($B647&lt;&gt;"",COUNTIF($B$6:$B$705,$B647)&gt;1),"Codi RAE repetit. ","")&amp;IF(AND($B647&lt;&gt;"",$J647&lt;&gt;"",$J647&lt;&gt;"Contracte menor a càrrec del RAE"),"Té codi RAE però no és de tipus RAE. ","")&amp;IF($N647="","Falta l'indicador del Pla. ","")&amp;IF($R647="","Falta el gestor. ","")&amp;IF($S647="","Falta indicar si és recurrent. ",""))="","✔",TRIM(IF($C647="","Falta l'actuació. ","")&amp;IF($D647="","Falta l'objectiu. ","")&amp;IF($J647="","Falta el tipus de despesa. ","")&amp;IF(AND($J647&lt;&gt;"",$J647&lt;&gt;"Mitjans propis",$J647&lt;&gt;"Altres",$M647=""),"Falta l'import. ","")&amp;IF(AND($J647="Contracte menor a càrrec del RAE",$K647=""),"Falta la partida RAE. ","")&amp;IF(AND($B647&lt;&gt;"",COUNTIF($B$6:$B$705,$B647)&gt;1),"Codi RAE repetit. ","")&amp;IF(AND($B647&lt;&gt;"",$J647&lt;&gt;"",$J647&lt;&gt;"Contracte menor a càrrec del RAE"),"Té codi RAE però no és de tipus RAE. ","")&amp;IF($N647="","Falta l'indicador del Pla. ","")&amp;IF($R647="","Falta el gestor. ","")&amp;IF($S647="","Falta indicar si és recurrent. ",""))))</f>
        <v/>
      </c>
    </row>
    <row r="648">
      <c r="A648" s="10">
        <f>IF($D648="","","27_"&amp;IFERROR(INDEX(Objectius!$E$2:$E$183,MATCH($D648,Objectius!$A$2:$A$183,0)),"??")&amp;"_"&amp;TEXT(COUNTIF($I$6:$I648,$I648),"00"))</f>
        <v/>
      </c>
      <c r="B648" s="11" t="n"/>
      <c r="C648" s="11" t="n"/>
      <c r="D648" s="11" t="n"/>
      <c r="E648" s="10">
        <f>IF($D648="","",IFERROR(INDEX(Objectius!$C$2:$C$183,MATCH($D648,Objectius!$A$2:$A$183,0)),"Objectiu no trobat al Pla"))</f>
        <v/>
      </c>
      <c r="F648" s="11" t="n"/>
      <c r="G648" s="11" t="n"/>
      <c r="H648" s="11" t="n"/>
      <c r="I648" s="10">
        <f>IF($D648="","",IFERROR(INDEX(Objectius!$D$2:$D$183,MATCH($D648,Objectius!$A$2:$A$183,0)),""))</f>
        <v/>
      </c>
      <c r="J648" s="11" t="n"/>
      <c r="K648" s="11" t="n"/>
      <c r="L648" s="11" t="n"/>
      <c r="M648" s="12" t="n"/>
      <c r="N648" s="11" t="n"/>
      <c r="O648" s="10">
        <f>IF($N648="","",IFERROR(INDEX('PLA ESTRATÈGIC'!$G$4:$G$452,MATCH($N648,'PLA ESTRATÈGIC'!$Q$4:$Q$452,0)),""))</f>
        <v/>
      </c>
      <c r="P648" s="10">
        <f>IF($N648="","",IFERROR(INDEX('PLA ESTRATÈGIC'!$H$4:$H$452,MATCH($N648,'PLA ESTRATÈGIC'!$Q$4:$Q$452,0)),""))</f>
        <v/>
      </c>
      <c r="Q648" s="13" t="n"/>
      <c r="R648" s="11" t="n"/>
      <c r="S648" s="11" t="n"/>
      <c r="T648" s="11" t="n"/>
      <c r="U648" s="11" t="n"/>
      <c r="V648" s="10">
        <f>IF(COUNTA($C648,$D648,$J648,$M648)=0,"",IF(TRIM(IF($C648="","Falta l'actuació. ","")&amp;IF($D648="","Falta l'objectiu. ","")&amp;IF($J648="","Falta el tipus de despesa. ","")&amp;IF(AND($J648&lt;&gt;"",$J648&lt;&gt;"Mitjans propis",$J648&lt;&gt;"Altres",$M648=""),"Falta l'import. ","")&amp;IF(AND($J648="Contracte menor a càrrec del RAE",$K648=""),"Falta la partida RAE. ","")&amp;IF(AND($B648&lt;&gt;"",COUNTIF($B$6:$B$705,$B648)&gt;1),"Codi RAE repetit. ","")&amp;IF(AND($B648&lt;&gt;"",$J648&lt;&gt;"",$J648&lt;&gt;"Contracte menor a càrrec del RAE"),"Té codi RAE però no és de tipus RAE. ","")&amp;IF($N648="","Falta l'indicador del Pla. ","")&amp;IF($R648="","Falta el gestor. ","")&amp;IF($S648="","Falta indicar si és recurrent. ",""))="","✔",TRIM(IF($C648="","Falta l'actuació. ","")&amp;IF($D648="","Falta l'objectiu. ","")&amp;IF($J648="","Falta el tipus de despesa. ","")&amp;IF(AND($J648&lt;&gt;"",$J648&lt;&gt;"Mitjans propis",$J648&lt;&gt;"Altres",$M648=""),"Falta l'import. ","")&amp;IF(AND($J648="Contracte menor a càrrec del RAE",$K648=""),"Falta la partida RAE. ","")&amp;IF(AND($B648&lt;&gt;"",COUNTIF($B$6:$B$705,$B648)&gt;1),"Codi RAE repetit. ","")&amp;IF(AND($B648&lt;&gt;"",$J648&lt;&gt;"",$J648&lt;&gt;"Contracte menor a càrrec del RAE"),"Té codi RAE però no és de tipus RAE. ","")&amp;IF($N648="","Falta l'indicador del Pla. ","")&amp;IF($R648="","Falta el gestor. ","")&amp;IF($S648="","Falta indicar si és recurrent. ",""))))</f>
        <v/>
      </c>
    </row>
    <row r="649">
      <c r="A649" s="10">
        <f>IF($D649="","","27_"&amp;IFERROR(INDEX(Objectius!$E$2:$E$183,MATCH($D649,Objectius!$A$2:$A$183,0)),"??")&amp;"_"&amp;TEXT(COUNTIF($I$6:$I649,$I649),"00"))</f>
        <v/>
      </c>
      <c r="B649" s="11" t="n"/>
      <c r="C649" s="11" t="n"/>
      <c r="D649" s="11" t="n"/>
      <c r="E649" s="10">
        <f>IF($D649="","",IFERROR(INDEX(Objectius!$C$2:$C$183,MATCH($D649,Objectius!$A$2:$A$183,0)),"Objectiu no trobat al Pla"))</f>
        <v/>
      </c>
      <c r="F649" s="11" t="n"/>
      <c r="G649" s="11" t="n"/>
      <c r="H649" s="11" t="n"/>
      <c r="I649" s="10">
        <f>IF($D649="","",IFERROR(INDEX(Objectius!$D$2:$D$183,MATCH($D649,Objectius!$A$2:$A$183,0)),""))</f>
        <v/>
      </c>
      <c r="J649" s="11" t="n"/>
      <c r="K649" s="11" t="n"/>
      <c r="L649" s="11" t="n"/>
      <c r="M649" s="12" t="n"/>
      <c r="N649" s="11" t="n"/>
      <c r="O649" s="10">
        <f>IF($N649="","",IFERROR(INDEX('PLA ESTRATÈGIC'!$G$4:$G$452,MATCH($N649,'PLA ESTRATÈGIC'!$Q$4:$Q$452,0)),""))</f>
        <v/>
      </c>
      <c r="P649" s="10">
        <f>IF($N649="","",IFERROR(INDEX('PLA ESTRATÈGIC'!$H$4:$H$452,MATCH($N649,'PLA ESTRATÈGIC'!$Q$4:$Q$452,0)),""))</f>
        <v/>
      </c>
      <c r="Q649" s="13" t="n"/>
      <c r="R649" s="11" t="n"/>
      <c r="S649" s="11" t="n"/>
      <c r="T649" s="11" t="n"/>
      <c r="U649" s="11" t="n"/>
      <c r="V649" s="10">
        <f>IF(COUNTA($C649,$D649,$J649,$M649)=0,"",IF(TRIM(IF($C649="","Falta l'actuació. ","")&amp;IF($D649="","Falta l'objectiu. ","")&amp;IF($J649="","Falta el tipus de despesa. ","")&amp;IF(AND($J649&lt;&gt;"",$J649&lt;&gt;"Mitjans propis",$J649&lt;&gt;"Altres",$M649=""),"Falta l'import. ","")&amp;IF(AND($J649="Contracte menor a càrrec del RAE",$K649=""),"Falta la partida RAE. ","")&amp;IF(AND($B649&lt;&gt;"",COUNTIF($B$6:$B$705,$B649)&gt;1),"Codi RAE repetit. ","")&amp;IF(AND($B649&lt;&gt;"",$J649&lt;&gt;"",$J649&lt;&gt;"Contracte menor a càrrec del RAE"),"Té codi RAE però no és de tipus RAE. ","")&amp;IF($N649="","Falta l'indicador del Pla. ","")&amp;IF($R649="","Falta el gestor. ","")&amp;IF($S649="","Falta indicar si és recurrent. ",""))="","✔",TRIM(IF($C649="","Falta l'actuació. ","")&amp;IF($D649="","Falta l'objectiu. ","")&amp;IF($J649="","Falta el tipus de despesa. ","")&amp;IF(AND($J649&lt;&gt;"",$J649&lt;&gt;"Mitjans propis",$J649&lt;&gt;"Altres",$M649=""),"Falta l'import. ","")&amp;IF(AND($J649="Contracte menor a càrrec del RAE",$K649=""),"Falta la partida RAE. ","")&amp;IF(AND($B649&lt;&gt;"",COUNTIF($B$6:$B$705,$B649)&gt;1),"Codi RAE repetit. ","")&amp;IF(AND($B649&lt;&gt;"",$J649&lt;&gt;"",$J649&lt;&gt;"Contracte menor a càrrec del RAE"),"Té codi RAE però no és de tipus RAE. ","")&amp;IF($N649="","Falta l'indicador del Pla. ","")&amp;IF($R649="","Falta el gestor. ","")&amp;IF($S649="","Falta indicar si és recurrent. ",""))))</f>
        <v/>
      </c>
    </row>
    <row r="650">
      <c r="A650" s="10">
        <f>IF($D650="","","27_"&amp;IFERROR(INDEX(Objectius!$E$2:$E$183,MATCH($D650,Objectius!$A$2:$A$183,0)),"??")&amp;"_"&amp;TEXT(COUNTIF($I$6:$I650,$I650),"00"))</f>
        <v/>
      </c>
      <c r="B650" s="11" t="n"/>
      <c r="C650" s="11" t="n"/>
      <c r="D650" s="11" t="n"/>
      <c r="E650" s="10">
        <f>IF($D650="","",IFERROR(INDEX(Objectius!$C$2:$C$183,MATCH($D650,Objectius!$A$2:$A$183,0)),"Objectiu no trobat al Pla"))</f>
        <v/>
      </c>
      <c r="F650" s="11" t="n"/>
      <c r="G650" s="11" t="n"/>
      <c r="H650" s="11" t="n"/>
      <c r="I650" s="10">
        <f>IF($D650="","",IFERROR(INDEX(Objectius!$D$2:$D$183,MATCH($D650,Objectius!$A$2:$A$183,0)),""))</f>
        <v/>
      </c>
      <c r="J650" s="11" t="n"/>
      <c r="K650" s="11" t="n"/>
      <c r="L650" s="11" t="n"/>
      <c r="M650" s="12" t="n"/>
      <c r="N650" s="11" t="n"/>
      <c r="O650" s="10">
        <f>IF($N650="","",IFERROR(INDEX('PLA ESTRATÈGIC'!$G$4:$G$452,MATCH($N650,'PLA ESTRATÈGIC'!$Q$4:$Q$452,0)),""))</f>
        <v/>
      </c>
      <c r="P650" s="10">
        <f>IF($N650="","",IFERROR(INDEX('PLA ESTRATÈGIC'!$H$4:$H$452,MATCH($N650,'PLA ESTRATÈGIC'!$Q$4:$Q$452,0)),""))</f>
        <v/>
      </c>
      <c r="Q650" s="13" t="n"/>
      <c r="R650" s="11" t="n"/>
      <c r="S650" s="11" t="n"/>
      <c r="T650" s="11" t="n"/>
      <c r="U650" s="11" t="n"/>
      <c r="V650" s="10">
        <f>IF(COUNTA($C650,$D650,$J650,$M650)=0,"",IF(TRIM(IF($C650="","Falta l'actuació. ","")&amp;IF($D650="","Falta l'objectiu. ","")&amp;IF($J650="","Falta el tipus de despesa. ","")&amp;IF(AND($J650&lt;&gt;"",$J650&lt;&gt;"Mitjans propis",$J650&lt;&gt;"Altres",$M650=""),"Falta l'import. ","")&amp;IF(AND($J650="Contracte menor a càrrec del RAE",$K650=""),"Falta la partida RAE. ","")&amp;IF(AND($B650&lt;&gt;"",COUNTIF($B$6:$B$705,$B650)&gt;1),"Codi RAE repetit. ","")&amp;IF(AND($B650&lt;&gt;"",$J650&lt;&gt;"",$J650&lt;&gt;"Contracte menor a càrrec del RAE"),"Té codi RAE però no és de tipus RAE. ","")&amp;IF($N650="","Falta l'indicador del Pla. ","")&amp;IF($R650="","Falta el gestor. ","")&amp;IF($S650="","Falta indicar si és recurrent. ",""))="","✔",TRIM(IF($C650="","Falta l'actuació. ","")&amp;IF($D650="","Falta l'objectiu. ","")&amp;IF($J650="","Falta el tipus de despesa. ","")&amp;IF(AND($J650&lt;&gt;"",$J650&lt;&gt;"Mitjans propis",$J650&lt;&gt;"Altres",$M650=""),"Falta l'import. ","")&amp;IF(AND($J650="Contracte menor a càrrec del RAE",$K650=""),"Falta la partida RAE. ","")&amp;IF(AND($B650&lt;&gt;"",COUNTIF($B$6:$B$705,$B650)&gt;1),"Codi RAE repetit. ","")&amp;IF(AND($B650&lt;&gt;"",$J650&lt;&gt;"",$J650&lt;&gt;"Contracte menor a càrrec del RAE"),"Té codi RAE però no és de tipus RAE. ","")&amp;IF($N650="","Falta l'indicador del Pla. ","")&amp;IF($R650="","Falta el gestor. ","")&amp;IF($S650="","Falta indicar si és recurrent. ",""))))</f>
        <v/>
      </c>
    </row>
    <row r="651">
      <c r="A651" s="10">
        <f>IF($D651="","","27_"&amp;IFERROR(INDEX(Objectius!$E$2:$E$183,MATCH($D651,Objectius!$A$2:$A$183,0)),"??")&amp;"_"&amp;TEXT(COUNTIF($I$6:$I651,$I651),"00"))</f>
        <v/>
      </c>
      <c r="B651" s="11" t="n"/>
      <c r="C651" s="11" t="n"/>
      <c r="D651" s="11" t="n"/>
      <c r="E651" s="10">
        <f>IF($D651="","",IFERROR(INDEX(Objectius!$C$2:$C$183,MATCH($D651,Objectius!$A$2:$A$183,0)),"Objectiu no trobat al Pla"))</f>
        <v/>
      </c>
      <c r="F651" s="11" t="n"/>
      <c r="G651" s="11" t="n"/>
      <c r="H651" s="11" t="n"/>
      <c r="I651" s="10">
        <f>IF($D651="","",IFERROR(INDEX(Objectius!$D$2:$D$183,MATCH($D651,Objectius!$A$2:$A$183,0)),""))</f>
        <v/>
      </c>
      <c r="J651" s="11" t="n"/>
      <c r="K651" s="11" t="n"/>
      <c r="L651" s="11" t="n"/>
      <c r="M651" s="12" t="n"/>
      <c r="N651" s="11" t="n"/>
      <c r="O651" s="10">
        <f>IF($N651="","",IFERROR(INDEX('PLA ESTRATÈGIC'!$G$4:$G$452,MATCH($N651,'PLA ESTRATÈGIC'!$Q$4:$Q$452,0)),""))</f>
        <v/>
      </c>
      <c r="P651" s="10">
        <f>IF($N651="","",IFERROR(INDEX('PLA ESTRATÈGIC'!$H$4:$H$452,MATCH($N651,'PLA ESTRATÈGIC'!$Q$4:$Q$452,0)),""))</f>
        <v/>
      </c>
      <c r="Q651" s="13" t="n"/>
      <c r="R651" s="11" t="n"/>
      <c r="S651" s="11" t="n"/>
      <c r="T651" s="11" t="n"/>
      <c r="U651" s="11" t="n"/>
      <c r="V651" s="10">
        <f>IF(COUNTA($C651,$D651,$J651,$M651)=0,"",IF(TRIM(IF($C651="","Falta l'actuació. ","")&amp;IF($D651="","Falta l'objectiu. ","")&amp;IF($J651="","Falta el tipus de despesa. ","")&amp;IF(AND($J651&lt;&gt;"",$J651&lt;&gt;"Mitjans propis",$J651&lt;&gt;"Altres",$M651=""),"Falta l'import. ","")&amp;IF(AND($J651="Contracte menor a càrrec del RAE",$K651=""),"Falta la partida RAE. ","")&amp;IF(AND($B651&lt;&gt;"",COUNTIF($B$6:$B$705,$B651)&gt;1),"Codi RAE repetit. ","")&amp;IF(AND($B651&lt;&gt;"",$J651&lt;&gt;"",$J651&lt;&gt;"Contracte menor a càrrec del RAE"),"Té codi RAE però no és de tipus RAE. ","")&amp;IF($N651="","Falta l'indicador del Pla. ","")&amp;IF($R651="","Falta el gestor. ","")&amp;IF($S651="","Falta indicar si és recurrent. ",""))="","✔",TRIM(IF($C651="","Falta l'actuació. ","")&amp;IF($D651="","Falta l'objectiu. ","")&amp;IF($J651="","Falta el tipus de despesa. ","")&amp;IF(AND($J651&lt;&gt;"",$J651&lt;&gt;"Mitjans propis",$J651&lt;&gt;"Altres",$M651=""),"Falta l'import. ","")&amp;IF(AND($J651="Contracte menor a càrrec del RAE",$K651=""),"Falta la partida RAE. ","")&amp;IF(AND($B651&lt;&gt;"",COUNTIF($B$6:$B$705,$B651)&gt;1),"Codi RAE repetit. ","")&amp;IF(AND($B651&lt;&gt;"",$J651&lt;&gt;"",$J651&lt;&gt;"Contracte menor a càrrec del RAE"),"Té codi RAE però no és de tipus RAE. ","")&amp;IF($N651="","Falta l'indicador del Pla. ","")&amp;IF($R651="","Falta el gestor. ","")&amp;IF($S651="","Falta indicar si és recurrent. ",""))))</f>
        <v/>
      </c>
    </row>
    <row r="652">
      <c r="A652" s="10">
        <f>IF($D652="","","27_"&amp;IFERROR(INDEX(Objectius!$E$2:$E$183,MATCH($D652,Objectius!$A$2:$A$183,0)),"??")&amp;"_"&amp;TEXT(COUNTIF($I$6:$I652,$I652),"00"))</f>
        <v/>
      </c>
      <c r="B652" s="11" t="n"/>
      <c r="C652" s="11" t="n"/>
      <c r="D652" s="11" t="n"/>
      <c r="E652" s="10">
        <f>IF($D652="","",IFERROR(INDEX(Objectius!$C$2:$C$183,MATCH($D652,Objectius!$A$2:$A$183,0)),"Objectiu no trobat al Pla"))</f>
        <v/>
      </c>
      <c r="F652" s="11" t="n"/>
      <c r="G652" s="11" t="n"/>
      <c r="H652" s="11" t="n"/>
      <c r="I652" s="10">
        <f>IF($D652="","",IFERROR(INDEX(Objectius!$D$2:$D$183,MATCH($D652,Objectius!$A$2:$A$183,0)),""))</f>
        <v/>
      </c>
      <c r="J652" s="11" t="n"/>
      <c r="K652" s="11" t="n"/>
      <c r="L652" s="11" t="n"/>
      <c r="M652" s="12" t="n"/>
      <c r="N652" s="11" t="n"/>
      <c r="O652" s="10">
        <f>IF($N652="","",IFERROR(INDEX('PLA ESTRATÈGIC'!$G$4:$G$452,MATCH($N652,'PLA ESTRATÈGIC'!$Q$4:$Q$452,0)),""))</f>
        <v/>
      </c>
      <c r="P652" s="10">
        <f>IF($N652="","",IFERROR(INDEX('PLA ESTRATÈGIC'!$H$4:$H$452,MATCH($N652,'PLA ESTRATÈGIC'!$Q$4:$Q$452,0)),""))</f>
        <v/>
      </c>
      <c r="Q652" s="13" t="n"/>
      <c r="R652" s="11" t="n"/>
      <c r="S652" s="11" t="n"/>
      <c r="T652" s="11" t="n"/>
      <c r="U652" s="11" t="n"/>
      <c r="V652" s="10">
        <f>IF(COUNTA($C652,$D652,$J652,$M652)=0,"",IF(TRIM(IF($C652="","Falta l'actuació. ","")&amp;IF($D652="","Falta l'objectiu. ","")&amp;IF($J652="","Falta el tipus de despesa. ","")&amp;IF(AND($J652&lt;&gt;"",$J652&lt;&gt;"Mitjans propis",$J652&lt;&gt;"Altres",$M652=""),"Falta l'import. ","")&amp;IF(AND($J652="Contracte menor a càrrec del RAE",$K652=""),"Falta la partida RAE. ","")&amp;IF(AND($B652&lt;&gt;"",COUNTIF($B$6:$B$705,$B652)&gt;1),"Codi RAE repetit. ","")&amp;IF(AND($B652&lt;&gt;"",$J652&lt;&gt;"",$J652&lt;&gt;"Contracte menor a càrrec del RAE"),"Té codi RAE però no és de tipus RAE. ","")&amp;IF($N652="","Falta l'indicador del Pla. ","")&amp;IF($R652="","Falta el gestor. ","")&amp;IF($S652="","Falta indicar si és recurrent. ",""))="","✔",TRIM(IF($C652="","Falta l'actuació. ","")&amp;IF($D652="","Falta l'objectiu. ","")&amp;IF($J652="","Falta el tipus de despesa. ","")&amp;IF(AND($J652&lt;&gt;"",$J652&lt;&gt;"Mitjans propis",$J652&lt;&gt;"Altres",$M652=""),"Falta l'import. ","")&amp;IF(AND($J652="Contracte menor a càrrec del RAE",$K652=""),"Falta la partida RAE. ","")&amp;IF(AND($B652&lt;&gt;"",COUNTIF($B$6:$B$705,$B652)&gt;1),"Codi RAE repetit. ","")&amp;IF(AND($B652&lt;&gt;"",$J652&lt;&gt;"",$J652&lt;&gt;"Contracte menor a càrrec del RAE"),"Té codi RAE però no és de tipus RAE. ","")&amp;IF($N652="","Falta l'indicador del Pla. ","")&amp;IF($R652="","Falta el gestor. ","")&amp;IF($S652="","Falta indicar si és recurrent. ",""))))</f>
        <v/>
      </c>
    </row>
    <row r="653">
      <c r="A653" s="10">
        <f>IF($D653="","","27_"&amp;IFERROR(INDEX(Objectius!$E$2:$E$183,MATCH($D653,Objectius!$A$2:$A$183,0)),"??")&amp;"_"&amp;TEXT(COUNTIF($I$6:$I653,$I653),"00"))</f>
        <v/>
      </c>
      <c r="B653" s="11" t="n"/>
      <c r="C653" s="11" t="n"/>
      <c r="D653" s="11" t="n"/>
      <c r="E653" s="10">
        <f>IF($D653="","",IFERROR(INDEX(Objectius!$C$2:$C$183,MATCH($D653,Objectius!$A$2:$A$183,0)),"Objectiu no trobat al Pla"))</f>
        <v/>
      </c>
      <c r="F653" s="11" t="n"/>
      <c r="G653" s="11" t="n"/>
      <c r="H653" s="11" t="n"/>
      <c r="I653" s="10">
        <f>IF($D653="","",IFERROR(INDEX(Objectius!$D$2:$D$183,MATCH($D653,Objectius!$A$2:$A$183,0)),""))</f>
        <v/>
      </c>
      <c r="J653" s="11" t="n"/>
      <c r="K653" s="11" t="n"/>
      <c r="L653" s="11" t="n"/>
      <c r="M653" s="12" t="n"/>
      <c r="N653" s="11" t="n"/>
      <c r="O653" s="10">
        <f>IF($N653="","",IFERROR(INDEX('PLA ESTRATÈGIC'!$G$4:$G$452,MATCH($N653,'PLA ESTRATÈGIC'!$Q$4:$Q$452,0)),""))</f>
        <v/>
      </c>
      <c r="P653" s="10">
        <f>IF($N653="","",IFERROR(INDEX('PLA ESTRATÈGIC'!$H$4:$H$452,MATCH($N653,'PLA ESTRATÈGIC'!$Q$4:$Q$452,0)),""))</f>
        <v/>
      </c>
      <c r="Q653" s="13" t="n"/>
      <c r="R653" s="11" t="n"/>
      <c r="S653" s="11" t="n"/>
      <c r="T653" s="11" t="n"/>
      <c r="U653" s="11" t="n"/>
      <c r="V653" s="10">
        <f>IF(COUNTA($C653,$D653,$J653,$M653)=0,"",IF(TRIM(IF($C653="","Falta l'actuació. ","")&amp;IF($D653="","Falta l'objectiu. ","")&amp;IF($J653="","Falta el tipus de despesa. ","")&amp;IF(AND($J653&lt;&gt;"",$J653&lt;&gt;"Mitjans propis",$J653&lt;&gt;"Altres",$M653=""),"Falta l'import. ","")&amp;IF(AND($J653="Contracte menor a càrrec del RAE",$K653=""),"Falta la partida RAE. ","")&amp;IF(AND($B653&lt;&gt;"",COUNTIF($B$6:$B$705,$B653)&gt;1),"Codi RAE repetit. ","")&amp;IF(AND($B653&lt;&gt;"",$J653&lt;&gt;"",$J653&lt;&gt;"Contracte menor a càrrec del RAE"),"Té codi RAE però no és de tipus RAE. ","")&amp;IF($N653="","Falta l'indicador del Pla. ","")&amp;IF($R653="","Falta el gestor. ","")&amp;IF($S653="","Falta indicar si és recurrent. ",""))="","✔",TRIM(IF($C653="","Falta l'actuació. ","")&amp;IF($D653="","Falta l'objectiu. ","")&amp;IF($J653="","Falta el tipus de despesa. ","")&amp;IF(AND($J653&lt;&gt;"",$J653&lt;&gt;"Mitjans propis",$J653&lt;&gt;"Altres",$M653=""),"Falta l'import. ","")&amp;IF(AND($J653="Contracte menor a càrrec del RAE",$K653=""),"Falta la partida RAE. ","")&amp;IF(AND($B653&lt;&gt;"",COUNTIF($B$6:$B$705,$B653)&gt;1),"Codi RAE repetit. ","")&amp;IF(AND($B653&lt;&gt;"",$J653&lt;&gt;"",$J653&lt;&gt;"Contracte menor a càrrec del RAE"),"Té codi RAE però no és de tipus RAE. ","")&amp;IF($N653="","Falta l'indicador del Pla. ","")&amp;IF($R653="","Falta el gestor. ","")&amp;IF($S653="","Falta indicar si és recurrent. ",""))))</f>
        <v/>
      </c>
    </row>
    <row r="654">
      <c r="A654" s="10">
        <f>IF($D654="","","27_"&amp;IFERROR(INDEX(Objectius!$E$2:$E$183,MATCH($D654,Objectius!$A$2:$A$183,0)),"??")&amp;"_"&amp;TEXT(COUNTIF($I$6:$I654,$I654),"00"))</f>
        <v/>
      </c>
      <c r="B654" s="11" t="n"/>
      <c r="C654" s="11" t="n"/>
      <c r="D654" s="11" t="n"/>
      <c r="E654" s="10">
        <f>IF($D654="","",IFERROR(INDEX(Objectius!$C$2:$C$183,MATCH($D654,Objectius!$A$2:$A$183,0)),"Objectiu no trobat al Pla"))</f>
        <v/>
      </c>
      <c r="F654" s="11" t="n"/>
      <c r="G654" s="11" t="n"/>
      <c r="H654" s="11" t="n"/>
      <c r="I654" s="10">
        <f>IF($D654="","",IFERROR(INDEX(Objectius!$D$2:$D$183,MATCH($D654,Objectius!$A$2:$A$183,0)),""))</f>
        <v/>
      </c>
      <c r="J654" s="11" t="n"/>
      <c r="K654" s="11" t="n"/>
      <c r="L654" s="11" t="n"/>
      <c r="M654" s="12" t="n"/>
      <c r="N654" s="11" t="n"/>
      <c r="O654" s="10">
        <f>IF($N654="","",IFERROR(INDEX('PLA ESTRATÈGIC'!$G$4:$G$452,MATCH($N654,'PLA ESTRATÈGIC'!$Q$4:$Q$452,0)),""))</f>
        <v/>
      </c>
      <c r="P654" s="10">
        <f>IF($N654="","",IFERROR(INDEX('PLA ESTRATÈGIC'!$H$4:$H$452,MATCH($N654,'PLA ESTRATÈGIC'!$Q$4:$Q$452,0)),""))</f>
        <v/>
      </c>
      <c r="Q654" s="13" t="n"/>
      <c r="R654" s="11" t="n"/>
      <c r="S654" s="11" t="n"/>
      <c r="T654" s="11" t="n"/>
      <c r="U654" s="11" t="n"/>
      <c r="V654" s="10">
        <f>IF(COUNTA($C654,$D654,$J654,$M654)=0,"",IF(TRIM(IF($C654="","Falta l'actuació. ","")&amp;IF($D654="","Falta l'objectiu. ","")&amp;IF($J654="","Falta el tipus de despesa. ","")&amp;IF(AND($J654&lt;&gt;"",$J654&lt;&gt;"Mitjans propis",$J654&lt;&gt;"Altres",$M654=""),"Falta l'import. ","")&amp;IF(AND($J654="Contracte menor a càrrec del RAE",$K654=""),"Falta la partida RAE. ","")&amp;IF(AND($B654&lt;&gt;"",COUNTIF($B$6:$B$705,$B654)&gt;1),"Codi RAE repetit. ","")&amp;IF(AND($B654&lt;&gt;"",$J654&lt;&gt;"",$J654&lt;&gt;"Contracte menor a càrrec del RAE"),"Té codi RAE però no és de tipus RAE. ","")&amp;IF($N654="","Falta l'indicador del Pla. ","")&amp;IF($R654="","Falta el gestor. ","")&amp;IF($S654="","Falta indicar si és recurrent. ",""))="","✔",TRIM(IF($C654="","Falta l'actuació. ","")&amp;IF($D654="","Falta l'objectiu. ","")&amp;IF($J654="","Falta el tipus de despesa. ","")&amp;IF(AND($J654&lt;&gt;"",$J654&lt;&gt;"Mitjans propis",$J654&lt;&gt;"Altres",$M654=""),"Falta l'import. ","")&amp;IF(AND($J654="Contracte menor a càrrec del RAE",$K654=""),"Falta la partida RAE. ","")&amp;IF(AND($B654&lt;&gt;"",COUNTIF($B$6:$B$705,$B654)&gt;1),"Codi RAE repetit. ","")&amp;IF(AND($B654&lt;&gt;"",$J654&lt;&gt;"",$J654&lt;&gt;"Contracte menor a càrrec del RAE"),"Té codi RAE però no és de tipus RAE. ","")&amp;IF($N654="","Falta l'indicador del Pla. ","")&amp;IF($R654="","Falta el gestor. ","")&amp;IF($S654="","Falta indicar si és recurrent. ",""))))</f>
        <v/>
      </c>
    </row>
    <row r="655">
      <c r="A655" s="10">
        <f>IF($D655="","","27_"&amp;IFERROR(INDEX(Objectius!$E$2:$E$183,MATCH($D655,Objectius!$A$2:$A$183,0)),"??")&amp;"_"&amp;TEXT(COUNTIF($I$6:$I655,$I655),"00"))</f>
        <v/>
      </c>
      <c r="B655" s="11" t="n"/>
      <c r="C655" s="11" t="n"/>
      <c r="D655" s="11" t="n"/>
      <c r="E655" s="10">
        <f>IF($D655="","",IFERROR(INDEX(Objectius!$C$2:$C$183,MATCH($D655,Objectius!$A$2:$A$183,0)),"Objectiu no trobat al Pla"))</f>
        <v/>
      </c>
      <c r="F655" s="11" t="n"/>
      <c r="G655" s="11" t="n"/>
      <c r="H655" s="11" t="n"/>
      <c r="I655" s="10">
        <f>IF($D655="","",IFERROR(INDEX(Objectius!$D$2:$D$183,MATCH($D655,Objectius!$A$2:$A$183,0)),""))</f>
        <v/>
      </c>
      <c r="J655" s="11" t="n"/>
      <c r="K655" s="11" t="n"/>
      <c r="L655" s="11" t="n"/>
      <c r="M655" s="12" t="n"/>
      <c r="N655" s="11" t="n"/>
      <c r="O655" s="10">
        <f>IF($N655="","",IFERROR(INDEX('PLA ESTRATÈGIC'!$G$4:$G$452,MATCH($N655,'PLA ESTRATÈGIC'!$Q$4:$Q$452,0)),""))</f>
        <v/>
      </c>
      <c r="P655" s="10">
        <f>IF($N655="","",IFERROR(INDEX('PLA ESTRATÈGIC'!$H$4:$H$452,MATCH($N655,'PLA ESTRATÈGIC'!$Q$4:$Q$452,0)),""))</f>
        <v/>
      </c>
      <c r="Q655" s="13" t="n"/>
      <c r="R655" s="11" t="n"/>
      <c r="S655" s="11" t="n"/>
      <c r="T655" s="11" t="n"/>
      <c r="U655" s="11" t="n"/>
      <c r="V655" s="10">
        <f>IF(COUNTA($C655,$D655,$J655,$M655)=0,"",IF(TRIM(IF($C655="","Falta l'actuació. ","")&amp;IF($D655="","Falta l'objectiu. ","")&amp;IF($J655="","Falta el tipus de despesa. ","")&amp;IF(AND($J655&lt;&gt;"",$J655&lt;&gt;"Mitjans propis",$J655&lt;&gt;"Altres",$M655=""),"Falta l'import. ","")&amp;IF(AND($J655="Contracte menor a càrrec del RAE",$K655=""),"Falta la partida RAE. ","")&amp;IF(AND($B655&lt;&gt;"",COUNTIF($B$6:$B$705,$B655)&gt;1),"Codi RAE repetit. ","")&amp;IF(AND($B655&lt;&gt;"",$J655&lt;&gt;"",$J655&lt;&gt;"Contracte menor a càrrec del RAE"),"Té codi RAE però no és de tipus RAE. ","")&amp;IF($N655="","Falta l'indicador del Pla. ","")&amp;IF($R655="","Falta el gestor. ","")&amp;IF($S655="","Falta indicar si és recurrent. ",""))="","✔",TRIM(IF($C655="","Falta l'actuació. ","")&amp;IF($D655="","Falta l'objectiu. ","")&amp;IF($J655="","Falta el tipus de despesa. ","")&amp;IF(AND($J655&lt;&gt;"",$J655&lt;&gt;"Mitjans propis",$J655&lt;&gt;"Altres",$M655=""),"Falta l'import. ","")&amp;IF(AND($J655="Contracte menor a càrrec del RAE",$K655=""),"Falta la partida RAE. ","")&amp;IF(AND($B655&lt;&gt;"",COUNTIF($B$6:$B$705,$B655)&gt;1),"Codi RAE repetit. ","")&amp;IF(AND($B655&lt;&gt;"",$J655&lt;&gt;"",$J655&lt;&gt;"Contracte menor a càrrec del RAE"),"Té codi RAE però no és de tipus RAE. ","")&amp;IF($N655="","Falta l'indicador del Pla. ","")&amp;IF($R655="","Falta el gestor. ","")&amp;IF($S655="","Falta indicar si és recurrent. ",""))))</f>
        <v/>
      </c>
    </row>
    <row r="656">
      <c r="A656" s="10">
        <f>IF($D656="","","27_"&amp;IFERROR(INDEX(Objectius!$E$2:$E$183,MATCH($D656,Objectius!$A$2:$A$183,0)),"??")&amp;"_"&amp;TEXT(COUNTIF($I$6:$I656,$I656),"00"))</f>
        <v/>
      </c>
      <c r="B656" s="11" t="n"/>
      <c r="C656" s="11" t="n"/>
      <c r="D656" s="11" t="n"/>
      <c r="E656" s="10">
        <f>IF($D656="","",IFERROR(INDEX(Objectius!$C$2:$C$183,MATCH($D656,Objectius!$A$2:$A$183,0)),"Objectiu no trobat al Pla"))</f>
        <v/>
      </c>
      <c r="F656" s="11" t="n"/>
      <c r="G656" s="11" t="n"/>
      <c r="H656" s="11" t="n"/>
      <c r="I656" s="10">
        <f>IF($D656="","",IFERROR(INDEX(Objectius!$D$2:$D$183,MATCH($D656,Objectius!$A$2:$A$183,0)),""))</f>
        <v/>
      </c>
      <c r="J656" s="11" t="n"/>
      <c r="K656" s="11" t="n"/>
      <c r="L656" s="11" t="n"/>
      <c r="M656" s="12" t="n"/>
      <c r="N656" s="11" t="n"/>
      <c r="O656" s="10">
        <f>IF($N656="","",IFERROR(INDEX('PLA ESTRATÈGIC'!$G$4:$G$452,MATCH($N656,'PLA ESTRATÈGIC'!$Q$4:$Q$452,0)),""))</f>
        <v/>
      </c>
      <c r="P656" s="10">
        <f>IF($N656="","",IFERROR(INDEX('PLA ESTRATÈGIC'!$H$4:$H$452,MATCH($N656,'PLA ESTRATÈGIC'!$Q$4:$Q$452,0)),""))</f>
        <v/>
      </c>
      <c r="Q656" s="13" t="n"/>
      <c r="R656" s="11" t="n"/>
      <c r="S656" s="11" t="n"/>
      <c r="T656" s="11" t="n"/>
      <c r="U656" s="11" t="n"/>
      <c r="V656" s="10">
        <f>IF(COUNTA($C656,$D656,$J656,$M656)=0,"",IF(TRIM(IF($C656="","Falta l'actuació. ","")&amp;IF($D656="","Falta l'objectiu. ","")&amp;IF($J656="","Falta el tipus de despesa. ","")&amp;IF(AND($J656&lt;&gt;"",$J656&lt;&gt;"Mitjans propis",$J656&lt;&gt;"Altres",$M656=""),"Falta l'import. ","")&amp;IF(AND($J656="Contracte menor a càrrec del RAE",$K656=""),"Falta la partida RAE. ","")&amp;IF(AND($B656&lt;&gt;"",COUNTIF($B$6:$B$705,$B656)&gt;1),"Codi RAE repetit. ","")&amp;IF(AND($B656&lt;&gt;"",$J656&lt;&gt;"",$J656&lt;&gt;"Contracte menor a càrrec del RAE"),"Té codi RAE però no és de tipus RAE. ","")&amp;IF($N656="","Falta l'indicador del Pla. ","")&amp;IF($R656="","Falta el gestor. ","")&amp;IF($S656="","Falta indicar si és recurrent. ",""))="","✔",TRIM(IF($C656="","Falta l'actuació. ","")&amp;IF($D656="","Falta l'objectiu. ","")&amp;IF($J656="","Falta el tipus de despesa. ","")&amp;IF(AND($J656&lt;&gt;"",$J656&lt;&gt;"Mitjans propis",$J656&lt;&gt;"Altres",$M656=""),"Falta l'import. ","")&amp;IF(AND($J656="Contracte menor a càrrec del RAE",$K656=""),"Falta la partida RAE. ","")&amp;IF(AND($B656&lt;&gt;"",COUNTIF($B$6:$B$705,$B656)&gt;1),"Codi RAE repetit. ","")&amp;IF(AND($B656&lt;&gt;"",$J656&lt;&gt;"",$J656&lt;&gt;"Contracte menor a càrrec del RAE"),"Té codi RAE però no és de tipus RAE. ","")&amp;IF($N656="","Falta l'indicador del Pla. ","")&amp;IF($R656="","Falta el gestor. ","")&amp;IF($S656="","Falta indicar si és recurrent. ",""))))</f>
        <v/>
      </c>
    </row>
    <row r="657">
      <c r="A657" s="10">
        <f>IF($D657="","","27_"&amp;IFERROR(INDEX(Objectius!$E$2:$E$183,MATCH($D657,Objectius!$A$2:$A$183,0)),"??")&amp;"_"&amp;TEXT(COUNTIF($I$6:$I657,$I657),"00"))</f>
        <v/>
      </c>
      <c r="B657" s="11" t="n"/>
      <c r="C657" s="11" t="n"/>
      <c r="D657" s="11" t="n"/>
      <c r="E657" s="10">
        <f>IF($D657="","",IFERROR(INDEX(Objectius!$C$2:$C$183,MATCH($D657,Objectius!$A$2:$A$183,0)),"Objectiu no trobat al Pla"))</f>
        <v/>
      </c>
      <c r="F657" s="11" t="n"/>
      <c r="G657" s="11" t="n"/>
      <c r="H657" s="11" t="n"/>
      <c r="I657" s="10">
        <f>IF($D657="","",IFERROR(INDEX(Objectius!$D$2:$D$183,MATCH($D657,Objectius!$A$2:$A$183,0)),""))</f>
        <v/>
      </c>
      <c r="J657" s="11" t="n"/>
      <c r="K657" s="11" t="n"/>
      <c r="L657" s="11" t="n"/>
      <c r="M657" s="12" t="n"/>
      <c r="N657" s="11" t="n"/>
      <c r="O657" s="10">
        <f>IF($N657="","",IFERROR(INDEX('PLA ESTRATÈGIC'!$G$4:$G$452,MATCH($N657,'PLA ESTRATÈGIC'!$Q$4:$Q$452,0)),""))</f>
        <v/>
      </c>
      <c r="P657" s="10">
        <f>IF($N657="","",IFERROR(INDEX('PLA ESTRATÈGIC'!$H$4:$H$452,MATCH($N657,'PLA ESTRATÈGIC'!$Q$4:$Q$452,0)),""))</f>
        <v/>
      </c>
      <c r="Q657" s="13" t="n"/>
      <c r="R657" s="11" t="n"/>
      <c r="S657" s="11" t="n"/>
      <c r="T657" s="11" t="n"/>
      <c r="U657" s="11" t="n"/>
      <c r="V657" s="10">
        <f>IF(COUNTA($C657,$D657,$J657,$M657)=0,"",IF(TRIM(IF($C657="","Falta l'actuació. ","")&amp;IF($D657="","Falta l'objectiu. ","")&amp;IF($J657="","Falta el tipus de despesa. ","")&amp;IF(AND($J657&lt;&gt;"",$J657&lt;&gt;"Mitjans propis",$J657&lt;&gt;"Altres",$M657=""),"Falta l'import. ","")&amp;IF(AND($J657="Contracte menor a càrrec del RAE",$K657=""),"Falta la partida RAE. ","")&amp;IF(AND($B657&lt;&gt;"",COUNTIF($B$6:$B$705,$B657)&gt;1),"Codi RAE repetit. ","")&amp;IF(AND($B657&lt;&gt;"",$J657&lt;&gt;"",$J657&lt;&gt;"Contracte menor a càrrec del RAE"),"Té codi RAE però no és de tipus RAE. ","")&amp;IF($N657="","Falta l'indicador del Pla. ","")&amp;IF($R657="","Falta el gestor. ","")&amp;IF($S657="","Falta indicar si és recurrent. ",""))="","✔",TRIM(IF($C657="","Falta l'actuació. ","")&amp;IF($D657="","Falta l'objectiu. ","")&amp;IF($J657="","Falta el tipus de despesa. ","")&amp;IF(AND($J657&lt;&gt;"",$J657&lt;&gt;"Mitjans propis",$J657&lt;&gt;"Altres",$M657=""),"Falta l'import. ","")&amp;IF(AND($J657="Contracte menor a càrrec del RAE",$K657=""),"Falta la partida RAE. ","")&amp;IF(AND($B657&lt;&gt;"",COUNTIF($B$6:$B$705,$B657)&gt;1),"Codi RAE repetit. ","")&amp;IF(AND($B657&lt;&gt;"",$J657&lt;&gt;"",$J657&lt;&gt;"Contracte menor a càrrec del RAE"),"Té codi RAE però no és de tipus RAE. ","")&amp;IF($N657="","Falta l'indicador del Pla. ","")&amp;IF($R657="","Falta el gestor. ","")&amp;IF($S657="","Falta indicar si és recurrent. ",""))))</f>
        <v/>
      </c>
    </row>
    <row r="658">
      <c r="A658" s="10">
        <f>IF($D658="","","27_"&amp;IFERROR(INDEX(Objectius!$E$2:$E$183,MATCH($D658,Objectius!$A$2:$A$183,0)),"??")&amp;"_"&amp;TEXT(COUNTIF($I$6:$I658,$I658),"00"))</f>
        <v/>
      </c>
      <c r="B658" s="11" t="n"/>
      <c r="C658" s="11" t="n"/>
      <c r="D658" s="11" t="n"/>
      <c r="E658" s="10">
        <f>IF($D658="","",IFERROR(INDEX(Objectius!$C$2:$C$183,MATCH($D658,Objectius!$A$2:$A$183,0)),"Objectiu no trobat al Pla"))</f>
        <v/>
      </c>
      <c r="F658" s="11" t="n"/>
      <c r="G658" s="11" t="n"/>
      <c r="H658" s="11" t="n"/>
      <c r="I658" s="10">
        <f>IF($D658="","",IFERROR(INDEX(Objectius!$D$2:$D$183,MATCH($D658,Objectius!$A$2:$A$183,0)),""))</f>
        <v/>
      </c>
      <c r="J658" s="11" t="n"/>
      <c r="K658" s="11" t="n"/>
      <c r="L658" s="11" t="n"/>
      <c r="M658" s="12" t="n"/>
      <c r="N658" s="11" t="n"/>
      <c r="O658" s="10">
        <f>IF($N658="","",IFERROR(INDEX('PLA ESTRATÈGIC'!$G$4:$G$452,MATCH($N658,'PLA ESTRATÈGIC'!$Q$4:$Q$452,0)),""))</f>
        <v/>
      </c>
      <c r="P658" s="10">
        <f>IF($N658="","",IFERROR(INDEX('PLA ESTRATÈGIC'!$H$4:$H$452,MATCH($N658,'PLA ESTRATÈGIC'!$Q$4:$Q$452,0)),""))</f>
        <v/>
      </c>
      <c r="Q658" s="13" t="n"/>
      <c r="R658" s="11" t="n"/>
      <c r="S658" s="11" t="n"/>
      <c r="T658" s="11" t="n"/>
      <c r="U658" s="11" t="n"/>
      <c r="V658" s="10">
        <f>IF(COUNTA($C658,$D658,$J658,$M658)=0,"",IF(TRIM(IF($C658="","Falta l'actuació. ","")&amp;IF($D658="","Falta l'objectiu. ","")&amp;IF($J658="","Falta el tipus de despesa. ","")&amp;IF(AND($J658&lt;&gt;"",$J658&lt;&gt;"Mitjans propis",$J658&lt;&gt;"Altres",$M658=""),"Falta l'import. ","")&amp;IF(AND($J658="Contracte menor a càrrec del RAE",$K658=""),"Falta la partida RAE. ","")&amp;IF(AND($B658&lt;&gt;"",COUNTIF($B$6:$B$705,$B658)&gt;1),"Codi RAE repetit. ","")&amp;IF(AND($B658&lt;&gt;"",$J658&lt;&gt;"",$J658&lt;&gt;"Contracte menor a càrrec del RAE"),"Té codi RAE però no és de tipus RAE. ","")&amp;IF($N658="","Falta l'indicador del Pla. ","")&amp;IF($R658="","Falta el gestor. ","")&amp;IF($S658="","Falta indicar si és recurrent. ",""))="","✔",TRIM(IF($C658="","Falta l'actuació. ","")&amp;IF($D658="","Falta l'objectiu. ","")&amp;IF($J658="","Falta el tipus de despesa. ","")&amp;IF(AND($J658&lt;&gt;"",$J658&lt;&gt;"Mitjans propis",$J658&lt;&gt;"Altres",$M658=""),"Falta l'import. ","")&amp;IF(AND($J658="Contracte menor a càrrec del RAE",$K658=""),"Falta la partida RAE. ","")&amp;IF(AND($B658&lt;&gt;"",COUNTIF($B$6:$B$705,$B658)&gt;1),"Codi RAE repetit. ","")&amp;IF(AND($B658&lt;&gt;"",$J658&lt;&gt;"",$J658&lt;&gt;"Contracte menor a càrrec del RAE"),"Té codi RAE però no és de tipus RAE. ","")&amp;IF($N658="","Falta l'indicador del Pla. ","")&amp;IF($R658="","Falta el gestor. ","")&amp;IF($S658="","Falta indicar si és recurrent. ",""))))</f>
        <v/>
      </c>
    </row>
    <row r="659">
      <c r="A659" s="10">
        <f>IF($D659="","","27_"&amp;IFERROR(INDEX(Objectius!$E$2:$E$183,MATCH($D659,Objectius!$A$2:$A$183,0)),"??")&amp;"_"&amp;TEXT(COUNTIF($I$6:$I659,$I659),"00"))</f>
        <v/>
      </c>
      <c r="B659" s="11" t="n"/>
      <c r="C659" s="11" t="n"/>
      <c r="D659" s="11" t="n"/>
      <c r="E659" s="10">
        <f>IF($D659="","",IFERROR(INDEX(Objectius!$C$2:$C$183,MATCH($D659,Objectius!$A$2:$A$183,0)),"Objectiu no trobat al Pla"))</f>
        <v/>
      </c>
      <c r="F659" s="11" t="n"/>
      <c r="G659" s="11" t="n"/>
      <c r="H659" s="11" t="n"/>
      <c r="I659" s="10">
        <f>IF($D659="","",IFERROR(INDEX(Objectius!$D$2:$D$183,MATCH($D659,Objectius!$A$2:$A$183,0)),""))</f>
        <v/>
      </c>
      <c r="J659" s="11" t="n"/>
      <c r="K659" s="11" t="n"/>
      <c r="L659" s="11" t="n"/>
      <c r="M659" s="12" t="n"/>
      <c r="N659" s="11" t="n"/>
      <c r="O659" s="10">
        <f>IF($N659="","",IFERROR(INDEX('PLA ESTRATÈGIC'!$G$4:$G$452,MATCH($N659,'PLA ESTRATÈGIC'!$Q$4:$Q$452,0)),""))</f>
        <v/>
      </c>
      <c r="P659" s="10">
        <f>IF($N659="","",IFERROR(INDEX('PLA ESTRATÈGIC'!$H$4:$H$452,MATCH($N659,'PLA ESTRATÈGIC'!$Q$4:$Q$452,0)),""))</f>
        <v/>
      </c>
      <c r="Q659" s="13" t="n"/>
      <c r="R659" s="11" t="n"/>
      <c r="S659" s="11" t="n"/>
      <c r="T659" s="11" t="n"/>
      <c r="U659" s="11" t="n"/>
      <c r="V659" s="10">
        <f>IF(COUNTA($C659,$D659,$J659,$M659)=0,"",IF(TRIM(IF($C659="","Falta l'actuació. ","")&amp;IF($D659="","Falta l'objectiu. ","")&amp;IF($J659="","Falta el tipus de despesa. ","")&amp;IF(AND($J659&lt;&gt;"",$J659&lt;&gt;"Mitjans propis",$J659&lt;&gt;"Altres",$M659=""),"Falta l'import. ","")&amp;IF(AND($J659="Contracte menor a càrrec del RAE",$K659=""),"Falta la partida RAE. ","")&amp;IF(AND($B659&lt;&gt;"",COUNTIF($B$6:$B$705,$B659)&gt;1),"Codi RAE repetit. ","")&amp;IF(AND($B659&lt;&gt;"",$J659&lt;&gt;"",$J659&lt;&gt;"Contracte menor a càrrec del RAE"),"Té codi RAE però no és de tipus RAE. ","")&amp;IF($N659="","Falta l'indicador del Pla. ","")&amp;IF($R659="","Falta el gestor. ","")&amp;IF($S659="","Falta indicar si és recurrent. ",""))="","✔",TRIM(IF($C659="","Falta l'actuació. ","")&amp;IF($D659="","Falta l'objectiu. ","")&amp;IF($J659="","Falta el tipus de despesa. ","")&amp;IF(AND($J659&lt;&gt;"",$J659&lt;&gt;"Mitjans propis",$J659&lt;&gt;"Altres",$M659=""),"Falta l'import. ","")&amp;IF(AND($J659="Contracte menor a càrrec del RAE",$K659=""),"Falta la partida RAE. ","")&amp;IF(AND($B659&lt;&gt;"",COUNTIF($B$6:$B$705,$B659)&gt;1),"Codi RAE repetit. ","")&amp;IF(AND($B659&lt;&gt;"",$J659&lt;&gt;"",$J659&lt;&gt;"Contracte menor a càrrec del RAE"),"Té codi RAE però no és de tipus RAE. ","")&amp;IF($N659="","Falta l'indicador del Pla. ","")&amp;IF($R659="","Falta el gestor. ","")&amp;IF($S659="","Falta indicar si és recurrent. ",""))))</f>
        <v/>
      </c>
    </row>
    <row r="660">
      <c r="A660" s="10">
        <f>IF($D660="","","27_"&amp;IFERROR(INDEX(Objectius!$E$2:$E$183,MATCH($D660,Objectius!$A$2:$A$183,0)),"??")&amp;"_"&amp;TEXT(COUNTIF($I$6:$I660,$I660),"00"))</f>
        <v/>
      </c>
      <c r="B660" s="11" t="n"/>
      <c r="C660" s="11" t="n"/>
      <c r="D660" s="11" t="n"/>
      <c r="E660" s="10">
        <f>IF($D660="","",IFERROR(INDEX(Objectius!$C$2:$C$183,MATCH($D660,Objectius!$A$2:$A$183,0)),"Objectiu no trobat al Pla"))</f>
        <v/>
      </c>
      <c r="F660" s="11" t="n"/>
      <c r="G660" s="11" t="n"/>
      <c r="H660" s="11" t="n"/>
      <c r="I660" s="10">
        <f>IF($D660="","",IFERROR(INDEX(Objectius!$D$2:$D$183,MATCH($D660,Objectius!$A$2:$A$183,0)),""))</f>
        <v/>
      </c>
      <c r="J660" s="11" t="n"/>
      <c r="K660" s="11" t="n"/>
      <c r="L660" s="11" t="n"/>
      <c r="M660" s="12" t="n"/>
      <c r="N660" s="11" t="n"/>
      <c r="O660" s="10">
        <f>IF($N660="","",IFERROR(INDEX('PLA ESTRATÈGIC'!$G$4:$G$452,MATCH($N660,'PLA ESTRATÈGIC'!$Q$4:$Q$452,0)),""))</f>
        <v/>
      </c>
      <c r="P660" s="10">
        <f>IF($N660="","",IFERROR(INDEX('PLA ESTRATÈGIC'!$H$4:$H$452,MATCH($N660,'PLA ESTRATÈGIC'!$Q$4:$Q$452,0)),""))</f>
        <v/>
      </c>
      <c r="Q660" s="13" t="n"/>
      <c r="R660" s="11" t="n"/>
      <c r="S660" s="11" t="n"/>
      <c r="T660" s="11" t="n"/>
      <c r="U660" s="11" t="n"/>
      <c r="V660" s="10">
        <f>IF(COUNTA($C660,$D660,$J660,$M660)=0,"",IF(TRIM(IF($C660="","Falta l'actuació. ","")&amp;IF($D660="","Falta l'objectiu. ","")&amp;IF($J660="","Falta el tipus de despesa. ","")&amp;IF(AND($J660&lt;&gt;"",$J660&lt;&gt;"Mitjans propis",$J660&lt;&gt;"Altres",$M660=""),"Falta l'import. ","")&amp;IF(AND($J660="Contracte menor a càrrec del RAE",$K660=""),"Falta la partida RAE. ","")&amp;IF(AND($B660&lt;&gt;"",COUNTIF($B$6:$B$705,$B660)&gt;1),"Codi RAE repetit. ","")&amp;IF(AND($B660&lt;&gt;"",$J660&lt;&gt;"",$J660&lt;&gt;"Contracte menor a càrrec del RAE"),"Té codi RAE però no és de tipus RAE. ","")&amp;IF($N660="","Falta l'indicador del Pla. ","")&amp;IF($R660="","Falta el gestor. ","")&amp;IF($S660="","Falta indicar si és recurrent. ",""))="","✔",TRIM(IF($C660="","Falta l'actuació. ","")&amp;IF($D660="","Falta l'objectiu. ","")&amp;IF($J660="","Falta el tipus de despesa. ","")&amp;IF(AND($J660&lt;&gt;"",$J660&lt;&gt;"Mitjans propis",$J660&lt;&gt;"Altres",$M660=""),"Falta l'import. ","")&amp;IF(AND($J660="Contracte menor a càrrec del RAE",$K660=""),"Falta la partida RAE. ","")&amp;IF(AND($B660&lt;&gt;"",COUNTIF($B$6:$B$705,$B660)&gt;1),"Codi RAE repetit. ","")&amp;IF(AND($B660&lt;&gt;"",$J660&lt;&gt;"",$J660&lt;&gt;"Contracte menor a càrrec del RAE"),"Té codi RAE però no és de tipus RAE. ","")&amp;IF($N660="","Falta l'indicador del Pla. ","")&amp;IF($R660="","Falta el gestor. ","")&amp;IF($S660="","Falta indicar si és recurrent. ",""))))</f>
        <v/>
      </c>
    </row>
    <row r="661">
      <c r="A661" s="10">
        <f>IF($D661="","","27_"&amp;IFERROR(INDEX(Objectius!$E$2:$E$183,MATCH($D661,Objectius!$A$2:$A$183,0)),"??")&amp;"_"&amp;TEXT(COUNTIF($I$6:$I661,$I661),"00"))</f>
        <v/>
      </c>
      <c r="B661" s="11" t="n"/>
      <c r="C661" s="11" t="n"/>
      <c r="D661" s="11" t="n"/>
      <c r="E661" s="10">
        <f>IF($D661="","",IFERROR(INDEX(Objectius!$C$2:$C$183,MATCH($D661,Objectius!$A$2:$A$183,0)),"Objectiu no trobat al Pla"))</f>
        <v/>
      </c>
      <c r="F661" s="11" t="n"/>
      <c r="G661" s="11" t="n"/>
      <c r="H661" s="11" t="n"/>
      <c r="I661" s="10">
        <f>IF($D661="","",IFERROR(INDEX(Objectius!$D$2:$D$183,MATCH($D661,Objectius!$A$2:$A$183,0)),""))</f>
        <v/>
      </c>
      <c r="J661" s="11" t="n"/>
      <c r="K661" s="11" t="n"/>
      <c r="L661" s="11" t="n"/>
      <c r="M661" s="12" t="n"/>
      <c r="N661" s="11" t="n"/>
      <c r="O661" s="10">
        <f>IF($N661="","",IFERROR(INDEX('PLA ESTRATÈGIC'!$G$4:$G$452,MATCH($N661,'PLA ESTRATÈGIC'!$Q$4:$Q$452,0)),""))</f>
        <v/>
      </c>
      <c r="P661" s="10">
        <f>IF($N661="","",IFERROR(INDEX('PLA ESTRATÈGIC'!$H$4:$H$452,MATCH($N661,'PLA ESTRATÈGIC'!$Q$4:$Q$452,0)),""))</f>
        <v/>
      </c>
      <c r="Q661" s="13" t="n"/>
      <c r="R661" s="11" t="n"/>
      <c r="S661" s="11" t="n"/>
      <c r="T661" s="11" t="n"/>
      <c r="U661" s="11" t="n"/>
      <c r="V661" s="10">
        <f>IF(COUNTA($C661,$D661,$J661,$M661)=0,"",IF(TRIM(IF($C661="","Falta l'actuació. ","")&amp;IF($D661="","Falta l'objectiu. ","")&amp;IF($J661="","Falta el tipus de despesa. ","")&amp;IF(AND($J661&lt;&gt;"",$J661&lt;&gt;"Mitjans propis",$J661&lt;&gt;"Altres",$M661=""),"Falta l'import. ","")&amp;IF(AND($J661="Contracte menor a càrrec del RAE",$K661=""),"Falta la partida RAE. ","")&amp;IF(AND($B661&lt;&gt;"",COUNTIF($B$6:$B$705,$B661)&gt;1),"Codi RAE repetit. ","")&amp;IF(AND($B661&lt;&gt;"",$J661&lt;&gt;"",$J661&lt;&gt;"Contracte menor a càrrec del RAE"),"Té codi RAE però no és de tipus RAE. ","")&amp;IF($N661="","Falta l'indicador del Pla. ","")&amp;IF($R661="","Falta el gestor. ","")&amp;IF($S661="","Falta indicar si és recurrent. ",""))="","✔",TRIM(IF($C661="","Falta l'actuació. ","")&amp;IF($D661="","Falta l'objectiu. ","")&amp;IF($J661="","Falta el tipus de despesa. ","")&amp;IF(AND($J661&lt;&gt;"",$J661&lt;&gt;"Mitjans propis",$J661&lt;&gt;"Altres",$M661=""),"Falta l'import. ","")&amp;IF(AND($J661="Contracte menor a càrrec del RAE",$K661=""),"Falta la partida RAE. ","")&amp;IF(AND($B661&lt;&gt;"",COUNTIF($B$6:$B$705,$B661)&gt;1),"Codi RAE repetit. ","")&amp;IF(AND($B661&lt;&gt;"",$J661&lt;&gt;"",$J661&lt;&gt;"Contracte menor a càrrec del RAE"),"Té codi RAE però no és de tipus RAE. ","")&amp;IF($N661="","Falta l'indicador del Pla. ","")&amp;IF($R661="","Falta el gestor. ","")&amp;IF($S661="","Falta indicar si és recurrent. ",""))))</f>
        <v/>
      </c>
    </row>
    <row r="662">
      <c r="A662" s="10">
        <f>IF($D662="","","27_"&amp;IFERROR(INDEX(Objectius!$E$2:$E$183,MATCH($D662,Objectius!$A$2:$A$183,0)),"??")&amp;"_"&amp;TEXT(COUNTIF($I$6:$I662,$I662),"00"))</f>
        <v/>
      </c>
      <c r="B662" s="11" t="n"/>
      <c r="C662" s="11" t="n"/>
      <c r="D662" s="11" t="n"/>
      <c r="E662" s="10">
        <f>IF($D662="","",IFERROR(INDEX(Objectius!$C$2:$C$183,MATCH($D662,Objectius!$A$2:$A$183,0)),"Objectiu no trobat al Pla"))</f>
        <v/>
      </c>
      <c r="F662" s="11" t="n"/>
      <c r="G662" s="11" t="n"/>
      <c r="H662" s="11" t="n"/>
      <c r="I662" s="10">
        <f>IF($D662="","",IFERROR(INDEX(Objectius!$D$2:$D$183,MATCH($D662,Objectius!$A$2:$A$183,0)),""))</f>
        <v/>
      </c>
      <c r="J662" s="11" t="n"/>
      <c r="K662" s="11" t="n"/>
      <c r="L662" s="11" t="n"/>
      <c r="M662" s="12" t="n"/>
      <c r="N662" s="11" t="n"/>
      <c r="O662" s="10">
        <f>IF($N662="","",IFERROR(INDEX('PLA ESTRATÈGIC'!$G$4:$G$452,MATCH($N662,'PLA ESTRATÈGIC'!$Q$4:$Q$452,0)),""))</f>
        <v/>
      </c>
      <c r="P662" s="10">
        <f>IF($N662="","",IFERROR(INDEX('PLA ESTRATÈGIC'!$H$4:$H$452,MATCH($N662,'PLA ESTRATÈGIC'!$Q$4:$Q$452,0)),""))</f>
        <v/>
      </c>
      <c r="Q662" s="13" t="n"/>
      <c r="R662" s="11" t="n"/>
      <c r="S662" s="11" t="n"/>
      <c r="T662" s="11" t="n"/>
      <c r="U662" s="11" t="n"/>
      <c r="V662" s="10">
        <f>IF(COUNTA($C662,$D662,$J662,$M662)=0,"",IF(TRIM(IF($C662="","Falta l'actuació. ","")&amp;IF($D662="","Falta l'objectiu. ","")&amp;IF($J662="","Falta el tipus de despesa. ","")&amp;IF(AND($J662&lt;&gt;"",$J662&lt;&gt;"Mitjans propis",$J662&lt;&gt;"Altres",$M662=""),"Falta l'import. ","")&amp;IF(AND($J662="Contracte menor a càrrec del RAE",$K662=""),"Falta la partida RAE. ","")&amp;IF(AND($B662&lt;&gt;"",COUNTIF($B$6:$B$705,$B662)&gt;1),"Codi RAE repetit. ","")&amp;IF(AND($B662&lt;&gt;"",$J662&lt;&gt;"",$J662&lt;&gt;"Contracte menor a càrrec del RAE"),"Té codi RAE però no és de tipus RAE. ","")&amp;IF($N662="","Falta l'indicador del Pla. ","")&amp;IF($R662="","Falta el gestor. ","")&amp;IF($S662="","Falta indicar si és recurrent. ",""))="","✔",TRIM(IF($C662="","Falta l'actuació. ","")&amp;IF($D662="","Falta l'objectiu. ","")&amp;IF($J662="","Falta el tipus de despesa. ","")&amp;IF(AND($J662&lt;&gt;"",$J662&lt;&gt;"Mitjans propis",$J662&lt;&gt;"Altres",$M662=""),"Falta l'import. ","")&amp;IF(AND($J662="Contracte menor a càrrec del RAE",$K662=""),"Falta la partida RAE. ","")&amp;IF(AND($B662&lt;&gt;"",COUNTIF($B$6:$B$705,$B662)&gt;1),"Codi RAE repetit. ","")&amp;IF(AND($B662&lt;&gt;"",$J662&lt;&gt;"",$J662&lt;&gt;"Contracte menor a càrrec del RAE"),"Té codi RAE però no és de tipus RAE. ","")&amp;IF($N662="","Falta l'indicador del Pla. ","")&amp;IF($R662="","Falta el gestor. ","")&amp;IF($S662="","Falta indicar si és recurrent. ",""))))</f>
        <v/>
      </c>
    </row>
    <row r="663">
      <c r="A663" s="10">
        <f>IF($D663="","","27_"&amp;IFERROR(INDEX(Objectius!$E$2:$E$183,MATCH($D663,Objectius!$A$2:$A$183,0)),"??")&amp;"_"&amp;TEXT(COUNTIF($I$6:$I663,$I663),"00"))</f>
        <v/>
      </c>
      <c r="B663" s="11" t="n"/>
      <c r="C663" s="11" t="n"/>
      <c r="D663" s="11" t="n"/>
      <c r="E663" s="10">
        <f>IF($D663="","",IFERROR(INDEX(Objectius!$C$2:$C$183,MATCH($D663,Objectius!$A$2:$A$183,0)),"Objectiu no trobat al Pla"))</f>
        <v/>
      </c>
      <c r="F663" s="11" t="n"/>
      <c r="G663" s="11" t="n"/>
      <c r="H663" s="11" t="n"/>
      <c r="I663" s="10">
        <f>IF($D663="","",IFERROR(INDEX(Objectius!$D$2:$D$183,MATCH($D663,Objectius!$A$2:$A$183,0)),""))</f>
        <v/>
      </c>
      <c r="J663" s="11" t="n"/>
      <c r="K663" s="11" t="n"/>
      <c r="L663" s="11" t="n"/>
      <c r="M663" s="12" t="n"/>
      <c r="N663" s="11" t="n"/>
      <c r="O663" s="10">
        <f>IF($N663="","",IFERROR(INDEX('PLA ESTRATÈGIC'!$G$4:$G$452,MATCH($N663,'PLA ESTRATÈGIC'!$Q$4:$Q$452,0)),""))</f>
        <v/>
      </c>
      <c r="P663" s="10">
        <f>IF($N663="","",IFERROR(INDEX('PLA ESTRATÈGIC'!$H$4:$H$452,MATCH($N663,'PLA ESTRATÈGIC'!$Q$4:$Q$452,0)),""))</f>
        <v/>
      </c>
      <c r="Q663" s="13" t="n"/>
      <c r="R663" s="11" t="n"/>
      <c r="S663" s="11" t="n"/>
      <c r="T663" s="11" t="n"/>
      <c r="U663" s="11" t="n"/>
      <c r="V663" s="10">
        <f>IF(COUNTA($C663,$D663,$J663,$M663)=0,"",IF(TRIM(IF($C663="","Falta l'actuació. ","")&amp;IF($D663="","Falta l'objectiu. ","")&amp;IF($J663="","Falta el tipus de despesa. ","")&amp;IF(AND($J663&lt;&gt;"",$J663&lt;&gt;"Mitjans propis",$J663&lt;&gt;"Altres",$M663=""),"Falta l'import. ","")&amp;IF(AND($J663="Contracte menor a càrrec del RAE",$K663=""),"Falta la partida RAE. ","")&amp;IF(AND($B663&lt;&gt;"",COUNTIF($B$6:$B$705,$B663)&gt;1),"Codi RAE repetit. ","")&amp;IF(AND($B663&lt;&gt;"",$J663&lt;&gt;"",$J663&lt;&gt;"Contracte menor a càrrec del RAE"),"Té codi RAE però no és de tipus RAE. ","")&amp;IF($N663="","Falta l'indicador del Pla. ","")&amp;IF($R663="","Falta el gestor. ","")&amp;IF($S663="","Falta indicar si és recurrent. ",""))="","✔",TRIM(IF($C663="","Falta l'actuació. ","")&amp;IF($D663="","Falta l'objectiu. ","")&amp;IF($J663="","Falta el tipus de despesa. ","")&amp;IF(AND($J663&lt;&gt;"",$J663&lt;&gt;"Mitjans propis",$J663&lt;&gt;"Altres",$M663=""),"Falta l'import. ","")&amp;IF(AND($J663="Contracte menor a càrrec del RAE",$K663=""),"Falta la partida RAE. ","")&amp;IF(AND($B663&lt;&gt;"",COUNTIF($B$6:$B$705,$B663)&gt;1),"Codi RAE repetit. ","")&amp;IF(AND($B663&lt;&gt;"",$J663&lt;&gt;"",$J663&lt;&gt;"Contracte menor a càrrec del RAE"),"Té codi RAE però no és de tipus RAE. ","")&amp;IF($N663="","Falta l'indicador del Pla. ","")&amp;IF($R663="","Falta el gestor. ","")&amp;IF($S663="","Falta indicar si és recurrent. ",""))))</f>
        <v/>
      </c>
    </row>
    <row r="664">
      <c r="A664" s="10">
        <f>IF($D664="","","27_"&amp;IFERROR(INDEX(Objectius!$E$2:$E$183,MATCH($D664,Objectius!$A$2:$A$183,0)),"??")&amp;"_"&amp;TEXT(COUNTIF($I$6:$I664,$I664),"00"))</f>
        <v/>
      </c>
      <c r="B664" s="11" t="n"/>
      <c r="C664" s="11" t="n"/>
      <c r="D664" s="11" t="n"/>
      <c r="E664" s="10">
        <f>IF($D664="","",IFERROR(INDEX(Objectius!$C$2:$C$183,MATCH($D664,Objectius!$A$2:$A$183,0)),"Objectiu no trobat al Pla"))</f>
        <v/>
      </c>
      <c r="F664" s="11" t="n"/>
      <c r="G664" s="11" t="n"/>
      <c r="H664" s="11" t="n"/>
      <c r="I664" s="10">
        <f>IF($D664="","",IFERROR(INDEX(Objectius!$D$2:$D$183,MATCH($D664,Objectius!$A$2:$A$183,0)),""))</f>
        <v/>
      </c>
      <c r="J664" s="11" t="n"/>
      <c r="K664" s="11" t="n"/>
      <c r="L664" s="11" t="n"/>
      <c r="M664" s="12" t="n"/>
      <c r="N664" s="11" t="n"/>
      <c r="O664" s="10">
        <f>IF($N664="","",IFERROR(INDEX('PLA ESTRATÈGIC'!$G$4:$G$452,MATCH($N664,'PLA ESTRATÈGIC'!$Q$4:$Q$452,0)),""))</f>
        <v/>
      </c>
      <c r="P664" s="10">
        <f>IF($N664="","",IFERROR(INDEX('PLA ESTRATÈGIC'!$H$4:$H$452,MATCH($N664,'PLA ESTRATÈGIC'!$Q$4:$Q$452,0)),""))</f>
        <v/>
      </c>
      <c r="Q664" s="13" t="n"/>
      <c r="R664" s="11" t="n"/>
      <c r="S664" s="11" t="n"/>
      <c r="T664" s="11" t="n"/>
      <c r="U664" s="11" t="n"/>
      <c r="V664" s="10">
        <f>IF(COUNTA($C664,$D664,$J664,$M664)=0,"",IF(TRIM(IF($C664="","Falta l'actuació. ","")&amp;IF($D664="","Falta l'objectiu. ","")&amp;IF($J664="","Falta el tipus de despesa. ","")&amp;IF(AND($J664&lt;&gt;"",$J664&lt;&gt;"Mitjans propis",$J664&lt;&gt;"Altres",$M664=""),"Falta l'import. ","")&amp;IF(AND($J664="Contracte menor a càrrec del RAE",$K664=""),"Falta la partida RAE. ","")&amp;IF(AND($B664&lt;&gt;"",COUNTIF($B$6:$B$705,$B664)&gt;1),"Codi RAE repetit. ","")&amp;IF(AND($B664&lt;&gt;"",$J664&lt;&gt;"",$J664&lt;&gt;"Contracte menor a càrrec del RAE"),"Té codi RAE però no és de tipus RAE. ","")&amp;IF($N664="","Falta l'indicador del Pla. ","")&amp;IF($R664="","Falta el gestor. ","")&amp;IF($S664="","Falta indicar si és recurrent. ",""))="","✔",TRIM(IF($C664="","Falta l'actuació. ","")&amp;IF($D664="","Falta l'objectiu. ","")&amp;IF($J664="","Falta el tipus de despesa. ","")&amp;IF(AND($J664&lt;&gt;"",$J664&lt;&gt;"Mitjans propis",$J664&lt;&gt;"Altres",$M664=""),"Falta l'import. ","")&amp;IF(AND($J664="Contracte menor a càrrec del RAE",$K664=""),"Falta la partida RAE. ","")&amp;IF(AND($B664&lt;&gt;"",COUNTIF($B$6:$B$705,$B664)&gt;1),"Codi RAE repetit. ","")&amp;IF(AND($B664&lt;&gt;"",$J664&lt;&gt;"",$J664&lt;&gt;"Contracte menor a càrrec del RAE"),"Té codi RAE però no és de tipus RAE. ","")&amp;IF($N664="","Falta l'indicador del Pla. ","")&amp;IF($R664="","Falta el gestor. ","")&amp;IF($S664="","Falta indicar si és recurrent. ",""))))</f>
        <v/>
      </c>
    </row>
    <row r="665">
      <c r="A665" s="10">
        <f>IF($D665="","","27_"&amp;IFERROR(INDEX(Objectius!$E$2:$E$183,MATCH($D665,Objectius!$A$2:$A$183,0)),"??")&amp;"_"&amp;TEXT(COUNTIF($I$6:$I665,$I665),"00"))</f>
        <v/>
      </c>
      <c r="B665" s="11" t="n"/>
      <c r="C665" s="11" t="n"/>
      <c r="D665" s="11" t="n"/>
      <c r="E665" s="10">
        <f>IF($D665="","",IFERROR(INDEX(Objectius!$C$2:$C$183,MATCH($D665,Objectius!$A$2:$A$183,0)),"Objectiu no trobat al Pla"))</f>
        <v/>
      </c>
      <c r="F665" s="11" t="n"/>
      <c r="G665" s="11" t="n"/>
      <c r="H665" s="11" t="n"/>
      <c r="I665" s="10">
        <f>IF($D665="","",IFERROR(INDEX(Objectius!$D$2:$D$183,MATCH($D665,Objectius!$A$2:$A$183,0)),""))</f>
        <v/>
      </c>
      <c r="J665" s="11" t="n"/>
      <c r="K665" s="11" t="n"/>
      <c r="L665" s="11" t="n"/>
      <c r="M665" s="12" t="n"/>
      <c r="N665" s="11" t="n"/>
      <c r="O665" s="10">
        <f>IF($N665="","",IFERROR(INDEX('PLA ESTRATÈGIC'!$G$4:$G$452,MATCH($N665,'PLA ESTRATÈGIC'!$Q$4:$Q$452,0)),""))</f>
        <v/>
      </c>
      <c r="P665" s="10">
        <f>IF($N665="","",IFERROR(INDEX('PLA ESTRATÈGIC'!$H$4:$H$452,MATCH($N665,'PLA ESTRATÈGIC'!$Q$4:$Q$452,0)),""))</f>
        <v/>
      </c>
      <c r="Q665" s="13" t="n"/>
      <c r="R665" s="11" t="n"/>
      <c r="S665" s="11" t="n"/>
      <c r="T665" s="11" t="n"/>
      <c r="U665" s="11" t="n"/>
      <c r="V665" s="10">
        <f>IF(COUNTA($C665,$D665,$J665,$M665)=0,"",IF(TRIM(IF($C665="","Falta l'actuació. ","")&amp;IF($D665="","Falta l'objectiu. ","")&amp;IF($J665="","Falta el tipus de despesa. ","")&amp;IF(AND($J665&lt;&gt;"",$J665&lt;&gt;"Mitjans propis",$J665&lt;&gt;"Altres",$M665=""),"Falta l'import. ","")&amp;IF(AND($J665="Contracte menor a càrrec del RAE",$K665=""),"Falta la partida RAE. ","")&amp;IF(AND($B665&lt;&gt;"",COUNTIF($B$6:$B$705,$B665)&gt;1),"Codi RAE repetit. ","")&amp;IF(AND($B665&lt;&gt;"",$J665&lt;&gt;"",$J665&lt;&gt;"Contracte menor a càrrec del RAE"),"Té codi RAE però no és de tipus RAE. ","")&amp;IF($N665="","Falta l'indicador del Pla. ","")&amp;IF($R665="","Falta el gestor. ","")&amp;IF($S665="","Falta indicar si és recurrent. ",""))="","✔",TRIM(IF($C665="","Falta l'actuació. ","")&amp;IF($D665="","Falta l'objectiu. ","")&amp;IF($J665="","Falta el tipus de despesa. ","")&amp;IF(AND($J665&lt;&gt;"",$J665&lt;&gt;"Mitjans propis",$J665&lt;&gt;"Altres",$M665=""),"Falta l'import. ","")&amp;IF(AND($J665="Contracte menor a càrrec del RAE",$K665=""),"Falta la partida RAE. ","")&amp;IF(AND($B665&lt;&gt;"",COUNTIF($B$6:$B$705,$B665)&gt;1),"Codi RAE repetit. ","")&amp;IF(AND($B665&lt;&gt;"",$J665&lt;&gt;"",$J665&lt;&gt;"Contracte menor a càrrec del RAE"),"Té codi RAE però no és de tipus RAE. ","")&amp;IF($N665="","Falta l'indicador del Pla. ","")&amp;IF($R665="","Falta el gestor. ","")&amp;IF($S665="","Falta indicar si és recurrent. ",""))))</f>
        <v/>
      </c>
    </row>
    <row r="666">
      <c r="A666" s="10">
        <f>IF($D666="","","27_"&amp;IFERROR(INDEX(Objectius!$E$2:$E$183,MATCH($D666,Objectius!$A$2:$A$183,0)),"??")&amp;"_"&amp;TEXT(COUNTIF($I$6:$I666,$I666),"00"))</f>
        <v/>
      </c>
      <c r="B666" s="11" t="n"/>
      <c r="C666" s="11" t="n"/>
      <c r="D666" s="11" t="n"/>
      <c r="E666" s="10">
        <f>IF($D666="","",IFERROR(INDEX(Objectius!$C$2:$C$183,MATCH($D666,Objectius!$A$2:$A$183,0)),"Objectiu no trobat al Pla"))</f>
        <v/>
      </c>
      <c r="F666" s="11" t="n"/>
      <c r="G666" s="11" t="n"/>
      <c r="H666" s="11" t="n"/>
      <c r="I666" s="10">
        <f>IF($D666="","",IFERROR(INDEX(Objectius!$D$2:$D$183,MATCH($D666,Objectius!$A$2:$A$183,0)),""))</f>
        <v/>
      </c>
      <c r="J666" s="11" t="n"/>
      <c r="K666" s="11" t="n"/>
      <c r="L666" s="11" t="n"/>
      <c r="M666" s="12" t="n"/>
      <c r="N666" s="11" t="n"/>
      <c r="O666" s="10">
        <f>IF($N666="","",IFERROR(INDEX('PLA ESTRATÈGIC'!$G$4:$G$452,MATCH($N666,'PLA ESTRATÈGIC'!$Q$4:$Q$452,0)),""))</f>
        <v/>
      </c>
      <c r="P666" s="10">
        <f>IF($N666="","",IFERROR(INDEX('PLA ESTRATÈGIC'!$H$4:$H$452,MATCH($N666,'PLA ESTRATÈGIC'!$Q$4:$Q$452,0)),""))</f>
        <v/>
      </c>
      <c r="Q666" s="13" t="n"/>
      <c r="R666" s="11" t="n"/>
      <c r="S666" s="11" t="n"/>
      <c r="T666" s="11" t="n"/>
      <c r="U666" s="11" t="n"/>
      <c r="V666" s="10">
        <f>IF(COUNTA($C666,$D666,$J666,$M666)=0,"",IF(TRIM(IF($C666="","Falta l'actuació. ","")&amp;IF($D666="","Falta l'objectiu. ","")&amp;IF($J666="","Falta el tipus de despesa. ","")&amp;IF(AND($J666&lt;&gt;"",$J666&lt;&gt;"Mitjans propis",$J666&lt;&gt;"Altres",$M666=""),"Falta l'import. ","")&amp;IF(AND($J666="Contracte menor a càrrec del RAE",$K666=""),"Falta la partida RAE. ","")&amp;IF(AND($B666&lt;&gt;"",COUNTIF($B$6:$B$705,$B666)&gt;1),"Codi RAE repetit. ","")&amp;IF(AND($B666&lt;&gt;"",$J666&lt;&gt;"",$J666&lt;&gt;"Contracte menor a càrrec del RAE"),"Té codi RAE però no és de tipus RAE. ","")&amp;IF($N666="","Falta l'indicador del Pla. ","")&amp;IF($R666="","Falta el gestor. ","")&amp;IF($S666="","Falta indicar si és recurrent. ",""))="","✔",TRIM(IF($C666="","Falta l'actuació. ","")&amp;IF($D666="","Falta l'objectiu. ","")&amp;IF($J666="","Falta el tipus de despesa. ","")&amp;IF(AND($J666&lt;&gt;"",$J666&lt;&gt;"Mitjans propis",$J666&lt;&gt;"Altres",$M666=""),"Falta l'import. ","")&amp;IF(AND($J666="Contracte menor a càrrec del RAE",$K666=""),"Falta la partida RAE. ","")&amp;IF(AND($B666&lt;&gt;"",COUNTIF($B$6:$B$705,$B666)&gt;1),"Codi RAE repetit. ","")&amp;IF(AND($B666&lt;&gt;"",$J666&lt;&gt;"",$J666&lt;&gt;"Contracte menor a càrrec del RAE"),"Té codi RAE però no és de tipus RAE. ","")&amp;IF($N666="","Falta l'indicador del Pla. ","")&amp;IF($R666="","Falta el gestor. ","")&amp;IF($S666="","Falta indicar si és recurrent. ",""))))</f>
        <v/>
      </c>
    </row>
    <row r="667">
      <c r="A667" s="10">
        <f>IF($D667="","","27_"&amp;IFERROR(INDEX(Objectius!$E$2:$E$183,MATCH($D667,Objectius!$A$2:$A$183,0)),"??")&amp;"_"&amp;TEXT(COUNTIF($I$6:$I667,$I667),"00"))</f>
        <v/>
      </c>
      <c r="B667" s="11" t="n"/>
      <c r="C667" s="11" t="n"/>
      <c r="D667" s="11" t="n"/>
      <c r="E667" s="10">
        <f>IF($D667="","",IFERROR(INDEX(Objectius!$C$2:$C$183,MATCH($D667,Objectius!$A$2:$A$183,0)),"Objectiu no trobat al Pla"))</f>
        <v/>
      </c>
      <c r="F667" s="11" t="n"/>
      <c r="G667" s="11" t="n"/>
      <c r="H667" s="11" t="n"/>
      <c r="I667" s="10">
        <f>IF($D667="","",IFERROR(INDEX(Objectius!$D$2:$D$183,MATCH($D667,Objectius!$A$2:$A$183,0)),""))</f>
        <v/>
      </c>
      <c r="J667" s="11" t="n"/>
      <c r="K667" s="11" t="n"/>
      <c r="L667" s="11" t="n"/>
      <c r="M667" s="12" t="n"/>
      <c r="N667" s="11" t="n"/>
      <c r="O667" s="10">
        <f>IF($N667="","",IFERROR(INDEX('PLA ESTRATÈGIC'!$G$4:$G$452,MATCH($N667,'PLA ESTRATÈGIC'!$Q$4:$Q$452,0)),""))</f>
        <v/>
      </c>
      <c r="P667" s="10">
        <f>IF($N667="","",IFERROR(INDEX('PLA ESTRATÈGIC'!$H$4:$H$452,MATCH($N667,'PLA ESTRATÈGIC'!$Q$4:$Q$452,0)),""))</f>
        <v/>
      </c>
      <c r="Q667" s="13" t="n"/>
      <c r="R667" s="11" t="n"/>
      <c r="S667" s="11" t="n"/>
      <c r="T667" s="11" t="n"/>
      <c r="U667" s="11" t="n"/>
      <c r="V667" s="10">
        <f>IF(COUNTA($C667,$D667,$J667,$M667)=0,"",IF(TRIM(IF($C667="","Falta l'actuació. ","")&amp;IF($D667="","Falta l'objectiu. ","")&amp;IF($J667="","Falta el tipus de despesa. ","")&amp;IF(AND($J667&lt;&gt;"",$J667&lt;&gt;"Mitjans propis",$J667&lt;&gt;"Altres",$M667=""),"Falta l'import. ","")&amp;IF(AND($J667="Contracte menor a càrrec del RAE",$K667=""),"Falta la partida RAE. ","")&amp;IF(AND($B667&lt;&gt;"",COUNTIF($B$6:$B$705,$B667)&gt;1),"Codi RAE repetit. ","")&amp;IF(AND($B667&lt;&gt;"",$J667&lt;&gt;"",$J667&lt;&gt;"Contracte menor a càrrec del RAE"),"Té codi RAE però no és de tipus RAE. ","")&amp;IF($N667="","Falta l'indicador del Pla. ","")&amp;IF($R667="","Falta el gestor. ","")&amp;IF($S667="","Falta indicar si és recurrent. ",""))="","✔",TRIM(IF($C667="","Falta l'actuació. ","")&amp;IF($D667="","Falta l'objectiu. ","")&amp;IF($J667="","Falta el tipus de despesa. ","")&amp;IF(AND($J667&lt;&gt;"",$J667&lt;&gt;"Mitjans propis",$J667&lt;&gt;"Altres",$M667=""),"Falta l'import. ","")&amp;IF(AND($J667="Contracte menor a càrrec del RAE",$K667=""),"Falta la partida RAE. ","")&amp;IF(AND($B667&lt;&gt;"",COUNTIF($B$6:$B$705,$B667)&gt;1),"Codi RAE repetit. ","")&amp;IF(AND($B667&lt;&gt;"",$J667&lt;&gt;"",$J667&lt;&gt;"Contracte menor a càrrec del RAE"),"Té codi RAE però no és de tipus RAE. ","")&amp;IF($N667="","Falta l'indicador del Pla. ","")&amp;IF($R667="","Falta el gestor. ","")&amp;IF($S667="","Falta indicar si és recurrent. ",""))))</f>
        <v/>
      </c>
    </row>
    <row r="668">
      <c r="A668" s="10">
        <f>IF($D668="","","27_"&amp;IFERROR(INDEX(Objectius!$E$2:$E$183,MATCH($D668,Objectius!$A$2:$A$183,0)),"??")&amp;"_"&amp;TEXT(COUNTIF($I$6:$I668,$I668),"00"))</f>
        <v/>
      </c>
      <c r="B668" s="11" t="n"/>
      <c r="C668" s="11" t="n"/>
      <c r="D668" s="11" t="n"/>
      <c r="E668" s="10">
        <f>IF($D668="","",IFERROR(INDEX(Objectius!$C$2:$C$183,MATCH($D668,Objectius!$A$2:$A$183,0)),"Objectiu no trobat al Pla"))</f>
        <v/>
      </c>
      <c r="F668" s="11" t="n"/>
      <c r="G668" s="11" t="n"/>
      <c r="H668" s="11" t="n"/>
      <c r="I668" s="10">
        <f>IF($D668="","",IFERROR(INDEX(Objectius!$D$2:$D$183,MATCH($D668,Objectius!$A$2:$A$183,0)),""))</f>
        <v/>
      </c>
      <c r="J668" s="11" t="n"/>
      <c r="K668" s="11" t="n"/>
      <c r="L668" s="11" t="n"/>
      <c r="M668" s="12" t="n"/>
      <c r="N668" s="11" t="n"/>
      <c r="O668" s="10">
        <f>IF($N668="","",IFERROR(INDEX('PLA ESTRATÈGIC'!$G$4:$G$452,MATCH($N668,'PLA ESTRATÈGIC'!$Q$4:$Q$452,0)),""))</f>
        <v/>
      </c>
      <c r="P668" s="10">
        <f>IF($N668="","",IFERROR(INDEX('PLA ESTRATÈGIC'!$H$4:$H$452,MATCH($N668,'PLA ESTRATÈGIC'!$Q$4:$Q$452,0)),""))</f>
        <v/>
      </c>
      <c r="Q668" s="13" t="n"/>
      <c r="R668" s="11" t="n"/>
      <c r="S668" s="11" t="n"/>
      <c r="T668" s="11" t="n"/>
      <c r="U668" s="11" t="n"/>
      <c r="V668" s="10">
        <f>IF(COUNTA($C668,$D668,$J668,$M668)=0,"",IF(TRIM(IF($C668="","Falta l'actuació. ","")&amp;IF($D668="","Falta l'objectiu. ","")&amp;IF($J668="","Falta el tipus de despesa. ","")&amp;IF(AND($J668&lt;&gt;"",$J668&lt;&gt;"Mitjans propis",$J668&lt;&gt;"Altres",$M668=""),"Falta l'import. ","")&amp;IF(AND($J668="Contracte menor a càrrec del RAE",$K668=""),"Falta la partida RAE. ","")&amp;IF(AND($B668&lt;&gt;"",COUNTIF($B$6:$B$705,$B668)&gt;1),"Codi RAE repetit. ","")&amp;IF(AND($B668&lt;&gt;"",$J668&lt;&gt;"",$J668&lt;&gt;"Contracte menor a càrrec del RAE"),"Té codi RAE però no és de tipus RAE. ","")&amp;IF($N668="","Falta l'indicador del Pla. ","")&amp;IF($R668="","Falta el gestor. ","")&amp;IF($S668="","Falta indicar si és recurrent. ",""))="","✔",TRIM(IF($C668="","Falta l'actuació. ","")&amp;IF($D668="","Falta l'objectiu. ","")&amp;IF($J668="","Falta el tipus de despesa. ","")&amp;IF(AND($J668&lt;&gt;"",$J668&lt;&gt;"Mitjans propis",$J668&lt;&gt;"Altres",$M668=""),"Falta l'import. ","")&amp;IF(AND($J668="Contracte menor a càrrec del RAE",$K668=""),"Falta la partida RAE. ","")&amp;IF(AND($B668&lt;&gt;"",COUNTIF($B$6:$B$705,$B668)&gt;1),"Codi RAE repetit. ","")&amp;IF(AND($B668&lt;&gt;"",$J668&lt;&gt;"",$J668&lt;&gt;"Contracte menor a càrrec del RAE"),"Té codi RAE però no és de tipus RAE. ","")&amp;IF($N668="","Falta l'indicador del Pla. ","")&amp;IF($R668="","Falta el gestor. ","")&amp;IF($S668="","Falta indicar si és recurrent. ",""))))</f>
        <v/>
      </c>
    </row>
    <row r="669">
      <c r="A669" s="10">
        <f>IF($D669="","","27_"&amp;IFERROR(INDEX(Objectius!$E$2:$E$183,MATCH($D669,Objectius!$A$2:$A$183,0)),"??")&amp;"_"&amp;TEXT(COUNTIF($I$6:$I669,$I669),"00"))</f>
        <v/>
      </c>
      <c r="B669" s="11" t="n"/>
      <c r="C669" s="11" t="n"/>
      <c r="D669" s="11" t="n"/>
      <c r="E669" s="10">
        <f>IF($D669="","",IFERROR(INDEX(Objectius!$C$2:$C$183,MATCH($D669,Objectius!$A$2:$A$183,0)),"Objectiu no trobat al Pla"))</f>
        <v/>
      </c>
      <c r="F669" s="11" t="n"/>
      <c r="G669" s="11" t="n"/>
      <c r="H669" s="11" t="n"/>
      <c r="I669" s="10">
        <f>IF($D669="","",IFERROR(INDEX(Objectius!$D$2:$D$183,MATCH($D669,Objectius!$A$2:$A$183,0)),""))</f>
        <v/>
      </c>
      <c r="J669" s="11" t="n"/>
      <c r="K669" s="11" t="n"/>
      <c r="L669" s="11" t="n"/>
      <c r="M669" s="12" t="n"/>
      <c r="N669" s="11" t="n"/>
      <c r="O669" s="10">
        <f>IF($N669="","",IFERROR(INDEX('PLA ESTRATÈGIC'!$G$4:$G$452,MATCH($N669,'PLA ESTRATÈGIC'!$Q$4:$Q$452,0)),""))</f>
        <v/>
      </c>
      <c r="P669" s="10">
        <f>IF($N669="","",IFERROR(INDEX('PLA ESTRATÈGIC'!$H$4:$H$452,MATCH($N669,'PLA ESTRATÈGIC'!$Q$4:$Q$452,0)),""))</f>
        <v/>
      </c>
      <c r="Q669" s="13" t="n"/>
      <c r="R669" s="11" t="n"/>
      <c r="S669" s="11" t="n"/>
      <c r="T669" s="11" t="n"/>
      <c r="U669" s="11" t="n"/>
      <c r="V669" s="10">
        <f>IF(COUNTA($C669,$D669,$J669,$M669)=0,"",IF(TRIM(IF($C669="","Falta l'actuació. ","")&amp;IF($D669="","Falta l'objectiu. ","")&amp;IF($J669="","Falta el tipus de despesa. ","")&amp;IF(AND($J669&lt;&gt;"",$J669&lt;&gt;"Mitjans propis",$J669&lt;&gt;"Altres",$M669=""),"Falta l'import. ","")&amp;IF(AND($J669="Contracte menor a càrrec del RAE",$K669=""),"Falta la partida RAE. ","")&amp;IF(AND($B669&lt;&gt;"",COUNTIF($B$6:$B$705,$B669)&gt;1),"Codi RAE repetit. ","")&amp;IF(AND($B669&lt;&gt;"",$J669&lt;&gt;"",$J669&lt;&gt;"Contracte menor a càrrec del RAE"),"Té codi RAE però no és de tipus RAE. ","")&amp;IF($N669="","Falta l'indicador del Pla. ","")&amp;IF($R669="","Falta el gestor. ","")&amp;IF($S669="","Falta indicar si és recurrent. ",""))="","✔",TRIM(IF($C669="","Falta l'actuació. ","")&amp;IF($D669="","Falta l'objectiu. ","")&amp;IF($J669="","Falta el tipus de despesa. ","")&amp;IF(AND($J669&lt;&gt;"",$J669&lt;&gt;"Mitjans propis",$J669&lt;&gt;"Altres",$M669=""),"Falta l'import. ","")&amp;IF(AND($J669="Contracte menor a càrrec del RAE",$K669=""),"Falta la partida RAE. ","")&amp;IF(AND($B669&lt;&gt;"",COUNTIF($B$6:$B$705,$B669)&gt;1),"Codi RAE repetit. ","")&amp;IF(AND($B669&lt;&gt;"",$J669&lt;&gt;"",$J669&lt;&gt;"Contracte menor a càrrec del RAE"),"Té codi RAE però no és de tipus RAE. ","")&amp;IF($N669="","Falta l'indicador del Pla. ","")&amp;IF($R669="","Falta el gestor. ","")&amp;IF($S669="","Falta indicar si és recurrent. ",""))))</f>
        <v/>
      </c>
    </row>
    <row r="670">
      <c r="A670" s="10">
        <f>IF($D670="","","27_"&amp;IFERROR(INDEX(Objectius!$E$2:$E$183,MATCH($D670,Objectius!$A$2:$A$183,0)),"??")&amp;"_"&amp;TEXT(COUNTIF($I$6:$I670,$I670),"00"))</f>
        <v/>
      </c>
      <c r="B670" s="11" t="n"/>
      <c r="C670" s="11" t="n"/>
      <c r="D670" s="11" t="n"/>
      <c r="E670" s="10">
        <f>IF($D670="","",IFERROR(INDEX(Objectius!$C$2:$C$183,MATCH($D670,Objectius!$A$2:$A$183,0)),"Objectiu no trobat al Pla"))</f>
        <v/>
      </c>
      <c r="F670" s="11" t="n"/>
      <c r="G670" s="11" t="n"/>
      <c r="H670" s="11" t="n"/>
      <c r="I670" s="10">
        <f>IF($D670="","",IFERROR(INDEX(Objectius!$D$2:$D$183,MATCH($D670,Objectius!$A$2:$A$183,0)),""))</f>
        <v/>
      </c>
      <c r="J670" s="11" t="n"/>
      <c r="K670" s="11" t="n"/>
      <c r="L670" s="11" t="n"/>
      <c r="M670" s="12" t="n"/>
      <c r="N670" s="11" t="n"/>
      <c r="O670" s="10">
        <f>IF($N670="","",IFERROR(INDEX('PLA ESTRATÈGIC'!$G$4:$G$452,MATCH($N670,'PLA ESTRATÈGIC'!$Q$4:$Q$452,0)),""))</f>
        <v/>
      </c>
      <c r="P670" s="10">
        <f>IF($N670="","",IFERROR(INDEX('PLA ESTRATÈGIC'!$H$4:$H$452,MATCH($N670,'PLA ESTRATÈGIC'!$Q$4:$Q$452,0)),""))</f>
        <v/>
      </c>
      <c r="Q670" s="13" t="n"/>
      <c r="R670" s="11" t="n"/>
      <c r="S670" s="11" t="n"/>
      <c r="T670" s="11" t="n"/>
      <c r="U670" s="11" t="n"/>
      <c r="V670" s="10">
        <f>IF(COUNTA($C670,$D670,$J670,$M670)=0,"",IF(TRIM(IF($C670="","Falta l'actuació. ","")&amp;IF($D670="","Falta l'objectiu. ","")&amp;IF($J670="","Falta el tipus de despesa. ","")&amp;IF(AND($J670&lt;&gt;"",$J670&lt;&gt;"Mitjans propis",$J670&lt;&gt;"Altres",$M670=""),"Falta l'import. ","")&amp;IF(AND($J670="Contracte menor a càrrec del RAE",$K670=""),"Falta la partida RAE. ","")&amp;IF(AND($B670&lt;&gt;"",COUNTIF($B$6:$B$705,$B670)&gt;1),"Codi RAE repetit. ","")&amp;IF(AND($B670&lt;&gt;"",$J670&lt;&gt;"",$J670&lt;&gt;"Contracte menor a càrrec del RAE"),"Té codi RAE però no és de tipus RAE. ","")&amp;IF($N670="","Falta l'indicador del Pla. ","")&amp;IF($R670="","Falta el gestor. ","")&amp;IF($S670="","Falta indicar si és recurrent. ",""))="","✔",TRIM(IF($C670="","Falta l'actuació. ","")&amp;IF($D670="","Falta l'objectiu. ","")&amp;IF($J670="","Falta el tipus de despesa. ","")&amp;IF(AND($J670&lt;&gt;"",$J670&lt;&gt;"Mitjans propis",$J670&lt;&gt;"Altres",$M670=""),"Falta l'import. ","")&amp;IF(AND($J670="Contracte menor a càrrec del RAE",$K670=""),"Falta la partida RAE. ","")&amp;IF(AND($B670&lt;&gt;"",COUNTIF($B$6:$B$705,$B670)&gt;1),"Codi RAE repetit. ","")&amp;IF(AND($B670&lt;&gt;"",$J670&lt;&gt;"",$J670&lt;&gt;"Contracte menor a càrrec del RAE"),"Té codi RAE però no és de tipus RAE. ","")&amp;IF($N670="","Falta l'indicador del Pla. ","")&amp;IF($R670="","Falta el gestor. ","")&amp;IF($S670="","Falta indicar si és recurrent. ",""))))</f>
        <v/>
      </c>
    </row>
    <row r="671">
      <c r="A671" s="10">
        <f>IF($D671="","","27_"&amp;IFERROR(INDEX(Objectius!$E$2:$E$183,MATCH($D671,Objectius!$A$2:$A$183,0)),"??")&amp;"_"&amp;TEXT(COUNTIF($I$6:$I671,$I671),"00"))</f>
        <v/>
      </c>
      <c r="B671" s="11" t="n"/>
      <c r="C671" s="11" t="n"/>
      <c r="D671" s="11" t="n"/>
      <c r="E671" s="10">
        <f>IF($D671="","",IFERROR(INDEX(Objectius!$C$2:$C$183,MATCH($D671,Objectius!$A$2:$A$183,0)),"Objectiu no trobat al Pla"))</f>
        <v/>
      </c>
      <c r="F671" s="11" t="n"/>
      <c r="G671" s="11" t="n"/>
      <c r="H671" s="11" t="n"/>
      <c r="I671" s="10">
        <f>IF($D671="","",IFERROR(INDEX(Objectius!$D$2:$D$183,MATCH($D671,Objectius!$A$2:$A$183,0)),""))</f>
        <v/>
      </c>
      <c r="J671" s="11" t="n"/>
      <c r="K671" s="11" t="n"/>
      <c r="L671" s="11" t="n"/>
      <c r="M671" s="12" t="n"/>
      <c r="N671" s="11" t="n"/>
      <c r="O671" s="10">
        <f>IF($N671="","",IFERROR(INDEX('PLA ESTRATÈGIC'!$G$4:$G$452,MATCH($N671,'PLA ESTRATÈGIC'!$Q$4:$Q$452,0)),""))</f>
        <v/>
      </c>
      <c r="P671" s="10">
        <f>IF($N671="","",IFERROR(INDEX('PLA ESTRATÈGIC'!$H$4:$H$452,MATCH($N671,'PLA ESTRATÈGIC'!$Q$4:$Q$452,0)),""))</f>
        <v/>
      </c>
      <c r="Q671" s="13" t="n"/>
      <c r="R671" s="11" t="n"/>
      <c r="S671" s="11" t="n"/>
      <c r="T671" s="11" t="n"/>
      <c r="U671" s="11" t="n"/>
      <c r="V671" s="10">
        <f>IF(COUNTA($C671,$D671,$J671,$M671)=0,"",IF(TRIM(IF($C671="","Falta l'actuació. ","")&amp;IF($D671="","Falta l'objectiu. ","")&amp;IF($J671="","Falta el tipus de despesa. ","")&amp;IF(AND($J671&lt;&gt;"",$J671&lt;&gt;"Mitjans propis",$J671&lt;&gt;"Altres",$M671=""),"Falta l'import. ","")&amp;IF(AND($J671="Contracte menor a càrrec del RAE",$K671=""),"Falta la partida RAE. ","")&amp;IF(AND($B671&lt;&gt;"",COUNTIF($B$6:$B$705,$B671)&gt;1),"Codi RAE repetit. ","")&amp;IF(AND($B671&lt;&gt;"",$J671&lt;&gt;"",$J671&lt;&gt;"Contracte menor a càrrec del RAE"),"Té codi RAE però no és de tipus RAE. ","")&amp;IF($N671="","Falta l'indicador del Pla. ","")&amp;IF($R671="","Falta el gestor. ","")&amp;IF($S671="","Falta indicar si és recurrent. ",""))="","✔",TRIM(IF($C671="","Falta l'actuació. ","")&amp;IF($D671="","Falta l'objectiu. ","")&amp;IF($J671="","Falta el tipus de despesa. ","")&amp;IF(AND($J671&lt;&gt;"",$J671&lt;&gt;"Mitjans propis",$J671&lt;&gt;"Altres",$M671=""),"Falta l'import. ","")&amp;IF(AND($J671="Contracte menor a càrrec del RAE",$K671=""),"Falta la partida RAE. ","")&amp;IF(AND($B671&lt;&gt;"",COUNTIF($B$6:$B$705,$B671)&gt;1),"Codi RAE repetit. ","")&amp;IF(AND($B671&lt;&gt;"",$J671&lt;&gt;"",$J671&lt;&gt;"Contracte menor a càrrec del RAE"),"Té codi RAE però no és de tipus RAE. ","")&amp;IF($N671="","Falta l'indicador del Pla. ","")&amp;IF($R671="","Falta el gestor. ","")&amp;IF($S671="","Falta indicar si és recurrent. ",""))))</f>
        <v/>
      </c>
    </row>
    <row r="672">
      <c r="A672" s="10">
        <f>IF($D672="","","27_"&amp;IFERROR(INDEX(Objectius!$E$2:$E$183,MATCH($D672,Objectius!$A$2:$A$183,0)),"??")&amp;"_"&amp;TEXT(COUNTIF($I$6:$I672,$I672),"00"))</f>
        <v/>
      </c>
      <c r="B672" s="11" t="n"/>
      <c r="C672" s="11" t="n"/>
      <c r="D672" s="11" t="n"/>
      <c r="E672" s="10">
        <f>IF($D672="","",IFERROR(INDEX(Objectius!$C$2:$C$183,MATCH($D672,Objectius!$A$2:$A$183,0)),"Objectiu no trobat al Pla"))</f>
        <v/>
      </c>
      <c r="F672" s="11" t="n"/>
      <c r="G672" s="11" t="n"/>
      <c r="H672" s="11" t="n"/>
      <c r="I672" s="10">
        <f>IF($D672="","",IFERROR(INDEX(Objectius!$D$2:$D$183,MATCH($D672,Objectius!$A$2:$A$183,0)),""))</f>
        <v/>
      </c>
      <c r="J672" s="11" t="n"/>
      <c r="K672" s="11" t="n"/>
      <c r="L672" s="11" t="n"/>
      <c r="M672" s="12" t="n"/>
      <c r="N672" s="11" t="n"/>
      <c r="O672" s="10">
        <f>IF($N672="","",IFERROR(INDEX('PLA ESTRATÈGIC'!$G$4:$G$452,MATCH($N672,'PLA ESTRATÈGIC'!$Q$4:$Q$452,0)),""))</f>
        <v/>
      </c>
      <c r="P672" s="10">
        <f>IF($N672="","",IFERROR(INDEX('PLA ESTRATÈGIC'!$H$4:$H$452,MATCH($N672,'PLA ESTRATÈGIC'!$Q$4:$Q$452,0)),""))</f>
        <v/>
      </c>
      <c r="Q672" s="13" t="n"/>
      <c r="R672" s="11" t="n"/>
      <c r="S672" s="11" t="n"/>
      <c r="T672" s="11" t="n"/>
      <c r="U672" s="11" t="n"/>
      <c r="V672" s="10">
        <f>IF(COUNTA($C672,$D672,$J672,$M672)=0,"",IF(TRIM(IF($C672="","Falta l'actuació. ","")&amp;IF($D672="","Falta l'objectiu. ","")&amp;IF($J672="","Falta el tipus de despesa. ","")&amp;IF(AND($J672&lt;&gt;"",$J672&lt;&gt;"Mitjans propis",$J672&lt;&gt;"Altres",$M672=""),"Falta l'import. ","")&amp;IF(AND($J672="Contracte menor a càrrec del RAE",$K672=""),"Falta la partida RAE. ","")&amp;IF(AND($B672&lt;&gt;"",COUNTIF($B$6:$B$705,$B672)&gt;1),"Codi RAE repetit. ","")&amp;IF(AND($B672&lt;&gt;"",$J672&lt;&gt;"",$J672&lt;&gt;"Contracte menor a càrrec del RAE"),"Té codi RAE però no és de tipus RAE. ","")&amp;IF($N672="","Falta l'indicador del Pla. ","")&amp;IF($R672="","Falta el gestor. ","")&amp;IF($S672="","Falta indicar si és recurrent. ",""))="","✔",TRIM(IF($C672="","Falta l'actuació. ","")&amp;IF($D672="","Falta l'objectiu. ","")&amp;IF($J672="","Falta el tipus de despesa. ","")&amp;IF(AND($J672&lt;&gt;"",$J672&lt;&gt;"Mitjans propis",$J672&lt;&gt;"Altres",$M672=""),"Falta l'import. ","")&amp;IF(AND($J672="Contracte menor a càrrec del RAE",$K672=""),"Falta la partida RAE. ","")&amp;IF(AND($B672&lt;&gt;"",COUNTIF($B$6:$B$705,$B672)&gt;1),"Codi RAE repetit. ","")&amp;IF(AND($B672&lt;&gt;"",$J672&lt;&gt;"",$J672&lt;&gt;"Contracte menor a càrrec del RAE"),"Té codi RAE però no és de tipus RAE. ","")&amp;IF($N672="","Falta l'indicador del Pla. ","")&amp;IF($R672="","Falta el gestor. ","")&amp;IF($S672="","Falta indicar si és recurrent. ",""))))</f>
        <v/>
      </c>
    </row>
    <row r="673">
      <c r="A673" s="10">
        <f>IF($D673="","","27_"&amp;IFERROR(INDEX(Objectius!$E$2:$E$183,MATCH($D673,Objectius!$A$2:$A$183,0)),"??")&amp;"_"&amp;TEXT(COUNTIF($I$6:$I673,$I673),"00"))</f>
        <v/>
      </c>
      <c r="B673" s="11" t="n"/>
      <c r="C673" s="11" t="n"/>
      <c r="D673" s="11" t="n"/>
      <c r="E673" s="10">
        <f>IF($D673="","",IFERROR(INDEX(Objectius!$C$2:$C$183,MATCH($D673,Objectius!$A$2:$A$183,0)),"Objectiu no trobat al Pla"))</f>
        <v/>
      </c>
      <c r="F673" s="11" t="n"/>
      <c r="G673" s="11" t="n"/>
      <c r="H673" s="11" t="n"/>
      <c r="I673" s="10">
        <f>IF($D673="","",IFERROR(INDEX(Objectius!$D$2:$D$183,MATCH($D673,Objectius!$A$2:$A$183,0)),""))</f>
        <v/>
      </c>
      <c r="J673" s="11" t="n"/>
      <c r="K673" s="11" t="n"/>
      <c r="L673" s="11" t="n"/>
      <c r="M673" s="12" t="n"/>
      <c r="N673" s="11" t="n"/>
      <c r="O673" s="10">
        <f>IF($N673="","",IFERROR(INDEX('PLA ESTRATÈGIC'!$G$4:$G$452,MATCH($N673,'PLA ESTRATÈGIC'!$Q$4:$Q$452,0)),""))</f>
        <v/>
      </c>
      <c r="P673" s="10">
        <f>IF($N673="","",IFERROR(INDEX('PLA ESTRATÈGIC'!$H$4:$H$452,MATCH($N673,'PLA ESTRATÈGIC'!$Q$4:$Q$452,0)),""))</f>
        <v/>
      </c>
      <c r="Q673" s="13" t="n"/>
      <c r="R673" s="11" t="n"/>
      <c r="S673" s="11" t="n"/>
      <c r="T673" s="11" t="n"/>
      <c r="U673" s="11" t="n"/>
      <c r="V673" s="10">
        <f>IF(COUNTA($C673,$D673,$J673,$M673)=0,"",IF(TRIM(IF($C673="","Falta l'actuació. ","")&amp;IF($D673="","Falta l'objectiu. ","")&amp;IF($J673="","Falta el tipus de despesa. ","")&amp;IF(AND($J673&lt;&gt;"",$J673&lt;&gt;"Mitjans propis",$J673&lt;&gt;"Altres",$M673=""),"Falta l'import. ","")&amp;IF(AND($J673="Contracte menor a càrrec del RAE",$K673=""),"Falta la partida RAE. ","")&amp;IF(AND($B673&lt;&gt;"",COUNTIF($B$6:$B$705,$B673)&gt;1),"Codi RAE repetit. ","")&amp;IF(AND($B673&lt;&gt;"",$J673&lt;&gt;"",$J673&lt;&gt;"Contracte menor a càrrec del RAE"),"Té codi RAE però no és de tipus RAE. ","")&amp;IF($N673="","Falta l'indicador del Pla. ","")&amp;IF($R673="","Falta el gestor. ","")&amp;IF($S673="","Falta indicar si és recurrent. ",""))="","✔",TRIM(IF($C673="","Falta l'actuació. ","")&amp;IF($D673="","Falta l'objectiu. ","")&amp;IF($J673="","Falta el tipus de despesa. ","")&amp;IF(AND($J673&lt;&gt;"",$J673&lt;&gt;"Mitjans propis",$J673&lt;&gt;"Altres",$M673=""),"Falta l'import. ","")&amp;IF(AND($J673="Contracte menor a càrrec del RAE",$K673=""),"Falta la partida RAE. ","")&amp;IF(AND($B673&lt;&gt;"",COUNTIF($B$6:$B$705,$B673)&gt;1),"Codi RAE repetit. ","")&amp;IF(AND($B673&lt;&gt;"",$J673&lt;&gt;"",$J673&lt;&gt;"Contracte menor a càrrec del RAE"),"Té codi RAE però no és de tipus RAE. ","")&amp;IF($N673="","Falta l'indicador del Pla. ","")&amp;IF($R673="","Falta el gestor. ","")&amp;IF($S673="","Falta indicar si és recurrent. ",""))))</f>
        <v/>
      </c>
    </row>
    <row r="674">
      <c r="A674" s="10">
        <f>IF($D674="","","27_"&amp;IFERROR(INDEX(Objectius!$E$2:$E$183,MATCH($D674,Objectius!$A$2:$A$183,0)),"??")&amp;"_"&amp;TEXT(COUNTIF($I$6:$I674,$I674),"00"))</f>
        <v/>
      </c>
      <c r="B674" s="11" t="n"/>
      <c r="C674" s="11" t="n"/>
      <c r="D674" s="11" t="n"/>
      <c r="E674" s="10">
        <f>IF($D674="","",IFERROR(INDEX(Objectius!$C$2:$C$183,MATCH($D674,Objectius!$A$2:$A$183,0)),"Objectiu no trobat al Pla"))</f>
        <v/>
      </c>
      <c r="F674" s="11" t="n"/>
      <c r="G674" s="11" t="n"/>
      <c r="H674" s="11" t="n"/>
      <c r="I674" s="10">
        <f>IF($D674="","",IFERROR(INDEX(Objectius!$D$2:$D$183,MATCH($D674,Objectius!$A$2:$A$183,0)),""))</f>
        <v/>
      </c>
      <c r="J674" s="11" t="n"/>
      <c r="K674" s="11" t="n"/>
      <c r="L674" s="11" t="n"/>
      <c r="M674" s="12" t="n"/>
      <c r="N674" s="11" t="n"/>
      <c r="O674" s="10">
        <f>IF($N674="","",IFERROR(INDEX('PLA ESTRATÈGIC'!$G$4:$G$452,MATCH($N674,'PLA ESTRATÈGIC'!$Q$4:$Q$452,0)),""))</f>
        <v/>
      </c>
      <c r="P674" s="10">
        <f>IF($N674="","",IFERROR(INDEX('PLA ESTRATÈGIC'!$H$4:$H$452,MATCH($N674,'PLA ESTRATÈGIC'!$Q$4:$Q$452,0)),""))</f>
        <v/>
      </c>
      <c r="Q674" s="13" t="n"/>
      <c r="R674" s="11" t="n"/>
      <c r="S674" s="11" t="n"/>
      <c r="T674" s="11" t="n"/>
      <c r="U674" s="11" t="n"/>
      <c r="V674" s="10">
        <f>IF(COUNTA($C674,$D674,$J674,$M674)=0,"",IF(TRIM(IF($C674="","Falta l'actuació. ","")&amp;IF($D674="","Falta l'objectiu. ","")&amp;IF($J674="","Falta el tipus de despesa. ","")&amp;IF(AND($J674&lt;&gt;"",$J674&lt;&gt;"Mitjans propis",$J674&lt;&gt;"Altres",$M674=""),"Falta l'import. ","")&amp;IF(AND($J674="Contracte menor a càrrec del RAE",$K674=""),"Falta la partida RAE. ","")&amp;IF(AND($B674&lt;&gt;"",COUNTIF($B$6:$B$705,$B674)&gt;1),"Codi RAE repetit. ","")&amp;IF(AND($B674&lt;&gt;"",$J674&lt;&gt;"",$J674&lt;&gt;"Contracte menor a càrrec del RAE"),"Té codi RAE però no és de tipus RAE. ","")&amp;IF($N674="","Falta l'indicador del Pla. ","")&amp;IF($R674="","Falta el gestor. ","")&amp;IF($S674="","Falta indicar si és recurrent. ",""))="","✔",TRIM(IF($C674="","Falta l'actuació. ","")&amp;IF($D674="","Falta l'objectiu. ","")&amp;IF($J674="","Falta el tipus de despesa. ","")&amp;IF(AND($J674&lt;&gt;"",$J674&lt;&gt;"Mitjans propis",$J674&lt;&gt;"Altres",$M674=""),"Falta l'import. ","")&amp;IF(AND($J674="Contracte menor a càrrec del RAE",$K674=""),"Falta la partida RAE. ","")&amp;IF(AND($B674&lt;&gt;"",COUNTIF($B$6:$B$705,$B674)&gt;1),"Codi RAE repetit. ","")&amp;IF(AND($B674&lt;&gt;"",$J674&lt;&gt;"",$J674&lt;&gt;"Contracte menor a càrrec del RAE"),"Té codi RAE però no és de tipus RAE. ","")&amp;IF($N674="","Falta l'indicador del Pla. ","")&amp;IF($R674="","Falta el gestor. ","")&amp;IF($S674="","Falta indicar si és recurrent. ",""))))</f>
        <v/>
      </c>
    </row>
    <row r="675">
      <c r="A675" s="10">
        <f>IF($D675="","","27_"&amp;IFERROR(INDEX(Objectius!$E$2:$E$183,MATCH($D675,Objectius!$A$2:$A$183,0)),"??")&amp;"_"&amp;TEXT(COUNTIF($I$6:$I675,$I675),"00"))</f>
        <v/>
      </c>
      <c r="B675" s="11" t="n"/>
      <c r="C675" s="11" t="n"/>
      <c r="D675" s="11" t="n"/>
      <c r="E675" s="10">
        <f>IF($D675="","",IFERROR(INDEX(Objectius!$C$2:$C$183,MATCH($D675,Objectius!$A$2:$A$183,0)),"Objectiu no trobat al Pla"))</f>
        <v/>
      </c>
      <c r="F675" s="11" t="n"/>
      <c r="G675" s="11" t="n"/>
      <c r="H675" s="11" t="n"/>
      <c r="I675" s="10">
        <f>IF($D675="","",IFERROR(INDEX(Objectius!$D$2:$D$183,MATCH($D675,Objectius!$A$2:$A$183,0)),""))</f>
        <v/>
      </c>
      <c r="J675" s="11" t="n"/>
      <c r="K675" s="11" t="n"/>
      <c r="L675" s="11" t="n"/>
      <c r="M675" s="12" t="n"/>
      <c r="N675" s="11" t="n"/>
      <c r="O675" s="10">
        <f>IF($N675="","",IFERROR(INDEX('PLA ESTRATÈGIC'!$G$4:$G$452,MATCH($N675,'PLA ESTRATÈGIC'!$Q$4:$Q$452,0)),""))</f>
        <v/>
      </c>
      <c r="P675" s="10">
        <f>IF($N675="","",IFERROR(INDEX('PLA ESTRATÈGIC'!$H$4:$H$452,MATCH($N675,'PLA ESTRATÈGIC'!$Q$4:$Q$452,0)),""))</f>
        <v/>
      </c>
      <c r="Q675" s="13" t="n"/>
      <c r="R675" s="11" t="n"/>
      <c r="S675" s="11" t="n"/>
      <c r="T675" s="11" t="n"/>
      <c r="U675" s="11" t="n"/>
      <c r="V675" s="10">
        <f>IF(COUNTA($C675,$D675,$J675,$M675)=0,"",IF(TRIM(IF($C675="","Falta l'actuació. ","")&amp;IF($D675="","Falta l'objectiu. ","")&amp;IF($J675="","Falta el tipus de despesa. ","")&amp;IF(AND($J675&lt;&gt;"",$J675&lt;&gt;"Mitjans propis",$J675&lt;&gt;"Altres",$M675=""),"Falta l'import. ","")&amp;IF(AND($J675="Contracte menor a càrrec del RAE",$K675=""),"Falta la partida RAE. ","")&amp;IF(AND($B675&lt;&gt;"",COUNTIF($B$6:$B$705,$B675)&gt;1),"Codi RAE repetit. ","")&amp;IF(AND($B675&lt;&gt;"",$J675&lt;&gt;"",$J675&lt;&gt;"Contracte menor a càrrec del RAE"),"Té codi RAE però no és de tipus RAE. ","")&amp;IF($N675="","Falta l'indicador del Pla. ","")&amp;IF($R675="","Falta el gestor. ","")&amp;IF($S675="","Falta indicar si és recurrent. ",""))="","✔",TRIM(IF($C675="","Falta l'actuació. ","")&amp;IF($D675="","Falta l'objectiu. ","")&amp;IF($J675="","Falta el tipus de despesa. ","")&amp;IF(AND($J675&lt;&gt;"",$J675&lt;&gt;"Mitjans propis",$J675&lt;&gt;"Altres",$M675=""),"Falta l'import. ","")&amp;IF(AND($J675="Contracte menor a càrrec del RAE",$K675=""),"Falta la partida RAE. ","")&amp;IF(AND($B675&lt;&gt;"",COUNTIF($B$6:$B$705,$B675)&gt;1),"Codi RAE repetit. ","")&amp;IF(AND($B675&lt;&gt;"",$J675&lt;&gt;"",$J675&lt;&gt;"Contracte menor a càrrec del RAE"),"Té codi RAE però no és de tipus RAE. ","")&amp;IF($N675="","Falta l'indicador del Pla. ","")&amp;IF($R675="","Falta el gestor. ","")&amp;IF($S675="","Falta indicar si és recurrent. ",""))))</f>
        <v/>
      </c>
    </row>
    <row r="676">
      <c r="A676" s="10">
        <f>IF($D676="","","27_"&amp;IFERROR(INDEX(Objectius!$E$2:$E$183,MATCH($D676,Objectius!$A$2:$A$183,0)),"??")&amp;"_"&amp;TEXT(COUNTIF($I$6:$I676,$I676),"00"))</f>
        <v/>
      </c>
      <c r="B676" s="11" t="n"/>
      <c r="C676" s="11" t="n"/>
      <c r="D676" s="11" t="n"/>
      <c r="E676" s="10">
        <f>IF($D676="","",IFERROR(INDEX(Objectius!$C$2:$C$183,MATCH($D676,Objectius!$A$2:$A$183,0)),"Objectiu no trobat al Pla"))</f>
        <v/>
      </c>
      <c r="F676" s="11" t="n"/>
      <c r="G676" s="11" t="n"/>
      <c r="H676" s="11" t="n"/>
      <c r="I676" s="10">
        <f>IF($D676="","",IFERROR(INDEX(Objectius!$D$2:$D$183,MATCH($D676,Objectius!$A$2:$A$183,0)),""))</f>
        <v/>
      </c>
      <c r="J676" s="11" t="n"/>
      <c r="K676" s="11" t="n"/>
      <c r="L676" s="11" t="n"/>
      <c r="M676" s="12" t="n"/>
      <c r="N676" s="11" t="n"/>
      <c r="O676" s="10">
        <f>IF($N676="","",IFERROR(INDEX('PLA ESTRATÈGIC'!$G$4:$G$452,MATCH($N676,'PLA ESTRATÈGIC'!$Q$4:$Q$452,0)),""))</f>
        <v/>
      </c>
      <c r="P676" s="10">
        <f>IF($N676="","",IFERROR(INDEX('PLA ESTRATÈGIC'!$H$4:$H$452,MATCH($N676,'PLA ESTRATÈGIC'!$Q$4:$Q$452,0)),""))</f>
        <v/>
      </c>
      <c r="Q676" s="13" t="n"/>
      <c r="R676" s="11" t="n"/>
      <c r="S676" s="11" t="n"/>
      <c r="T676" s="11" t="n"/>
      <c r="U676" s="11" t="n"/>
      <c r="V676" s="10">
        <f>IF(COUNTA($C676,$D676,$J676,$M676)=0,"",IF(TRIM(IF($C676="","Falta l'actuació. ","")&amp;IF($D676="","Falta l'objectiu. ","")&amp;IF($J676="","Falta el tipus de despesa. ","")&amp;IF(AND($J676&lt;&gt;"",$J676&lt;&gt;"Mitjans propis",$J676&lt;&gt;"Altres",$M676=""),"Falta l'import. ","")&amp;IF(AND($J676="Contracte menor a càrrec del RAE",$K676=""),"Falta la partida RAE. ","")&amp;IF(AND($B676&lt;&gt;"",COUNTIF($B$6:$B$705,$B676)&gt;1),"Codi RAE repetit. ","")&amp;IF(AND($B676&lt;&gt;"",$J676&lt;&gt;"",$J676&lt;&gt;"Contracte menor a càrrec del RAE"),"Té codi RAE però no és de tipus RAE. ","")&amp;IF($N676="","Falta l'indicador del Pla. ","")&amp;IF($R676="","Falta el gestor. ","")&amp;IF($S676="","Falta indicar si és recurrent. ",""))="","✔",TRIM(IF($C676="","Falta l'actuació. ","")&amp;IF($D676="","Falta l'objectiu. ","")&amp;IF($J676="","Falta el tipus de despesa. ","")&amp;IF(AND($J676&lt;&gt;"",$J676&lt;&gt;"Mitjans propis",$J676&lt;&gt;"Altres",$M676=""),"Falta l'import. ","")&amp;IF(AND($J676="Contracte menor a càrrec del RAE",$K676=""),"Falta la partida RAE. ","")&amp;IF(AND($B676&lt;&gt;"",COUNTIF($B$6:$B$705,$B676)&gt;1),"Codi RAE repetit. ","")&amp;IF(AND($B676&lt;&gt;"",$J676&lt;&gt;"",$J676&lt;&gt;"Contracte menor a càrrec del RAE"),"Té codi RAE però no és de tipus RAE. ","")&amp;IF($N676="","Falta l'indicador del Pla. ","")&amp;IF($R676="","Falta el gestor. ","")&amp;IF($S676="","Falta indicar si és recurrent. ",""))))</f>
        <v/>
      </c>
    </row>
    <row r="677">
      <c r="A677" s="10">
        <f>IF($D677="","","27_"&amp;IFERROR(INDEX(Objectius!$E$2:$E$183,MATCH($D677,Objectius!$A$2:$A$183,0)),"??")&amp;"_"&amp;TEXT(COUNTIF($I$6:$I677,$I677),"00"))</f>
        <v/>
      </c>
      <c r="B677" s="11" t="n"/>
      <c r="C677" s="11" t="n"/>
      <c r="D677" s="11" t="n"/>
      <c r="E677" s="10">
        <f>IF($D677="","",IFERROR(INDEX(Objectius!$C$2:$C$183,MATCH($D677,Objectius!$A$2:$A$183,0)),"Objectiu no trobat al Pla"))</f>
        <v/>
      </c>
      <c r="F677" s="11" t="n"/>
      <c r="G677" s="11" t="n"/>
      <c r="H677" s="11" t="n"/>
      <c r="I677" s="10">
        <f>IF($D677="","",IFERROR(INDEX(Objectius!$D$2:$D$183,MATCH($D677,Objectius!$A$2:$A$183,0)),""))</f>
        <v/>
      </c>
      <c r="J677" s="11" t="n"/>
      <c r="K677" s="11" t="n"/>
      <c r="L677" s="11" t="n"/>
      <c r="M677" s="12" t="n"/>
      <c r="N677" s="11" t="n"/>
      <c r="O677" s="10">
        <f>IF($N677="","",IFERROR(INDEX('PLA ESTRATÈGIC'!$G$4:$G$452,MATCH($N677,'PLA ESTRATÈGIC'!$Q$4:$Q$452,0)),""))</f>
        <v/>
      </c>
      <c r="P677" s="10">
        <f>IF($N677="","",IFERROR(INDEX('PLA ESTRATÈGIC'!$H$4:$H$452,MATCH($N677,'PLA ESTRATÈGIC'!$Q$4:$Q$452,0)),""))</f>
        <v/>
      </c>
      <c r="Q677" s="13" t="n"/>
      <c r="R677" s="11" t="n"/>
      <c r="S677" s="11" t="n"/>
      <c r="T677" s="11" t="n"/>
      <c r="U677" s="11" t="n"/>
      <c r="V677" s="10">
        <f>IF(COUNTA($C677,$D677,$J677,$M677)=0,"",IF(TRIM(IF($C677="","Falta l'actuació. ","")&amp;IF($D677="","Falta l'objectiu. ","")&amp;IF($J677="","Falta el tipus de despesa. ","")&amp;IF(AND($J677&lt;&gt;"",$J677&lt;&gt;"Mitjans propis",$J677&lt;&gt;"Altres",$M677=""),"Falta l'import. ","")&amp;IF(AND($J677="Contracte menor a càrrec del RAE",$K677=""),"Falta la partida RAE. ","")&amp;IF(AND($B677&lt;&gt;"",COUNTIF($B$6:$B$705,$B677)&gt;1),"Codi RAE repetit. ","")&amp;IF(AND($B677&lt;&gt;"",$J677&lt;&gt;"",$J677&lt;&gt;"Contracte menor a càrrec del RAE"),"Té codi RAE però no és de tipus RAE. ","")&amp;IF($N677="","Falta l'indicador del Pla. ","")&amp;IF($R677="","Falta el gestor. ","")&amp;IF($S677="","Falta indicar si és recurrent. ",""))="","✔",TRIM(IF($C677="","Falta l'actuació. ","")&amp;IF($D677="","Falta l'objectiu. ","")&amp;IF($J677="","Falta el tipus de despesa. ","")&amp;IF(AND($J677&lt;&gt;"",$J677&lt;&gt;"Mitjans propis",$J677&lt;&gt;"Altres",$M677=""),"Falta l'import. ","")&amp;IF(AND($J677="Contracte menor a càrrec del RAE",$K677=""),"Falta la partida RAE. ","")&amp;IF(AND($B677&lt;&gt;"",COUNTIF($B$6:$B$705,$B677)&gt;1),"Codi RAE repetit. ","")&amp;IF(AND($B677&lt;&gt;"",$J677&lt;&gt;"",$J677&lt;&gt;"Contracte menor a càrrec del RAE"),"Té codi RAE però no és de tipus RAE. ","")&amp;IF($N677="","Falta l'indicador del Pla. ","")&amp;IF($R677="","Falta el gestor. ","")&amp;IF($S677="","Falta indicar si és recurrent. ",""))))</f>
        <v/>
      </c>
    </row>
    <row r="678">
      <c r="A678" s="10">
        <f>IF($D678="","","27_"&amp;IFERROR(INDEX(Objectius!$E$2:$E$183,MATCH($D678,Objectius!$A$2:$A$183,0)),"??")&amp;"_"&amp;TEXT(COUNTIF($I$6:$I678,$I678),"00"))</f>
        <v/>
      </c>
      <c r="B678" s="11" t="n"/>
      <c r="C678" s="11" t="n"/>
      <c r="D678" s="11" t="n"/>
      <c r="E678" s="10">
        <f>IF($D678="","",IFERROR(INDEX(Objectius!$C$2:$C$183,MATCH($D678,Objectius!$A$2:$A$183,0)),"Objectiu no trobat al Pla"))</f>
        <v/>
      </c>
      <c r="F678" s="11" t="n"/>
      <c r="G678" s="11" t="n"/>
      <c r="H678" s="11" t="n"/>
      <c r="I678" s="10">
        <f>IF($D678="","",IFERROR(INDEX(Objectius!$D$2:$D$183,MATCH($D678,Objectius!$A$2:$A$183,0)),""))</f>
        <v/>
      </c>
      <c r="J678" s="11" t="n"/>
      <c r="K678" s="11" t="n"/>
      <c r="L678" s="11" t="n"/>
      <c r="M678" s="12" t="n"/>
      <c r="N678" s="11" t="n"/>
      <c r="O678" s="10">
        <f>IF($N678="","",IFERROR(INDEX('PLA ESTRATÈGIC'!$G$4:$G$452,MATCH($N678,'PLA ESTRATÈGIC'!$Q$4:$Q$452,0)),""))</f>
        <v/>
      </c>
      <c r="P678" s="10">
        <f>IF($N678="","",IFERROR(INDEX('PLA ESTRATÈGIC'!$H$4:$H$452,MATCH($N678,'PLA ESTRATÈGIC'!$Q$4:$Q$452,0)),""))</f>
        <v/>
      </c>
      <c r="Q678" s="13" t="n"/>
      <c r="R678" s="11" t="n"/>
      <c r="S678" s="11" t="n"/>
      <c r="T678" s="11" t="n"/>
      <c r="U678" s="11" t="n"/>
      <c r="V678" s="10">
        <f>IF(COUNTA($C678,$D678,$J678,$M678)=0,"",IF(TRIM(IF($C678="","Falta l'actuació. ","")&amp;IF($D678="","Falta l'objectiu. ","")&amp;IF($J678="","Falta el tipus de despesa. ","")&amp;IF(AND($J678&lt;&gt;"",$J678&lt;&gt;"Mitjans propis",$J678&lt;&gt;"Altres",$M678=""),"Falta l'import. ","")&amp;IF(AND($J678="Contracte menor a càrrec del RAE",$K678=""),"Falta la partida RAE. ","")&amp;IF(AND($B678&lt;&gt;"",COUNTIF($B$6:$B$705,$B678)&gt;1),"Codi RAE repetit. ","")&amp;IF(AND($B678&lt;&gt;"",$J678&lt;&gt;"",$J678&lt;&gt;"Contracte menor a càrrec del RAE"),"Té codi RAE però no és de tipus RAE. ","")&amp;IF($N678="","Falta l'indicador del Pla. ","")&amp;IF($R678="","Falta el gestor. ","")&amp;IF($S678="","Falta indicar si és recurrent. ",""))="","✔",TRIM(IF($C678="","Falta l'actuació. ","")&amp;IF($D678="","Falta l'objectiu. ","")&amp;IF($J678="","Falta el tipus de despesa. ","")&amp;IF(AND($J678&lt;&gt;"",$J678&lt;&gt;"Mitjans propis",$J678&lt;&gt;"Altres",$M678=""),"Falta l'import. ","")&amp;IF(AND($J678="Contracte menor a càrrec del RAE",$K678=""),"Falta la partida RAE. ","")&amp;IF(AND($B678&lt;&gt;"",COUNTIF($B$6:$B$705,$B678)&gt;1),"Codi RAE repetit. ","")&amp;IF(AND($B678&lt;&gt;"",$J678&lt;&gt;"",$J678&lt;&gt;"Contracte menor a càrrec del RAE"),"Té codi RAE però no és de tipus RAE. ","")&amp;IF($N678="","Falta l'indicador del Pla. ","")&amp;IF($R678="","Falta el gestor. ","")&amp;IF($S678="","Falta indicar si és recurrent. ",""))))</f>
        <v/>
      </c>
    </row>
    <row r="679">
      <c r="A679" s="10">
        <f>IF($D679="","","27_"&amp;IFERROR(INDEX(Objectius!$E$2:$E$183,MATCH($D679,Objectius!$A$2:$A$183,0)),"??")&amp;"_"&amp;TEXT(COUNTIF($I$6:$I679,$I679),"00"))</f>
        <v/>
      </c>
      <c r="B679" s="11" t="n"/>
      <c r="C679" s="11" t="n"/>
      <c r="D679" s="11" t="n"/>
      <c r="E679" s="10">
        <f>IF($D679="","",IFERROR(INDEX(Objectius!$C$2:$C$183,MATCH($D679,Objectius!$A$2:$A$183,0)),"Objectiu no trobat al Pla"))</f>
        <v/>
      </c>
      <c r="F679" s="11" t="n"/>
      <c r="G679" s="11" t="n"/>
      <c r="H679" s="11" t="n"/>
      <c r="I679" s="10">
        <f>IF($D679="","",IFERROR(INDEX(Objectius!$D$2:$D$183,MATCH($D679,Objectius!$A$2:$A$183,0)),""))</f>
        <v/>
      </c>
      <c r="J679" s="11" t="n"/>
      <c r="K679" s="11" t="n"/>
      <c r="L679" s="11" t="n"/>
      <c r="M679" s="12" t="n"/>
      <c r="N679" s="11" t="n"/>
      <c r="O679" s="10">
        <f>IF($N679="","",IFERROR(INDEX('PLA ESTRATÈGIC'!$G$4:$G$452,MATCH($N679,'PLA ESTRATÈGIC'!$Q$4:$Q$452,0)),""))</f>
        <v/>
      </c>
      <c r="P679" s="10">
        <f>IF($N679="","",IFERROR(INDEX('PLA ESTRATÈGIC'!$H$4:$H$452,MATCH($N679,'PLA ESTRATÈGIC'!$Q$4:$Q$452,0)),""))</f>
        <v/>
      </c>
      <c r="Q679" s="13" t="n"/>
      <c r="R679" s="11" t="n"/>
      <c r="S679" s="11" t="n"/>
      <c r="T679" s="11" t="n"/>
      <c r="U679" s="11" t="n"/>
      <c r="V679" s="10">
        <f>IF(COUNTA($C679,$D679,$J679,$M679)=0,"",IF(TRIM(IF($C679="","Falta l'actuació. ","")&amp;IF($D679="","Falta l'objectiu. ","")&amp;IF($J679="","Falta el tipus de despesa. ","")&amp;IF(AND($J679&lt;&gt;"",$J679&lt;&gt;"Mitjans propis",$J679&lt;&gt;"Altres",$M679=""),"Falta l'import. ","")&amp;IF(AND($J679="Contracte menor a càrrec del RAE",$K679=""),"Falta la partida RAE. ","")&amp;IF(AND($B679&lt;&gt;"",COUNTIF($B$6:$B$705,$B679)&gt;1),"Codi RAE repetit. ","")&amp;IF(AND($B679&lt;&gt;"",$J679&lt;&gt;"",$J679&lt;&gt;"Contracte menor a càrrec del RAE"),"Té codi RAE però no és de tipus RAE. ","")&amp;IF($N679="","Falta l'indicador del Pla. ","")&amp;IF($R679="","Falta el gestor. ","")&amp;IF($S679="","Falta indicar si és recurrent. ",""))="","✔",TRIM(IF($C679="","Falta l'actuació. ","")&amp;IF($D679="","Falta l'objectiu. ","")&amp;IF($J679="","Falta el tipus de despesa. ","")&amp;IF(AND($J679&lt;&gt;"",$J679&lt;&gt;"Mitjans propis",$J679&lt;&gt;"Altres",$M679=""),"Falta l'import. ","")&amp;IF(AND($J679="Contracte menor a càrrec del RAE",$K679=""),"Falta la partida RAE. ","")&amp;IF(AND($B679&lt;&gt;"",COUNTIF($B$6:$B$705,$B679)&gt;1),"Codi RAE repetit. ","")&amp;IF(AND($B679&lt;&gt;"",$J679&lt;&gt;"",$J679&lt;&gt;"Contracte menor a càrrec del RAE"),"Té codi RAE però no és de tipus RAE. ","")&amp;IF($N679="","Falta l'indicador del Pla. ","")&amp;IF($R679="","Falta el gestor. ","")&amp;IF($S679="","Falta indicar si és recurrent. ",""))))</f>
        <v/>
      </c>
    </row>
    <row r="680">
      <c r="A680" s="10">
        <f>IF($D680="","","27_"&amp;IFERROR(INDEX(Objectius!$E$2:$E$183,MATCH($D680,Objectius!$A$2:$A$183,0)),"??")&amp;"_"&amp;TEXT(COUNTIF($I$6:$I680,$I680),"00"))</f>
        <v/>
      </c>
      <c r="B680" s="11" t="n"/>
      <c r="C680" s="11" t="n"/>
      <c r="D680" s="11" t="n"/>
      <c r="E680" s="10">
        <f>IF($D680="","",IFERROR(INDEX(Objectius!$C$2:$C$183,MATCH($D680,Objectius!$A$2:$A$183,0)),"Objectiu no trobat al Pla"))</f>
        <v/>
      </c>
      <c r="F680" s="11" t="n"/>
      <c r="G680" s="11" t="n"/>
      <c r="H680" s="11" t="n"/>
      <c r="I680" s="10">
        <f>IF($D680="","",IFERROR(INDEX(Objectius!$D$2:$D$183,MATCH($D680,Objectius!$A$2:$A$183,0)),""))</f>
        <v/>
      </c>
      <c r="J680" s="11" t="n"/>
      <c r="K680" s="11" t="n"/>
      <c r="L680" s="11" t="n"/>
      <c r="M680" s="12" t="n"/>
      <c r="N680" s="11" t="n"/>
      <c r="O680" s="10">
        <f>IF($N680="","",IFERROR(INDEX('PLA ESTRATÈGIC'!$G$4:$G$452,MATCH($N680,'PLA ESTRATÈGIC'!$Q$4:$Q$452,0)),""))</f>
        <v/>
      </c>
      <c r="P680" s="10">
        <f>IF($N680="","",IFERROR(INDEX('PLA ESTRATÈGIC'!$H$4:$H$452,MATCH($N680,'PLA ESTRATÈGIC'!$Q$4:$Q$452,0)),""))</f>
        <v/>
      </c>
      <c r="Q680" s="13" t="n"/>
      <c r="R680" s="11" t="n"/>
      <c r="S680" s="11" t="n"/>
      <c r="T680" s="11" t="n"/>
      <c r="U680" s="11" t="n"/>
      <c r="V680" s="10">
        <f>IF(COUNTA($C680,$D680,$J680,$M680)=0,"",IF(TRIM(IF($C680="","Falta l'actuació. ","")&amp;IF($D680="","Falta l'objectiu. ","")&amp;IF($J680="","Falta el tipus de despesa. ","")&amp;IF(AND($J680&lt;&gt;"",$J680&lt;&gt;"Mitjans propis",$J680&lt;&gt;"Altres",$M680=""),"Falta l'import. ","")&amp;IF(AND($J680="Contracte menor a càrrec del RAE",$K680=""),"Falta la partida RAE. ","")&amp;IF(AND($B680&lt;&gt;"",COUNTIF($B$6:$B$705,$B680)&gt;1),"Codi RAE repetit. ","")&amp;IF(AND($B680&lt;&gt;"",$J680&lt;&gt;"",$J680&lt;&gt;"Contracte menor a càrrec del RAE"),"Té codi RAE però no és de tipus RAE. ","")&amp;IF($N680="","Falta l'indicador del Pla. ","")&amp;IF($R680="","Falta el gestor. ","")&amp;IF($S680="","Falta indicar si és recurrent. ",""))="","✔",TRIM(IF($C680="","Falta l'actuació. ","")&amp;IF($D680="","Falta l'objectiu. ","")&amp;IF($J680="","Falta el tipus de despesa. ","")&amp;IF(AND($J680&lt;&gt;"",$J680&lt;&gt;"Mitjans propis",$J680&lt;&gt;"Altres",$M680=""),"Falta l'import. ","")&amp;IF(AND($J680="Contracte menor a càrrec del RAE",$K680=""),"Falta la partida RAE. ","")&amp;IF(AND($B680&lt;&gt;"",COUNTIF($B$6:$B$705,$B680)&gt;1),"Codi RAE repetit. ","")&amp;IF(AND($B680&lt;&gt;"",$J680&lt;&gt;"",$J680&lt;&gt;"Contracte menor a càrrec del RAE"),"Té codi RAE però no és de tipus RAE. ","")&amp;IF($N680="","Falta l'indicador del Pla. ","")&amp;IF($R680="","Falta el gestor. ","")&amp;IF($S680="","Falta indicar si és recurrent. ",""))))</f>
        <v/>
      </c>
    </row>
    <row r="681">
      <c r="A681" s="10">
        <f>IF($D681="","","27_"&amp;IFERROR(INDEX(Objectius!$E$2:$E$183,MATCH($D681,Objectius!$A$2:$A$183,0)),"??")&amp;"_"&amp;TEXT(COUNTIF($I$6:$I681,$I681),"00"))</f>
        <v/>
      </c>
      <c r="B681" s="11" t="n"/>
      <c r="C681" s="11" t="n"/>
      <c r="D681" s="11" t="n"/>
      <c r="E681" s="10">
        <f>IF($D681="","",IFERROR(INDEX(Objectius!$C$2:$C$183,MATCH($D681,Objectius!$A$2:$A$183,0)),"Objectiu no trobat al Pla"))</f>
        <v/>
      </c>
      <c r="F681" s="11" t="n"/>
      <c r="G681" s="11" t="n"/>
      <c r="H681" s="11" t="n"/>
      <c r="I681" s="10">
        <f>IF($D681="","",IFERROR(INDEX(Objectius!$D$2:$D$183,MATCH($D681,Objectius!$A$2:$A$183,0)),""))</f>
        <v/>
      </c>
      <c r="J681" s="11" t="n"/>
      <c r="K681" s="11" t="n"/>
      <c r="L681" s="11" t="n"/>
      <c r="M681" s="12" t="n"/>
      <c r="N681" s="11" t="n"/>
      <c r="O681" s="10">
        <f>IF($N681="","",IFERROR(INDEX('PLA ESTRATÈGIC'!$G$4:$G$452,MATCH($N681,'PLA ESTRATÈGIC'!$Q$4:$Q$452,0)),""))</f>
        <v/>
      </c>
      <c r="P681" s="10">
        <f>IF($N681="","",IFERROR(INDEX('PLA ESTRATÈGIC'!$H$4:$H$452,MATCH($N681,'PLA ESTRATÈGIC'!$Q$4:$Q$452,0)),""))</f>
        <v/>
      </c>
      <c r="Q681" s="13" t="n"/>
      <c r="R681" s="11" t="n"/>
      <c r="S681" s="11" t="n"/>
      <c r="T681" s="11" t="n"/>
      <c r="U681" s="11" t="n"/>
      <c r="V681" s="10">
        <f>IF(COUNTA($C681,$D681,$J681,$M681)=0,"",IF(TRIM(IF($C681="","Falta l'actuació. ","")&amp;IF($D681="","Falta l'objectiu. ","")&amp;IF($J681="","Falta el tipus de despesa. ","")&amp;IF(AND($J681&lt;&gt;"",$J681&lt;&gt;"Mitjans propis",$J681&lt;&gt;"Altres",$M681=""),"Falta l'import. ","")&amp;IF(AND($J681="Contracte menor a càrrec del RAE",$K681=""),"Falta la partida RAE. ","")&amp;IF(AND($B681&lt;&gt;"",COUNTIF($B$6:$B$705,$B681)&gt;1),"Codi RAE repetit. ","")&amp;IF(AND($B681&lt;&gt;"",$J681&lt;&gt;"",$J681&lt;&gt;"Contracte menor a càrrec del RAE"),"Té codi RAE però no és de tipus RAE. ","")&amp;IF($N681="","Falta l'indicador del Pla. ","")&amp;IF($R681="","Falta el gestor. ","")&amp;IF($S681="","Falta indicar si és recurrent. ",""))="","✔",TRIM(IF($C681="","Falta l'actuació. ","")&amp;IF($D681="","Falta l'objectiu. ","")&amp;IF($J681="","Falta el tipus de despesa. ","")&amp;IF(AND($J681&lt;&gt;"",$J681&lt;&gt;"Mitjans propis",$J681&lt;&gt;"Altres",$M681=""),"Falta l'import. ","")&amp;IF(AND($J681="Contracte menor a càrrec del RAE",$K681=""),"Falta la partida RAE. ","")&amp;IF(AND($B681&lt;&gt;"",COUNTIF($B$6:$B$705,$B681)&gt;1),"Codi RAE repetit. ","")&amp;IF(AND($B681&lt;&gt;"",$J681&lt;&gt;"",$J681&lt;&gt;"Contracte menor a càrrec del RAE"),"Té codi RAE però no és de tipus RAE. ","")&amp;IF($N681="","Falta l'indicador del Pla. ","")&amp;IF($R681="","Falta el gestor. ","")&amp;IF($S681="","Falta indicar si és recurrent. ",""))))</f>
        <v/>
      </c>
    </row>
    <row r="682">
      <c r="A682" s="10">
        <f>IF($D682="","","27_"&amp;IFERROR(INDEX(Objectius!$E$2:$E$183,MATCH($D682,Objectius!$A$2:$A$183,0)),"??")&amp;"_"&amp;TEXT(COUNTIF($I$6:$I682,$I682),"00"))</f>
        <v/>
      </c>
      <c r="B682" s="11" t="n"/>
      <c r="C682" s="11" t="n"/>
      <c r="D682" s="11" t="n"/>
      <c r="E682" s="10">
        <f>IF($D682="","",IFERROR(INDEX(Objectius!$C$2:$C$183,MATCH($D682,Objectius!$A$2:$A$183,0)),"Objectiu no trobat al Pla"))</f>
        <v/>
      </c>
      <c r="F682" s="11" t="n"/>
      <c r="G682" s="11" t="n"/>
      <c r="H682" s="11" t="n"/>
      <c r="I682" s="10">
        <f>IF($D682="","",IFERROR(INDEX(Objectius!$D$2:$D$183,MATCH($D682,Objectius!$A$2:$A$183,0)),""))</f>
        <v/>
      </c>
      <c r="J682" s="11" t="n"/>
      <c r="K682" s="11" t="n"/>
      <c r="L682" s="11" t="n"/>
      <c r="M682" s="12" t="n"/>
      <c r="N682" s="11" t="n"/>
      <c r="O682" s="10">
        <f>IF($N682="","",IFERROR(INDEX('PLA ESTRATÈGIC'!$G$4:$G$452,MATCH($N682,'PLA ESTRATÈGIC'!$Q$4:$Q$452,0)),""))</f>
        <v/>
      </c>
      <c r="P682" s="10">
        <f>IF($N682="","",IFERROR(INDEX('PLA ESTRATÈGIC'!$H$4:$H$452,MATCH($N682,'PLA ESTRATÈGIC'!$Q$4:$Q$452,0)),""))</f>
        <v/>
      </c>
      <c r="Q682" s="13" t="n"/>
      <c r="R682" s="11" t="n"/>
      <c r="S682" s="11" t="n"/>
      <c r="T682" s="11" t="n"/>
      <c r="U682" s="11" t="n"/>
      <c r="V682" s="10">
        <f>IF(COUNTA($C682,$D682,$J682,$M682)=0,"",IF(TRIM(IF($C682="","Falta l'actuació. ","")&amp;IF($D682="","Falta l'objectiu. ","")&amp;IF($J682="","Falta el tipus de despesa. ","")&amp;IF(AND($J682&lt;&gt;"",$J682&lt;&gt;"Mitjans propis",$J682&lt;&gt;"Altres",$M682=""),"Falta l'import. ","")&amp;IF(AND($J682="Contracte menor a càrrec del RAE",$K682=""),"Falta la partida RAE. ","")&amp;IF(AND($B682&lt;&gt;"",COUNTIF($B$6:$B$705,$B682)&gt;1),"Codi RAE repetit. ","")&amp;IF(AND($B682&lt;&gt;"",$J682&lt;&gt;"",$J682&lt;&gt;"Contracte menor a càrrec del RAE"),"Té codi RAE però no és de tipus RAE. ","")&amp;IF($N682="","Falta l'indicador del Pla. ","")&amp;IF($R682="","Falta el gestor. ","")&amp;IF($S682="","Falta indicar si és recurrent. ",""))="","✔",TRIM(IF($C682="","Falta l'actuació. ","")&amp;IF($D682="","Falta l'objectiu. ","")&amp;IF($J682="","Falta el tipus de despesa. ","")&amp;IF(AND($J682&lt;&gt;"",$J682&lt;&gt;"Mitjans propis",$J682&lt;&gt;"Altres",$M682=""),"Falta l'import. ","")&amp;IF(AND($J682="Contracte menor a càrrec del RAE",$K682=""),"Falta la partida RAE. ","")&amp;IF(AND($B682&lt;&gt;"",COUNTIF($B$6:$B$705,$B682)&gt;1),"Codi RAE repetit. ","")&amp;IF(AND($B682&lt;&gt;"",$J682&lt;&gt;"",$J682&lt;&gt;"Contracte menor a càrrec del RAE"),"Té codi RAE però no és de tipus RAE. ","")&amp;IF($N682="","Falta l'indicador del Pla. ","")&amp;IF($R682="","Falta el gestor. ","")&amp;IF($S682="","Falta indicar si és recurrent. ",""))))</f>
        <v/>
      </c>
    </row>
    <row r="683">
      <c r="A683" s="10">
        <f>IF($D683="","","27_"&amp;IFERROR(INDEX(Objectius!$E$2:$E$183,MATCH($D683,Objectius!$A$2:$A$183,0)),"??")&amp;"_"&amp;TEXT(COUNTIF($I$6:$I683,$I683),"00"))</f>
        <v/>
      </c>
      <c r="B683" s="11" t="n"/>
      <c r="C683" s="11" t="n"/>
      <c r="D683" s="11" t="n"/>
      <c r="E683" s="10">
        <f>IF($D683="","",IFERROR(INDEX(Objectius!$C$2:$C$183,MATCH($D683,Objectius!$A$2:$A$183,0)),"Objectiu no trobat al Pla"))</f>
        <v/>
      </c>
      <c r="F683" s="11" t="n"/>
      <c r="G683" s="11" t="n"/>
      <c r="H683" s="11" t="n"/>
      <c r="I683" s="10">
        <f>IF($D683="","",IFERROR(INDEX(Objectius!$D$2:$D$183,MATCH($D683,Objectius!$A$2:$A$183,0)),""))</f>
        <v/>
      </c>
      <c r="J683" s="11" t="n"/>
      <c r="K683" s="11" t="n"/>
      <c r="L683" s="11" t="n"/>
      <c r="M683" s="12" t="n"/>
      <c r="N683" s="11" t="n"/>
      <c r="O683" s="10">
        <f>IF($N683="","",IFERROR(INDEX('PLA ESTRATÈGIC'!$G$4:$G$452,MATCH($N683,'PLA ESTRATÈGIC'!$Q$4:$Q$452,0)),""))</f>
        <v/>
      </c>
      <c r="P683" s="10">
        <f>IF($N683="","",IFERROR(INDEX('PLA ESTRATÈGIC'!$H$4:$H$452,MATCH($N683,'PLA ESTRATÈGIC'!$Q$4:$Q$452,0)),""))</f>
        <v/>
      </c>
      <c r="Q683" s="13" t="n"/>
      <c r="R683" s="11" t="n"/>
      <c r="S683" s="11" t="n"/>
      <c r="T683" s="11" t="n"/>
      <c r="U683" s="11" t="n"/>
      <c r="V683" s="10">
        <f>IF(COUNTA($C683,$D683,$J683,$M683)=0,"",IF(TRIM(IF($C683="","Falta l'actuació. ","")&amp;IF($D683="","Falta l'objectiu. ","")&amp;IF($J683="","Falta el tipus de despesa. ","")&amp;IF(AND($J683&lt;&gt;"",$J683&lt;&gt;"Mitjans propis",$J683&lt;&gt;"Altres",$M683=""),"Falta l'import. ","")&amp;IF(AND($J683="Contracte menor a càrrec del RAE",$K683=""),"Falta la partida RAE. ","")&amp;IF(AND($B683&lt;&gt;"",COUNTIF($B$6:$B$705,$B683)&gt;1),"Codi RAE repetit. ","")&amp;IF(AND($B683&lt;&gt;"",$J683&lt;&gt;"",$J683&lt;&gt;"Contracte menor a càrrec del RAE"),"Té codi RAE però no és de tipus RAE. ","")&amp;IF($N683="","Falta l'indicador del Pla. ","")&amp;IF($R683="","Falta el gestor. ","")&amp;IF($S683="","Falta indicar si és recurrent. ",""))="","✔",TRIM(IF($C683="","Falta l'actuació. ","")&amp;IF($D683="","Falta l'objectiu. ","")&amp;IF($J683="","Falta el tipus de despesa. ","")&amp;IF(AND($J683&lt;&gt;"",$J683&lt;&gt;"Mitjans propis",$J683&lt;&gt;"Altres",$M683=""),"Falta l'import. ","")&amp;IF(AND($J683="Contracte menor a càrrec del RAE",$K683=""),"Falta la partida RAE. ","")&amp;IF(AND($B683&lt;&gt;"",COUNTIF($B$6:$B$705,$B683)&gt;1),"Codi RAE repetit. ","")&amp;IF(AND($B683&lt;&gt;"",$J683&lt;&gt;"",$J683&lt;&gt;"Contracte menor a càrrec del RAE"),"Té codi RAE però no és de tipus RAE. ","")&amp;IF($N683="","Falta l'indicador del Pla. ","")&amp;IF($R683="","Falta el gestor. ","")&amp;IF($S683="","Falta indicar si és recurrent. ",""))))</f>
        <v/>
      </c>
    </row>
    <row r="684">
      <c r="A684" s="10">
        <f>IF($D684="","","27_"&amp;IFERROR(INDEX(Objectius!$E$2:$E$183,MATCH($D684,Objectius!$A$2:$A$183,0)),"??")&amp;"_"&amp;TEXT(COUNTIF($I$6:$I684,$I684),"00"))</f>
        <v/>
      </c>
      <c r="B684" s="11" t="n"/>
      <c r="C684" s="11" t="n"/>
      <c r="D684" s="11" t="n"/>
      <c r="E684" s="10">
        <f>IF($D684="","",IFERROR(INDEX(Objectius!$C$2:$C$183,MATCH($D684,Objectius!$A$2:$A$183,0)),"Objectiu no trobat al Pla"))</f>
        <v/>
      </c>
      <c r="F684" s="11" t="n"/>
      <c r="G684" s="11" t="n"/>
      <c r="H684" s="11" t="n"/>
      <c r="I684" s="10">
        <f>IF($D684="","",IFERROR(INDEX(Objectius!$D$2:$D$183,MATCH($D684,Objectius!$A$2:$A$183,0)),""))</f>
        <v/>
      </c>
      <c r="J684" s="11" t="n"/>
      <c r="K684" s="11" t="n"/>
      <c r="L684" s="11" t="n"/>
      <c r="M684" s="12" t="n"/>
      <c r="N684" s="11" t="n"/>
      <c r="O684" s="10">
        <f>IF($N684="","",IFERROR(INDEX('PLA ESTRATÈGIC'!$G$4:$G$452,MATCH($N684,'PLA ESTRATÈGIC'!$Q$4:$Q$452,0)),""))</f>
        <v/>
      </c>
      <c r="P684" s="10">
        <f>IF($N684="","",IFERROR(INDEX('PLA ESTRATÈGIC'!$H$4:$H$452,MATCH($N684,'PLA ESTRATÈGIC'!$Q$4:$Q$452,0)),""))</f>
        <v/>
      </c>
      <c r="Q684" s="13" t="n"/>
      <c r="R684" s="11" t="n"/>
      <c r="S684" s="11" t="n"/>
      <c r="T684" s="11" t="n"/>
      <c r="U684" s="11" t="n"/>
      <c r="V684" s="10">
        <f>IF(COUNTA($C684,$D684,$J684,$M684)=0,"",IF(TRIM(IF($C684="","Falta l'actuació. ","")&amp;IF($D684="","Falta l'objectiu. ","")&amp;IF($J684="","Falta el tipus de despesa. ","")&amp;IF(AND($J684&lt;&gt;"",$J684&lt;&gt;"Mitjans propis",$J684&lt;&gt;"Altres",$M684=""),"Falta l'import. ","")&amp;IF(AND($J684="Contracte menor a càrrec del RAE",$K684=""),"Falta la partida RAE. ","")&amp;IF(AND($B684&lt;&gt;"",COUNTIF($B$6:$B$705,$B684)&gt;1),"Codi RAE repetit. ","")&amp;IF(AND($B684&lt;&gt;"",$J684&lt;&gt;"",$J684&lt;&gt;"Contracte menor a càrrec del RAE"),"Té codi RAE però no és de tipus RAE. ","")&amp;IF($N684="","Falta l'indicador del Pla. ","")&amp;IF($R684="","Falta el gestor. ","")&amp;IF($S684="","Falta indicar si és recurrent. ",""))="","✔",TRIM(IF($C684="","Falta l'actuació. ","")&amp;IF($D684="","Falta l'objectiu. ","")&amp;IF($J684="","Falta el tipus de despesa. ","")&amp;IF(AND($J684&lt;&gt;"",$J684&lt;&gt;"Mitjans propis",$J684&lt;&gt;"Altres",$M684=""),"Falta l'import. ","")&amp;IF(AND($J684="Contracte menor a càrrec del RAE",$K684=""),"Falta la partida RAE. ","")&amp;IF(AND($B684&lt;&gt;"",COUNTIF($B$6:$B$705,$B684)&gt;1),"Codi RAE repetit. ","")&amp;IF(AND($B684&lt;&gt;"",$J684&lt;&gt;"",$J684&lt;&gt;"Contracte menor a càrrec del RAE"),"Té codi RAE però no és de tipus RAE. ","")&amp;IF($N684="","Falta l'indicador del Pla. ","")&amp;IF($R684="","Falta el gestor. ","")&amp;IF($S684="","Falta indicar si és recurrent. ",""))))</f>
        <v/>
      </c>
    </row>
    <row r="685">
      <c r="A685" s="10">
        <f>IF($D685="","","27_"&amp;IFERROR(INDEX(Objectius!$E$2:$E$183,MATCH($D685,Objectius!$A$2:$A$183,0)),"??")&amp;"_"&amp;TEXT(COUNTIF($I$6:$I685,$I685),"00"))</f>
        <v/>
      </c>
      <c r="B685" s="11" t="n"/>
      <c r="C685" s="11" t="n"/>
      <c r="D685" s="11" t="n"/>
      <c r="E685" s="10">
        <f>IF($D685="","",IFERROR(INDEX(Objectius!$C$2:$C$183,MATCH($D685,Objectius!$A$2:$A$183,0)),"Objectiu no trobat al Pla"))</f>
        <v/>
      </c>
      <c r="F685" s="11" t="n"/>
      <c r="G685" s="11" t="n"/>
      <c r="H685" s="11" t="n"/>
      <c r="I685" s="10">
        <f>IF($D685="","",IFERROR(INDEX(Objectius!$D$2:$D$183,MATCH($D685,Objectius!$A$2:$A$183,0)),""))</f>
        <v/>
      </c>
      <c r="J685" s="11" t="n"/>
      <c r="K685" s="11" t="n"/>
      <c r="L685" s="11" t="n"/>
      <c r="M685" s="12" t="n"/>
      <c r="N685" s="11" t="n"/>
      <c r="O685" s="10">
        <f>IF($N685="","",IFERROR(INDEX('PLA ESTRATÈGIC'!$G$4:$G$452,MATCH($N685,'PLA ESTRATÈGIC'!$Q$4:$Q$452,0)),""))</f>
        <v/>
      </c>
      <c r="P685" s="10">
        <f>IF($N685="","",IFERROR(INDEX('PLA ESTRATÈGIC'!$H$4:$H$452,MATCH($N685,'PLA ESTRATÈGIC'!$Q$4:$Q$452,0)),""))</f>
        <v/>
      </c>
      <c r="Q685" s="13" t="n"/>
      <c r="R685" s="11" t="n"/>
      <c r="S685" s="11" t="n"/>
      <c r="T685" s="11" t="n"/>
      <c r="U685" s="11" t="n"/>
      <c r="V685" s="10">
        <f>IF(COUNTA($C685,$D685,$J685,$M685)=0,"",IF(TRIM(IF($C685="","Falta l'actuació. ","")&amp;IF($D685="","Falta l'objectiu. ","")&amp;IF($J685="","Falta el tipus de despesa. ","")&amp;IF(AND($J685&lt;&gt;"",$J685&lt;&gt;"Mitjans propis",$J685&lt;&gt;"Altres",$M685=""),"Falta l'import. ","")&amp;IF(AND($J685="Contracte menor a càrrec del RAE",$K685=""),"Falta la partida RAE. ","")&amp;IF(AND($B685&lt;&gt;"",COUNTIF($B$6:$B$705,$B685)&gt;1),"Codi RAE repetit. ","")&amp;IF(AND($B685&lt;&gt;"",$J685&lt;&gt;"",$J685&lt;&gt;"Contracte menor a càrrec del RAE"),"Té codi RAE però no és de tipus RAE. ","")&amp;IF($N685="","Falta l'indicador del Pla. ","")&amp;IF($R685="","Falta el gestor. ","")&amp;IF($S685="","Falta indicar si és recurrent. ",""))="","✔",TRIM(IF($C685="","Falta l'actuació. ","")&amp;IF($D685="","Falta l'objectiu. ","")&amp;IF($J685="","Falta el tipus de despesa. ","")&amp;IF(AND($J685&lt;&gt;"",$J685&lt;&gt;"Mitjans propis",$J685&lt;&gt;"Altres",$M685=""),"Falta l'import. ","")&amp;IF(AND($J685="Contracte menor a càrrec del RAE",$K685=""),"Falta la partida RAE. ","")&amp;IF(AND($B685&lt;&gt;"",COUNTIF($B$6:$B$705,$B685)&gt;1),"Codi RAE repetit. ","")&amp;IF(AND($B685&lt;&gt;"",$J685&lt;&gt;"",$J685&lt;&gt;"Contracte menor a càrrec del RAE"),"Té codi RAE però no és de tipus RAE. ","")&amp;IF($N685="","Falta l'indicador del Pla. ","")&amp;IF($R685="","Falta el gestor. ","")&amp;IF($S685="","Falta indicar si és recurrent. ",""))))</f>
        <v/>
      </c>
    </row>
    <row r="686">
      <c r="A686" s="10">
        <f>IF($D686="","","27_"&amp;IFERROR(INDEX(Objectius!$E$2:$E$183,MATCH($D686,Objectius!$A$2:$A$183,0)),"??")&amp;"_"&amp;TEXT(COUNTIF($I$6:$I686,$I686),"00"))</f>
        <v/>
      </c>
      <c r="B686" s="11" t="n"/>
      <c r="C686" s="11" t="n"/>
      <c r="D686" s="11" t="n"/>
      <c r="E686" s="10">
        <f>IF($D686="","",IFERROR(INDEX(Objectius!$C$2:$C$183,MATCH($D686,Objectius!$A$2:$A$183,0)),"Objectiu no trobat al Pla"))</f>
        <v/>
      </c>
      <c r="F686" s="11" t="n"/>
      <c r="G686" s="11" t="n"/>
      <c r="H686" s="11" t="n"/>
      <c r="I686" s="10">
        <f>IF($D686="","",IFERROR(INDEX(Objectius!$D$2:$D$183,MATCH($D686,Objectius!$A$2:$A$183,0)),""))</f>
        <v/>
      </c>
      <c r="J686" s="11" t="n"/>
      <c r="K686" s="11" t="n"/>
      <c r="L686" s="11" t="n"/>
      <c r="M686" s="12" t="n"/>
      <c r="N686" s="11" t="n"/>
      <c r="O686" s="10">
        <f>IF($N686="","",IFERROR(INDEX('PLA ESTRATÈGIC'!$G$4:$G$452,MATCH($N686,'PLA ESTRATÈGIC'!$Q$4:$Q$452,0)),""))</f>
        <v/>
      </c>
      <c r="P686" s="10">
        <f>IF($N686="","",IFERROR(INDEX('PLA ESTRATÈGIC'!$H$4:$H$452,MATCH($N686,'PLA ESTRATÈGIC'!$Q$4:$Q$452,0)),""))</f>
        <v/>
      </c>
      <c r="Q686" s="13" t="n"/>
      <c r="R686" s="11" t="n"/>
      <c r="S686" s="11" t="n"/>
      <c r="T686" s="11" t="n"/>
      <c r="U686" s="11" t="n"/>
      <c r="V686" s="10">
        <f>IF(COUNTA($C686,$D686,$J686,$M686)=0,"",IF(TRIM(IF($C686="","Falta l'actuació. ","")&amp;IF($D686="","Falta l'objectiu. ","")&amp;IF($J686="","Falta el tipus de despesa. ","")&amp;IF(AND($J686&lt;&gt;"",$J686&lt;&gt;"Mitjans propis",$J686&lt;&gt;"Altres",$M686=""),"Falta l'import. ","")&amp;IF(AND($J686="Contracte menor a càrrec del RAE",$K686=""),"Falta la partida RAE. ","")&amp;IF(AND($B686&lt;&gt;"",COUNTIF($B$6:$B$705,$B686)&gt;1),"Codi RAE repetit. ","")&amp;IF(AND($B686&lt;&gt;"",$J686&lt;&gt;"",$J686&lt;&gt;"Contracte menor a càrrec del RAE"),"Té codi RAE però no és de tipus RAE. ","")&amp;IF($N686="","Falta l'indicador del Pla. ","")&amp;IF($R686="","Falta el gestor. ","")&amp;IF($S686="","Falta indicar si és recurrent. ",""))="","✔",TRIM(IF($C686="","Falta l'actuació. ","")&amp;IF($D686="","Falta l'objectiu. ","")&amp;IF($J686="","Falta el tipus de despesa. ","")&amp;IF(AND($J686&lt;&gt;"",$J686&lt;&gt;"Mitjans propis",$J686&lt;&gt;"Altres",$M686=""),"Falta l'import. ","")&amp;IF(AND($J686="Contracte menor a càrrec del RAE",$K686=""),"Falta la partida RAE. ","")&amp;IF(AND($B686&lt;&gt;"",COUNTIF($B$6:$B$705,$B686)&gt;1),"Codi RAE repetit. ","")&amp;IF(AND($B686&lt;&gt;"",$J686&lt;&gt;"",$J686&lt;&gt;"Contracte menor a càrrec del RAE"),"Té codi RAE però no és de tipus RAE. ","")&amp;IF($N686="","Falta l'indicador del Pla. ","")&amp;IF($R686="","Falta el gestor. ","")&amp;IF($S686="","Falta indicar si és recurrent. ",""))))</f>
        <v/>
      </c>
    </row>
    <row r="687">
      <c r="A687" s="10">
        <f>IF($D687="","","27_"&amp;IFERROR(INDEX(Objectius!$E$2:$E$183,MATCH($D687,Objectius!$A$2:$A$183,0)),"??")&amp;"_"&amp;TEXT(COUNTIF($I$6:$I687,$I687),"00"))</f>
        <v/>
      </c>
      <c r="B687" s="11" t="n"/>
      <c r="C687" s="11" t="n"/>
      <c r="D687" s="11" t="n"/>
      <c r="E687" s="10">
        <f>IF($D687="","",IFERROR(INDEX(Objectius!$C$2:$C$183,MATCH($D687,Objectius!$A$2:$A$183,0)),"Objectiu no trobat al Pla"))</f>
        <v/>
      </c>
      <c r="F687" s="11" t="n"/>
      <c r="G687" s="11" t="n"/>
      <c r="H687" s="11" t="n"/>
      <c r="I687" s="10">
        <f>IF($D687="","",IFERROR(INDEX(Objectius!$D$2:$D$183,MATCH($D687,Objectius!$A$2:$A$183,0)),""))</f>
        <v/>
      </c>
      <c r="J687" s="11" t="n"/>
      <c r="K687" s="11" t="n"/>
      <c r="L687" s="11" t="n"/>
      <c r="M687" s="12" t="n"/>
      <c r="N687" s="11" t="n"/>
      <c r="O687" s="10">
        <f>IF($N687="","",IFERROR(INDEX('PLA ESTRATÈGIC'!$G$4:$G$452,MATCH($N687,'PLA ESTRATÈGIC'!$Q$4:$Q$452,0)),""))</f>
        <v/>
      </c>
      <c r="P687" s="10">
        <f>IF($N687="","",IFERROR(INDEX('PLA ESTRATÈGIC'!$H$4:$H$452,MATCH($N687,'PLA ESTRATÈGIC'!$Q$4:$Q$452,0)),""))</f>
        <v/>
      </c>
      <c r="Q687" s="13" t="n"/>
      <c r="R687" s="11" t="n"/>
      <c r="S687" s="11" t="n"/>
      <c r="T687" s="11" t="n"/>
      <c r="U687" s="11" t="n"/>
      <c r="V687" s="10">
        <f>IF(COUNTA($C687,$D687,$J687,$M687)=0,"",IF(TRIM(IF($C687="","Falta l'actuació. ","")&amp;IF($D687="","Falta l'objectiu. ","")&amp;IF($J687="","Falta el tipus de despesa. ","")&amp;IF(AND($J687&lt;&gt;"",$J687&lt;&gt;"Mitjans propis",$J687&lt;&gt;"Altres",$M687=""),"Falta l'import. ","")&amp;IF(AND($J687="Contracte menor a càrrec del RAE",$K687=""),"Falta la partida RAE. ","")&amp;IF(AND($B687&lt;&gt;"",COUNTIF($B$6:$B$705,$B687)&gt;1),"Codi RAE repetit. ","")&amp;IF(AND($B687&lt;&gt;"",$J687&lt;&gt;"",$J687&lt;&gt;"Contracte menor a càrrec del RAE"),"Té codi RAE però no és de tipus RAE. ","")&amp;IF($N687="","Falta l'indicador del Pla. ","")&amp;IF($R687="","Falta el gestor. ","")&amp;IF($S687="","Falta indicar si és recurrent. ",""))="","✔",TRIM(IF($C687="","Falta l'actuació. ","")&amp;IF($D687="","Falta l'objectiu. ","")&amp;IF($J687="","Falta el tipus de despesa. ","")&amp;IF(AND($J687&lt;&gt;"",$J687&lt;&gt;"Mitjans propis",$J687&lt;&gt;"Altres",$M687=""),"Falta l'import. ","")&amp;IF(AND($J687="Contracte menor a càrrec del RAE",$K687=""),"Falta la partida RAE. ","")&amp;IF(AND($B687&lt;&gt;"",COUNTIF($B$6:$B$705,$B687)&gt;1),"Codi RAE repetit. ","")&amp;IF(AND($B687&lt;&gt;"",$J687&lt;&gt;"",$J687&lt;&gt;"Contracte menor a càrrec del RAE"),"Té codi RAE però no és de tipus RAE. ","")&amp;IF($N687="","Falta l'indicador del Pla. ","")&amp;IF($R687="","Falta el gestor. ","")&amp;IF($S687="","Falta indicar si és recurrent. ",""))))</f>
        <v/>
      </c>
    </row>
    <row r="688">
      <c r="A688" s="10">
        <f>IF($D688="","","27_"&amp;IFERROR(INDEX(Objectius!$E$2:$E$183,MATCH($D688,Objectius!$A$2:$A$183,0)),"??")&amp;"_"&amp;TEXT(COUNTIF($I$6:$I688,$I688),"00"))</f>
        <v/>
      </c>
      <c r="B688" s="11" t="n"/>
      <c r="C688" s="11" t="n"/>
      <c r="D688" s="11" t="n"/>
      <c r="E688" s="10">
        <f>IF($D688="","",IFERROR(INDEX(Objectius!$C$2:$C$183,MATCH($D688,Objectius!$A$2:$A$183,0)),"Objectiu no trobat al Pla"))</f>
        <v/>
      </c>
      <c r="F688" s="11" t="n"/>
      <c r="G688" s="11" t="n"/>
      <c r="H688" s="11" t="n"/>
      <c r="I688" s="10">
        <f>IF($D688="","",IFERROR(INDEX(Objectius!$D$2:$D$183,MATCH($D688,Objectius!$A$2:$A$183,0)),""))</f>
        <v/>
      </c>
      <c r="J688" s="11" t="n"/>
      <c r="K688" s="11" t="n"/>
      <c r="L688" s="11" t="n"/>
      <c r="M688" s="12" t="n"/>
      <c r="N688" s="11" t="n"/>
      <c r="O688" s="10">
        <f>IF($N688="","",IFERROR(INDEX('PLA ESTRATÈGIC'!$G$4:$G$452,MATCH($N688,'PLA ESTRATÈGIC'!$Q$4:$Q$452,0)),""))</f>
        <v/>
      </c>
      <c r="P688" s="10">
        <f>IF($N688="","",IFERROR(INDEX('PLA ESTRATÈGIC'!$H$4:$H$452,MATCH($N688,'PLA ESTRATÈGIC'!$Q$4:$Q$452,0)),""))</f>
        <v/>
      </c>
      <c r="Q688" s="13" t="n"/>
      <c r="R688" s="11" t="n"/>
      <c r="S688" s="11" t="n"/>
      <c r="T688" s="11" t="n"/>
      <c r="U688" s="11" t="n"/>
      <c r="V688" s="10">
        <f>IF(COUNTA($C688,$D688,$J688,$M688)=0,"",IF(TRIM(IF($C688="","Falta l'actuació. ","")&amp;IF($D688="","Falta l'objectiu. ","")&amp;IF($J688="","Falta el tipus de despesa. ","")&amp;IF(AND($J688&lt;&gt;"",$J688&lt;&gt;"Mitjans propis",$J688&lt;&gt;"Altres",$M688=""),"Falta l'import. ","")&amp;IF(AND($J688="Contracte menor a càrrec del RAE",$K688=""),"Falta la partida RAE. ","")&amp;IF(AND($B688&lt;&gt;"",COUNTIF($B$6:$B$705,$B688)&gt;1),"Codi RAE repetit. ","")&amp;IF(AND($B688&lt;&gt;"",$J688&lt;&gt;"",$J688&lt;&gt;"Contracte menor a càrrec del RAE"),"Té codi RAE però no és de tipus RAE. ","")&amp;IF($N688="","Falta l'indicador del Pla. ","")&amp;IF($R688="","Falta el gestor. ","")&amp;IF($S688="","Falta indicar si és recurrent. ",""))="","✔",TRIM(IF($C688="","Falta l'actuació. ","")&amp;IF($D688="","Falta l'objectiu. ","")&amp;IF($J688="","Falta el tipus de despesa. ","")&amp;IF(AND($J688&lt;&gt;"",$J688&lt;&gt;"Mitjans propis",$J688&lt;&gt;"Altres",$M688=""),"Falta l'import. ","")&amp;IF(AND($J688="Contracte menor a càrrec del RAE",$K688=""),"Falta la partida RAE. ","")&amp;IF(AND($B688&lt;&gt;"",COUNTIF($B$6:$B$705,$B688)&gt;1),"Codi RAE repetit. ","")&amp;IF(AND($B688&lt;&gt;"",$J688&lt;&gt;"",$J688&lt;&gt;"Contracte menor a càrrec del RAE"),"Té codi RAE però no és de tipus RAE. ","")&amp;IF($N688="","Falta l'indicador del Pla. ","")&amp;IF($R688="","Falta el gestor. ","")&amp;IF($S688="","Falta indicar si és recurrent. ",""))))</f>
        <v/>
      </c>
    </row>
    <row r="689">
      <c r="A689" s="10">
        <f>IF($D689="","","27_"&amp;IFERROR(INDEX(Objectius!$E$2:$E$183,MATCH($D689,Objectius!$A$2:$A$183,0)),"??")&amp;"_"&amp;TEXT(COUNTIF($I$6:$I689,$I689),"00"))</f>
        <v/>
      </c>
      <c r="B689" s="11" t="n"/>
      <c r="C689" s="11" t="n"/>
      <c r="D689" s="11" t="n"/>
      <c r="E689" s="10">
        <f>IF($D689="","",IFERROR(INDEX(Objectius!$C$2:$C$183,MATCH($D689,Objectius!$A$2:$A$183,0)),"Objectiu no trobat al Pla"))</f>
        <v/>
      </c>
      <c r="F689" s="11" t="n"/>
      <c r="G689" s="11" t="n"/>
      <c r="H689" s="11" t="n"/>
      <c r="I689" s="10">
        <f>IF($D689="","",IFERROR(INDEX(Objectius!$D$2:$D$183,MATCH($D689,Objectius!$A$2:$A$183,0)),""))</f>
        <v/>
      </c>
      <c r="J689" s="11" t="n"/>
      <c r="K689" s="11" t="n"/>
      <c r="L689" s="11" t="n"/>
      <c r="M689" s="12" t="n"/>
      <c r="N689" s="11" t="n"/>
      <c r="O689" s="10">
        <f>IF($N689="","",IFERROR(INDEX('PLA ESTRATÈGIC'!$G$4:$G$452,MATCH($N689,'PLA ESTRATÈGIC'!$Q$4:$Q$452,0)),""))</f>
        <v/>
      </c>
      <c r="P689" s="10">
        <f>IF($N689="","",IFERROR(INDEX('PLA ESTRATÈGIC'!$H$4:$H$452,MATCH($N689,'PLA ESTRATÈGIC'!$Q$4:$Q$452,0)),""))</f>
        <v/>
      </c>
      <c r="Q689" s="13" t="n"/>
      <c r="R689" s="11" t="n"/>
      <c r="S689" s="11" t="n"/>
      <c r="T689" s="11" t="n"/>
      <c r="U689" s="11" t="n"/>
      <c r="V689" s="10">
        <f>IF(COUNTA($C689,$D689,$J689,$M689)=0,"",IF(TRIM(IF($C689="","Falta l'actuació. ","")&amp;IF($D689="","Falta l'objectiu. ","")&amp;IF($J689="","Falta el tipus de despesa. ","")&amp;IF(AND($J689&lt;&gt;"",$J689&lt;&gt;"Mitjans propis",$J689&lt;&gt;"Altres",$M689=""),"Falta l'import. ","")&amp;IF(AND($J689="Contracte menor a càrrec del RAE",$K689=""),"Falta la partida RAE. ","")&amp;IF(AND($B689&lt;&gt;"",COUNTIF($B$6:$B$705,$B689)&gt;1),"Codi RAE repetit. ","")&amp;IF(AND($B689&lt;&gt;"",$J689&lt;&gt;"",$J689&lt;&gt;"Contracte menor a càrrec del RAE"),"Té codi RAE però no és de tipus RAE. ","")&amp;IF($N689="","Falta l'indicador del Pla. ","")&amp;IF($R689="","Falta el gestor. ","")&amp;IF($S689="","Falta indicar si és recurrent. ",""))="","✔",TRIM(IF($C689="","Falta l'actuació. ","")&amp;IF($D689="","Falta l'objectiu. ","")&amp;IF($J689="","Falta el tipus de despesa. ","")&amp;IF(AND($J689&lt;&gt;"",$J689&lt;&gt;"Mitjans propis",$J689&lt;&gt;"Altres",$M689=""),"Falta l'import. ","")&amp;IF(AND($J689="Contracte menor a càrrec del RAE",$K689=""),"Falta la partida RAE. ","")&amp;IF(AND($B689&lt;&gt;"",COUNTIF($B$6:$B$705,$B689)&gt;1),"Codi RAE repetit. ","")&amp;IF(AND($B689&lt;&gt;"",$J689&lt;&gt;"",$J689&lt;&gt;"Contracte menor a càrrec del RAE"),"Té codi RAE però no és de tipus RAE. ","")&amp;IF($N689="","Falta l'indicador del Pla. ","")&amp;IF($R689="","Falta el gestor. ","")&amp;IF($S689="","Falta indicar si és recurrent. ",""))))</f>
        <v/>
      </c>
    </row>
    <row r="690">
      <c r="A690" s="10">
        <f>IF($D690="","","27_"&amp;IFERROR(INDEX(Objectius!$E$2:$E$183,MATCH($D690,Objectius!$A$2:$A$183,0)),"??")&amp;"_"&amp;TEXT(COUNTIF($I$6:$I690,$I690),"00"))</f>
        <v/>
      </c>
      <c r="B690" s="11" t="n"/>
      <c r="C690" s="11" t="n"/>
      <c r="D690" s="11" t="n"/>
      <c r="E690" s="10">
        <f>IF($D690="","",IFERROR(INDEX(Objectius!$C$2:$C$183,MATCH($D690,Objectius!$A$2:$A$183,0)),"Objectiu no trobat al Pla"))</f>
        <v/>
      </c>
      <c r="F690" s="11" t="n"/>
      <c r="G690" s="11" t="n"/>
      <c r="H690" s="11" t="n"/>
      <c r="I690" s="10">
        <f>IF($D690="","",IFERROR(INDEX(Objectius!$D$2:$D$183,MATCH($D690,Objectius!$A$2:$A$183,0)),""))</f>
        <v/>
      </c>
      <c r="J690" s="11" t="n"/>
      <c r="K690" s="11" t="n"/>
      <c r="L690" s="11" t="n"/>
      <c r="M690" s="12" t="n"/>
      <c r="N690" s="11" t="n"/>
      <c r="O690" s="10">
        <f>IF($N690="","",IFERROR(INDEX('PLA ESTRATÈGIC'!$G$4:$G$452,MATCH($N690,'PLA ESTRATÈGIC'!$Q$4:$Q$452,0)),""))</f>
        <v/>
      </c>
      <c r="P690" s="10">
        <f>IF($N690="","",IFERROR(INDEX('PLA ESTRATÈGIC'!$H$4:$H$452,MATCH($N690,'PLA ESTRATÈGIC'!$Q$4:$Q$452,0)),""))</f>
        <v/>
      </c>
      <c r="Q690" s="13" t="n"/>
      <c r="R690" s="11" t="n"/>
      <c r="S690" s="11" t="n"/>
      <c r="T690" s="11" t="n"/>
      <c r="U690" s="11" t="n"/>
      <c r="V690" s="10">
        <f>IF(COUNTA($C690,$D690,$J690,$M690)=0,"",IF(TRIM(IF($C690="","Falta l'actuació. ","")&amp;IF($D690="","Falta l'objectiu. ","")&amp;IF($J690="","Falta el tipus de despesa. ","")&amp;IF(AND($J690&lt;&gt;"",$J690&lt;&gt;"Mitjans propis",$J690&lt;&gt;"Altres",$M690=""),"Falta l'import. ","")&amp;IF(AND($J690="Contracte menor a càrrec del RAE",$K690=""),"Falta la partida RAE. ","")&amp;IF(AND($B690&lt;&gt;"",COUNTIF($B$6:$B$705,$B690)&gt;1),"Codi RAE repetit. ","")&amp;IF(AND($B690&lt;&gt;"",$J690&lt;&gt;"",$J690&lt;&gt;"Contracte menor a càrrec del RAE"),"Té codi RAE però no és de tipus RAE. ","")&amp;IF($N690="","Falta l'indicador del Pla. ","")&amp;IF($R690="","Falta el gestor. ","")&amp;IF($S690="","Falta indicar si és recurrent. ",""))="","✔",TRIM(IF($C690="","Falta l'actuació. ","")&amp;IF($D690="","Falta l'objectiu. ","")&amp;IF($J690="","Falta el tipus de despesa. ","")&amp;IF(AND($J690&lt;&gt;"",$J690&lt;&gt;"Mitjans propis",$J690&lt;&gt;"Altres",$M690=""),"Falta l'import. ","")&amp;IF(AND($J690="Contracte menor a càrrec del RAE",$K690=""),"Falta la partida RAE. ","")&amp;IF(AND($B690&lt;&gt;"",COUNTIF($B$6:$B$705,$B690)&gt;1),"Codi RAE repetit. ","")&amp;IF(AND($B690&lt;&gt;"",$J690&lt;&gt;"",$J690&lt;&gt;"Contracte menor a càrrec del RAE"),"Té codi RAE però no és de tipus RAE. ","")&amp;IF($N690="","Falta l'indicador del Pla. ","")&amp;IF($R690="","Falta el gestor. ","")&amp;IF($S690="","Falta indicar si és recurrent. ",""))))</f>
        <v/>
      </c>
    </row>
    <row r="691">
      <c r="A691" s="10">
        <f>IF($D691="","","27_"&amp;IFERROR(INDEX(Objectius!$E$2:$E$183,MATCH($D691,Objectius!$A$2:$A$183,0)),"??")&amp;"_"&amp;TEXT(COUNTIF($I$6:$I691,$I691),"00"))</f>
        <v/>
      </c>
      <c r="B691" s="11" t="n"/>
      <c r="C691" s="11" t="n"/>
      <c r="D691" s="11" t="n"/>
      <c r="E691" s="10">
        <f>IF($D691="","",IFERROR(INDEX(Objectius!$C$2:$C$183,MATCH($D691,Objectius!$A$2:$A$183,0)),"Objectiu no trobat al Pla"))</f>
        <v/>
      </c>
      <c r="F691" s="11" t="n"/>
      <c r="G691" s="11" t="n"/>
      <c r="H691" s="11" t="n"/>
      <c r="I691" s="10">
        <f>IF($D691="","",IFERROR(INDEX(Objectius!$D$2:$D$183,MATCH($D691,Objectius!$A$2:$A$183,0)),""))</f>
        <v/>
      </c>
      <c r="J691" s="11" t="n"/>
      <c r="K691" s="11" t="n"/>
      <c r="L691" s="11" t="n"/>
      <c r="M691" s="12" t="n"/>
      <c r="N691" s="11" t="n"/>
      <c r="O691" s="10">
        <f>IF($N691="","",IFERROR(INDEX('PLA ESTRATÈGIC'!$G$4:$G$452,MATCH($N691,'PLA ESTRATÈGIC'!$Q$4:$Q$452,0)),""))</f>
        <v/>
      </c>
      <c r="P691" s="10">
        <f>IF($N691="","",IFERROR(INDEX('PLA ESTRATÈGIC'!$H$4:$H$452,MATCH($N691,'PLA ESTRATÈGIC'!$Q$4:$Q$452,0)),""))</f>
        <v/>
      </c>
      <c r="Q691" s="13" t="n"/>
      <c r="R691" s="11" t="n"/>
      <c r="S691" s="11" t="n"/>
      <c r="T691" s="11" t="n"/>
      <c r="U691" s="11" t="n"/>
      <c r="V691" s="10">
        <f>IF(COUNTA($C691,$D691,$J691,$M691)=0,"",IF(TRIM(IF($C691="","Falta l'actuació. ","")&amp;IF($D691="","Falta l'objectiu. ","")&amp;IF($J691="","Falta el tipus de despesa. ","")&amp;IF(AND($J691&lt;&gt;"",$J691&lt;&gt;"Mitjans propis",$J691&lt;&gt;"Altres",$M691=""),"Falta l'import. ","")&amp;IF(AND($J691="Contracte menor a càrrec del RAE",$K691=""),"Falta la partida RAE. ","")&amp;IF(AND($B691&lt;&gt;"",COUNTIF($B$6:$B$705,$B691)&gt;1),"Codi RAE repetit. ","")&amp;IF(AND($B691&lt;&gt;"",$J691&lt;&gt;"",$J691&lt;&gt;"Contracte menor a càrrec del RAE"),"Té codi RAE però no és de tipus RAE. ","")&amp;IF($N691="","Falta l'indicador del Pla. ","")&amp;IF($R691="","Falta el gestor. ","")&amp;IF($S691="","Falta indicar si és recurrent. ",""))="","✔",TRIM(IF($C691="","Falta l'actuació. ","")&amp;IF($D691="","Falta l'objectiu. ","")&amp;IF($J691="","Falta el tipus de despesa. ","")&amp;IF(AND($J691&lt;&gt;"",$J691&lt;&gt;"Mitjans propis",$J691&lt;&gt;"Altres",$M691=""),"Falta l'import. ","")&amp;IF(AND($J691="Contracte menor a càrrec del RAE",$K691=""),"Falta la partida RAE. ","")&amp;IF(AND($B691&lt;&gt;"",COUNTIF($B$6:$B$705,$B691)&gt;1),"Codi RAE repetit. ","")&amp;IF(AND($B691&lt;&gt;"",$J691&lt;&gt;"",$J691&lt;&gt;"Contracte menor a càrrec del RAE"),"Té codi RAE però no és de tipus RAE. ","")&amp;IF($N691="","Falta l'indicador del Pla. ","")&amp;IF($R691="","Falta el gestor. ","")&amp;IF($S691="","Falta indicar si és recurrent. ",""))))</f>
        <v/>
      </c>
    </row>
    <row r="692">
      <c r="A692" s="10">
        <f>IF($D692="","","27_"&amp;IFERROR(INDEX(Objectius!$E$2:$E$183,MATCH($D692,Objectius!$A$2:$A$183,0)),"??")&amp;"_"&amp;TEXT(COUNTIF($I$6:$I692,$I692),"00"))</f>
        <v/>
      </c>
      <c r="B692" s="11" t="n"/>
      <c r="C692" s="11" t="n"/>
      <c r="D692" s="11" t="n"/>
      <c r="E692" s="10">
        <f>IF($D692="","",IFERROR(INDEX(Objectius!$C$2:$C$183,MATCH($D692,Objectius!$A$2:$A$183,0)),"Objectiu no trobat al Pla"))</f>
        <v/>
      </c>
      <c r="F692" s="11" t="n"/>
      <c r="G692" s="11" t="n"/>
      <c r="H692" s="11" t="n"/>
      <c r="I692" s="10">
        <f>IF($D692="","",IFERROR(INDEX(Objectius!$D$2:$D$183,MATCH($D692,Objectius!$A$2:$A$183,0)),""))</f>
        <v/>
      </c>
      <c r="J692" s="11" t="n"/>
      <c r="K692" s="11" t="n"/>
      <c r="L692" s="11" t="n"/>
      <c r="M692" s="12" t="n"/>
      <c r="N692" s="11" t="n"/>
      <c r="O692" s="10">
        <f>IF($N692="","",IFERROR(INDEX('PLA ESTRATÈGIC'!$G$4:$G$452,MATCH($N692,'PLA ESTRATÈGIC'!$Q$4:$Q$452,0)),""))</f>
        <v/>
      </c>
      <c r="P692" s="10">
        <f>IF($N692="","",IFERROR(INDEX('PLA ESTRATÈGIC'!$H$4:$H$452,MATCH($N692,'PLA ESTRATÈGIC'!$Q$4:$Q$452,0)),""))</f>
        <v/>
      </c>
      <c r="Q692" s="13" t="n"/>
      <c r="R692" s="11" t="n"/>
      <c r="S692" s="11" t="n"/>
      <c r="T692" s="11" t="n"/>
      <c r="U692" s="11" t="n"/>
      <c r="V692" s="10">
        <f>IF(COUNTA($C692,$D692,$J692,$M692)=0,"",IF(TRIM(IF($C692="","Falta l'actuació. ","")&amp;IF($D692="","Falta l'objectiu. ","")&amp;IF($J692="","Falta el tipus de despesa. ","")&amp;IF(AND($J692&lt;&gt;"",$J692&lt;&gt;"Mitjans propis",$J692&lt;&gt;"Altres",$M692=""),"Falta l'import. ","")&amp;IF(AND($J692="Contracte menor a càrrec del RAE",$K692=""),"Falta la partida RAE. ","")&amp;IF(AND($B692&lt;&gt;"",COUNTIF($B$6:$B$705,$B692)&gt;1),"Codi RAE repetit. ","")&amp;IF(AND($B692&lt;&gt;"",$J692&lt;&gt;"",$J692&lt;&gt;"Contracte menor a càrrec del RAE"),"Té codi RAE però no és de tipus RAE. ","")&amp;IF($N692="","Falta l'indicador del Pla. ","")&amp;IF($R692="","Falta el gestor. ","")&amp;IF($S692="","Falta indicar si és recurrent. ",""))="","✔",TRIM(IF($C692="","Falta l'actuació. ","")&amp;IF($D692="","Falta l'objectiu. ","")&amp;IF($J692="","Falta el tipus de despesa. ","")&amp;IF(AND($J692&lt;&gt;"",$J692&lt;&gt;"Mitjans propis",$J692&lt;&gt;"Altres",$M692=""),"Falta l'import. ","")&amp;IF(AND($J692="Contracte menor a càrrec del RAE",$K692=""),"Falta la partida RAE. ","")&amp;IF(AND($B692&lt;&gt;"",COUNTIF($B$6:$B$705,$B692)&gt;1),"Codi RAE repetit. ","")&amp;IF(AND($B692&lt;&gt;"",$J692&lt;&gt;"",$J692&lt;&gt;"Contracte menor a càrrec del RAE"),"Té codi RAE però no és de tipus RAE. ","")&amp;IF($N692="","Falta l'indicador del Pla. ","")&amp;IF($R692="","Falta el gestor. ","")&amp;IF($S692="","Falta indicar si és recurrent. ",""))))</f>
        <v/>
      </c>
    </row>
    <row r="693">
      <c r="A693" s="10">
        <f>IF($D693="","","27_"&amp;IFERROR(INDEX(Objectius!$E$2:$E$183,MATCH($D693,Objectius!$A$2:$A$183,0)),"??")&amp;"_"&amp;TEXT(COUNTIF($I$6:$I693,$I693),"00"))</f>
        <v/>
      </c>
      <c r="B693" s="11" t="n"/>
      <c r="C693" s="11" t="n"/>
      <c r="D693" s="11" t="n"/>
      <c r="E693" s="10">
        <f>IF($D693="","",IFERROR(INDEX(Objectius!$C$2:$C$183,MATCH($D693,Objectius!$A$2:$A$183,0)),"Objectiu no trobat al Pla"))</f>
        <v/>
      </c>
      <c r="F693" s="11" t="n"/>
      <c r="G693" s="11" t="n"/>
      <c r="H693" s="11" t="n"/>
      <c r="I693" s="10">
        <f>IF($D693="","",IFERROR(INDEX(Objectius!$D$2:$D$183,MATCH($D693,Objectius!$A$2:$A$183,0)),""))</f>
        <v/>
      </c>
      <c r="J693" s="11" t="n"/>
      <c r="K693" s="11" t="n"/>
      <c r="L693" s="11" t="n"/>
      <c r="M693" s="12" t="n"/>
      <c r="N693" s="11" t="n"/>
      <c r="O693" s="10">
        <f>IF($N693="","",IFERROR(INDEX('PLA ESTRATÈGIC'!$G$4:$G$452,MATCH($N693,'PLA ESTRATÈGIC'!$Q$4:$Q$452,0)),""))</f>
        <v/>
      </c>
      <c r="P693" s="10">
        <f>IF($N693="","",IFERROR(INDEX('PLA ESTRATÈGIC'!$H$4:$H$452,MATCH($N693,'PLA ESTRATÈGIC'!$Q$4:$Q$452,0)),""))</f>
        <v/>
      </c>
      <c r="Q693" s="13" t="n"/>
      <c r="R693" s="11" t="n"/>
      <c r="S693" s="11" t="n"/>
      <c r="T693" s="11" t="n"/>
      <c r="U693" s="11" t="n"/>
      <c r="V693" s="10">
        <f>IF(COUNTA($C693,$D693,$J693,$M693)=0,"",IF(TRIM(IF($C693="","Falta l'actuació. ","")&amp;IF($D693="","Falta l'objectiu. ","")&amp;IF($J693="","Falta el tipus de despesa. ","")&amp;IF(AND($J693&lt;&gt;"",$J693&lt;&gt;"Mitjans propis",$J693&lt;&gt;"Altres",$M693=""),"Falta l'import. ","")&amp;IF(AND($J693="Contracte menor a càrrec del RAE",$K693=""),"Falta la partida RAE. ","")&amp;IF(AND($B693&lt;&gt;"",COUNTIF($B$6:$B$705,$B693)&gt;1),"Codi RAE repetit. ","")&amp;IF(AND($B693&lt;&gt;"",$J693&lt;&gt;"",$J693&lt;&gt;"Contracte menor a càrrec del RAE"),"Té codi RAE però no és de tipus RAE. ","")&amp;IF($N693="","Falta l'indicador del Pla. ","")&amp;IF($R693="","Falta el gestor. ","")&amp;IF($S693="","Falta indicar si és recurrent. ",""))="","✔",TRIM(IF($C693="","Falta l'actuació. ","")&amp;IF($D693="","Falta l'objectiu. ","")&amp;IF($J693="","Falta el tipus de despesa. ","")&amp;IF(AND($J693&lt;&gt;"",$J693&lt;&gt;"Mitjans propis",$J693&lt;&gt;"Altres",$M693=""),"Falta l'import. ","")&amp;IF(AND($J693="Contracte menor a càrrec del RAE",$K693=""),"Falta la partida RAE. ","")&amp;IF(AND($B693&lt;&gt;"",COUNTIF($B$6:$B$705,$B693)&gt;1),"Codi RAE repetit. ","")&amp;IF(AND($B693&lt;&gt;"",$J693&lt;&gt;"",$J693&lt;&gt;"Contracte menor a càrrec del RAE"),"Té codi RAE però no és de tipus RAE. ","")&amp;IF($N693="","Falta l'indicador del Pla. ","")&amp;IF($R693="","Falta el gestor. ","")&amp;IF($S693="","Falta indicar si és recurrent. ",""))))</f>
        <v/>
      </c>
    </row>
    <row r="694">
      <c r="A694" s="10">
        <f>IF($D694="","","27_"&amp;IFERROR(INDEX(Objectius!$E$2:$E$183,MATCH($D694,Objectius!$A$2:$A$183,0)),"??")&amp;"_"&amp;TEXT(COUNTIF($I$6:$I694,$I694),"00"))</f>
        <v/>
      </c>
      <c r="B694" s="11" t="n"/>
      <c r="C694" s="11" t="n"/>
      <c r="D694" s="11" t="n"/>
      <c r="E694" s="10">
        <f>IF($D694="","",IFERROR(INDEX(Objectius!$C$2:$C$183,MATCH($D694,Objectius!$A$2:$A$183,0)),"Objectiu no trobat al Pla"))</f>
        <v/>
      </c>
      <c r="F694" s="11" t="n"/>
      <c r="G694" s="11" t="n"/>
      <c r="H694" s="11" t="n"/>
      <c r="I694" s="10">
        <f>IF($D694="","",IFERROR(INDEX(Objectius!$D$2:$D$183,MATCH($D694,Objectius!$A$2:$A$183,0)),""))</f>
        <v/>
      </c>
      <c r="J694" s="11" t="n"/>
      <c r="K694" s="11" t="n"/>
      <c r="L694" s="11" t="n"/>
      <c r="M694" s="12" t="n"/>
      <c r="N694" s="11" t="n"/>
      <c r="O694" s="10">
        <f>IF($N694="","",IFERROR(INDEX('PLA ESTRATÈGIC'!$G$4:$G$452,MATCH($N694,'PLA ESTRATÈGIC'!$Q$4:$Q$452,0)),""))</f>
        <v/>
      </c>
      <c r="P694" s="10">
        <f>IF($N694="","",IFERROR(INDEX('PLA ESTRATÈGIC'!$H$4:$H$452,MATCH($N694,'PLA ESTRATÈGIC'!$Q$4:$Q$452,0)),""))</f>
        <v/>
      </c>
      <c r="Q694" s="13" t="n"/>
      <c r="R694" s="11" t="n"/>
      <c r="S694" s="11" t="n"/>
      <c r="T694" s="11" t="n"/>
      <c r="U694" s="11" t="n"/>
      <c r="V694" s="10">
        <f>IF(COUNTA($C694,$D694,$J694,$M694)=0,"",IF(TRIM(IF($C694="","Falta l'actuació. ","")&amp;IF($D694="","Falta l'objectiu. ","")&amp;IF($J694="","Falta el tipus de despesa. ","")&amp;IF(AND($J694&lt;&gt;"",$J694&lt;&gt;"Mitjans propis",$J694&lt;&gt;"Altres",$M694=""),"Falta l'import. ","")&amp;IF(AND($J694="Contracte menor a càrrec del RAE",$K694=""),"Falta la partida RAE. ","")&amp;IF(AND($B694&lt;&gt;"",COUNTIF($B$6:$B$705,$B694)&gt;1),"Codi RAE repetit. ","")&amp;IF(AND($B694&lt;&gt;"",$J694&lt;&gt;"",$J694&lt;&gt;"Contracte menor a càrrec del RAE"),"Té codi RAE però no és de tipus RAE. ","")&amp;IF($N694="","Falta l'indicador del Pla. ","")&amp;IF($R694="","Falta el gestor. ","")&amp;IF($S694="","Falta indicar si és recurrent. ",""))="","✔",TRIM(IF($C694="","Falta l'actuació. ","")&amp;IF($D694="","Falta l'objectiu. ","")&amp;IF($J694="","Falta el tipus de despesa. ","")&amp;IF(AND($J694&lt;&gt;"",$J694&lt;&gt;"Mitjans propis",$J694&lt;&gt;"Altres",$M694=""),"Falta l'import. ","")&amp;IF(AND($J694="Contracte menor a càrrec del RAE",$K694=""),"Falta la partida RAE. ","")&amp;IF(AND($B694&lt;&gt;"",COUNTIF($B$6:$B$705,$B694)&gt;1),"Codi RAE repetit. ","")&amp;IF(AND($B694&lt;&gt;"",$J694&lt;&gt;"",$J694&lt;&gt;"Contracte menor a càrrec del RAE"),"Té codi RAE però no és de tipus RAE. ","")&amp;IF($N694="","Falta l'indicador del Pla. ","")&amp;IF($R694="","Falta el gestor. ","")&amp;IF($S694="","Falta indicar si és recurrent. ",""))))</f>
        <v/>
      </c>
    </row>
    <row r="695">
      <c r="A695" s="10">
        <f>IF($D695="","","27_"&amp;IFERROR(INDEX(Objectius!$E$2:$E$183,MATCH($D695,Objectius!$A$2:$A$183,0)),"??")&amp;"_"&amp;TEXT(COUNTIF($I$6:$I695,$I695),"00"))</f>
        <v/>
      </c>
      <c r="B695" s="11" t="n"/>
      <c r="C695" s="11" t="n"/>
      <c r="D695" s="11" t="n"/>
      <c r="E695" s="10">
        <f>IF($D695="","",IFERROR(INDEX(Objectius!$C$2:$C$183,MATCH($D695,Objectius!$A$2:$A$183,0)),"Objectiu no trobat al Pla"))</f>
        <v/>
      </c>
      <c r="F695" s="11" t="n"/>
      <c r="G695" s="11" t="n"/>
      <c r="H695" s="11" t="n"/>
      <c r="I695" s="10">
        <f>IF($D695="","",IFERROR(INDEX(Objectius!$D$2:$D$183,MATCH($D695,Objectius!$A$2:$A$183,0)),""))</f>
        <v/>
      </c>
      <c r="J695" s="11" t="n"/>
      <c r="K695" s="11" t="n"/>
      <c r="L695" s="11" t="n"/>
      <c r="M695" s="12" t="n"/>
      <c r="N695" s="11" t="n"/>
      <c r="O695" s="10">
        <f>IF($N695="","",IFERROR(INDEX('PLA ESTRATÈGIC'!$G$4:$G$452,MATCH($N695,'PLA ESTRATÈGIC'!$Q$4:$Q$452,0)),""))</f>
        <v/>
      </c>
      <c r="P695" s="10">
        <f>IF($N695="","",IFERROR(INDEX('PLA ESTRATÈGIC'!$H$4:$H$452,MATCH($N695,'PLA ESTRATÈGIC'!$Q$4:$Q$452,0)),""))</f>
        <v/>
      </c>
      <c r="Q695" s="13" t="n"/>
      <c r="R695" s="11" t="n"/>
      <c r="S695" s="11" t="n"/>
      <c r="T695" s="11" t="n"/>
      <c r="U695" s="11" t="n"/>
      <c r="V695" s="10">
        <f>IF(COUNTA($C695,$D695,$J695,$M695)=0,"",IF(TRIM(IF($C695="","Falta l'actuació. ","")&amp;IF($D695="","Falta l'objectiu. ","")&amp;IF($J695="","Falta el tipus de despesa. ","")&amp;IF(AND($J695&lt;&gt;"",$J695&lt;&gt;"Mitjans propis",$J695&lt;&gt;"Altres",$M695=""),"Falta l'import. ","")&amp;IF(AND($J695="Contracte menor a càrrec del RAE",$K695=""),"Falta la partida RAE. ","")&amp;IF(AND($B695&lt;&gt;"",COUNTIF($B$6:$B$705,$B695)&gt;1),"Codi RAE repetit. ","")&amp;IF(AND($B695&lt;&gt;"",$J695&lt;&gt;"",$J695&lt;&gt;"Contracte menor a càrrec del RAE"),"Té codi RAE però no és de tipus RAE. ","")&amp;IF($N695="","Falta l'indicador del Pla. ","")&amp;IF($R695="","Falta el gestor. ","")&amp;IF($S695="","Falta indicar si és recurrent. ",""))="","✔",TRIM(IF($C695="","Falta l'actuació. ","")&amp;IF($D695="","Falta l'objectiu. ","")&amp;IF($J695="","Falta el tipus de despesa. ","")&amp;IF(AND($J695&lt;&gt;"",$J695&lt;&gt;"Mitjans propis",$J695&lt;&gt;"Altres",$M695=""),"Falta l'import. ","")&amp;IF(AND($J695="Contracte menor a càrrec del RAE",$K695=""),"Falta la partida RAE. ","")&amp;IF(AND($B695&lt;&gt;"",COUNTIF($B$6:$B$705,$B695)&gt;1),"Codi RAE repetit. ","")&amp;IF(AND($B695&lt;&gt;"",$J695&lt;&gt;"",$J695&lt;&gt;"Contracte menor a càrrec del RAE"),"Té codi RAE però no és de tipus RAE. ","")&amp;IF($N695="","Falta l'indicador del Pla. ","")&amp;IF($R695="","Falta el gestor. ","")&amp;IF($S695="","Falta indicar si és recurrent. ",""))))</f>
        <v/>
      </c>
    </row>
    <row r="696">
      <c r="A696" s="10">
        <f>IF($D696="","","27_"&amp;IFERROR(INDEX(Objectius!$E$2:$E$183,MATCH($D696,Objectius!$A$2:$A$183,0)),"??")&amp;"_"&amp;TEXT(COUNTIF($I$6:$I696,$I696),"00"))</f>
        <v/>
      </c>
      <c r="B696" s="11" t="n"/>
      <c r="C696" s="11" t="n"/>
      <c r="D696" s="11" t="n"/>
      <c r="E696" s="10">
        <f>IF($D696="","",IFERROR(INDEX(Objectius!$C$2:$C$183,MATCH($D696,Objectius!$A$2:$A$183,0)),"Objectiu no trobat al Pla"))</f>
        <v/>
      </c>
      <c r="F696" s="11" t="n"/>
      <c r="G696" s="11" t="n"/>
      <c r="H696" s="11" t="n"/>
      <c r="I696" s="10">
        <f>IF($D696="","",IFERROR(INDEX(Objectius!$D$2:$D$183,MATCH($D696,Objectius!$A$2:$A$183,0)),""))</f>
        <v/>
      </c>
      <c r="J696" s="11" t="n"/>
      <c r="K696" s="11" t="n"/>
      <c r="L696" s="11" t="n"/>
      <c r="M696" s="12" t="n"/>
      <c r="N696" s="11" t="n"/>
      <c r="O696" s="10">
        <f>IF($N696="","",IFERROR(INDEX('PLA ESTRATÈGIC'!$G$4:$G$452,MATCH($N696,'PLA ESTRATÈGIC'!$Q$4:$Q$452,0)),""))</f>
        <v/>
      </c>
      <c r="P696" s="10">
        <f>IF($N696="","",IFERROR(INDEX('PLA ESTRATÈGIC'!$H$4:$H$452,MATCH($N696,'PLA ESTRATÈGIC'!$Q$4:$Q$452,0)),""))</f>
        <v/>
      </c>
      <c r="Q696" s="13" t="n"/>
      <c r="R696" s="11" t="n"/>
      <c r="S696" s="11" t="n"/>
      <c r="T696" s="11" t="n"/>
      <c r="U696" s="11" t="n"/>
      <c r="V696" s="10">
        <f>IF(COUNTA($C696,$D696,$J696,$M696)=0,"",IF(TRIM(IF($C696="","Falta l'actuació. ","")&amp;IF($D696="","Falta l'objectiu. ","")&amp;IF($J696="","Falta el tipus de despesa. ","")&amp;IF(AND($J696&lt;&gt;"",$J696&lt;&gt;"Mitjans propis",$J696&lt;&gt;"Altres",$M696=""),"Falta l'import. ","")&amp;IF(AND($J696="Contracte menor a càrrec del RAE",$K696=""),"Falta la partida RAE. ","")&amp;IF(AND($B696&lt;&gt;"",COUNTIF($B$6:$B$705,$B696)&gt;1),"Codi RAE repetit. ","")&amp;IF(AND($B696&lt;&gt;"",$J696&lt;&gt;"",$J696&lt;&gt;"Contracte menor a càrrec del RAE"),"Té codi RAE però no és de tipus RAE. ","")&amp;IF($N696="","Falta l'indicador del Pla. ","")&amp;IF($R696="","Falta el gestor. ","")&amp;IF($S696="","Falta indicar si és recurrent. ",""))="","✔",TRIM(IF($C696="","Falta l'actuació. ","")&amp;IF($D696="","Falta l'objectiu. ","")&amp;IF($J696="","Falta el tipus de despesa. ","")&amp;IF(AND($J696&lt;&gt;"",$J696&lt;&gt;"Mitjans propis",$J696&lt;&gt;"Altres",$M696=""),"Falta l'import. ","")&amp;IF(AND($J696="Contracte menor a càrrec del RAE",$K696=""),"Falta la partida RAE. ","")&amp;IF(AND($B696&lt;&gt;"",COUNTIF($B$6:$B$705,$B696)&gt;1),"Codi RAE repetit. ","")&amp;IF(AND($B696&lt;&gt;"",$J696&lt;&gt;"",$J696&lt;&gt;"Contracte menor a càrrec del RAE"),"Té codi RAE però no és de tipus RAE. ","")&amp;IF($N696="","Falta l'indicador del Pla. ","")&amp;IF($R696="","Falta el gestor. ","")&amp;IF($S696="","Falta indicar si és recurrent. ",""))))</f>
        <v/>
      </c>
    </row>
    <row r="697">
      <c r="A697" s="10">
        <f>IF($D697="","","27_"&amp;IFERROR(INDEX(Objectius!$E$2:$E$183,MATCH($D697,Objectius!$A$2:$A$183,0)),"??")&amp;"_"&amp;TEXT(COUNTIF($I$6:$I697,$I697),"00"))</f>
        <v/>
      </c>
      <c r="B697" s="11" t="n"/>
      <c r="C697" s="11" t="n"/>
      <c r="D697" s="11" t="n"/>
      <c r="E697" s="10">
        <f>IF($D697="","",IFERROR(INDEX(Objectius!$C$2:$C$183,MATCH($D697,Objectius!$A$2:$A$183,0)),"Objectiu no trobat al Pla"))</f>
        <v/>
      </c>
      <c r="F697" s="11" t="n"/>
      <c r="G697" s="11" t="n"/>
      <c r="H697" s="11" t="n"/>
      <c r="I697" s="10">
        <f>IF($D697="","",IFERROR(INDEX(Objectius!$D$2:$D$183,MATCH($D697,Objectius!$A$2:$A$183,0)),""))</f>
        <v/>
      </c>
      <c r="J697" s="11" t="n"/>
      <c r="K697" s="11" t="n"/>
      <c r="L697" s="11" t="n"/>
      <c r="M697" s="12" t="n"/>
      <c r="N697" s="11" t="n"/>
      <c r="O697" s="10">
        <f>IF($N697="","",IFERROR(INDEX('PLA ESTRATÈGIC'!$G$4:$G$452,MATCH($N697,'PLA ESTRATÈGIC'!$Q$4:$Q$452,0)),""))</f>
        <v/>
      </c>
      <c r="P697" s="10">
        <f>IF($N697="","",IFERROR(INDEX('PLA ESTRATÈGIC'!$H$4:$H$452,MATCH($N697,'PLA ESTRATÈGIC'!$Q$4:$Q$452,0)),""))</f>
        <v/>
      </c>
      <c r="Q697" s="13" t="n"/>
      <c r="R697" s="11" t="n"/>
      <c r="S697" s="11" t="n"/>
      <c r="T697" s="11" t="n"/>
      <c r="U697" s="11" t="n"/>
      <c r="V697" s="10">
        <f>IF(COUNTA($C697,$D697,$J697,$M697)=0,"",IF(TRIM(IF($C697="","Falta l'actuació. ","")&amp;IF($D697="","Falta l'objectiu. ","")&amp;IF($J697="","Falta el tipus de despesa. ","")&amp;IF(AND($J697&lt;&gt;"",$J697&lt;&gt;"Mitjans propis",$J697&lt;&gt;"Altres",$M697=""),"Falta l'import. ","")&amp;IF(AND($J697="Contracte menor a càrrec del RAE",$K697=""),"Falta la partida RAE. ","")&amp;IF(AND($B697&lt;&gt;"",COUNTIF($B$6:$B$705,$B697)&gt;1),"Codi RAE repetit. ","")&amp;IF(AND($B697&lt;&gt;"",$J697&lt;&gt;"",$J697&lt;&gt;"Contracte menor a càrrec del RAE"),"Té codi RAE però no és de tipus RAE. ","")&amp;IF($N697="","Falta l'indicador del Pla. ","")&amp;IF($R697="","Falta el gestor. ","")&amp;IF($S697="","Falta indicar si és recurrent. ",""))="","✔",TRIM(IF($C697="","Falta l'actuació. ","")&amp;IF($D697="","Falta l'objectiu. ","")&amp;IF($J697="","Falta el tipus de despesa. ","")&amp;IF(AND($J697&lt;&gt;"",$J697&lt;&gt;"Mitjans propis",$J697&lt;&gt;"Altres",$M697=""),"Falta l'import. ","")&amp;IF(AND($J697="Contracte menor a càrrec del RAE",$K697=""),"Falta la partida RAE. ","")&amp;IF(AND($B697&lt;&gt;"",COUNTIF($B$6:$B$705,$B697)&gt;1),"Codi RAE repetit. ","")&amp;IF(AND($B697&lt;&gt;"",$J697&lt;&gt;"",$J697&lt;&gt;"Contracte menor a càrrec del RAE"),"Té codi RAE però no és de tipus RAE. ","")&amp;IF($N697="","Falta l'indicador del Pla. ","")&amp;IF($R697="","Falta el gestor. ","")&amp;IF($S697="","Falta indicar si és recurrent. ",""))))</f>
        <v/>
      </c>
    </row>
    <row r="698">
      <c r="A698" s="10">
        <f>IF($D698="","","27_"&amp;IFERROR(INDEX(Objectius!$E$2:$E$183,MATCH($D698,Objectius!$A$2:$A$183,0)),"??")&amp;"_"&amp;TEXT(COUNTIF($I$6:$I698,$I698),"00"))</f>
        <v/>
      </c>
      <c r="B698" s="11" t="n"/>
      <c r="C698" s="11" t="n"/>
      <c r="D698" s="11" t="n"/>
      <c r="E698" s="10">
        <f>IF($D698="","",IFERROR(INDEX(Objectius!$C$2:$C$183,MATCH($D698,Objectius!$A$2:$A$183,0)),"Objectiu no trobat al Pla"))</f>
        <v/>
      </c>
      <c r="F698" s="11" t="n"/>
      <c r="G698" s="11" t="n"/>
      <c r="H698" s="11" t="n"/>
      <c r="I698" s="10">
        <f>IF($D698="","",IFERROR(INDEX(Objectius!$D$2:$D$183,MATCH($D698,Objectius!$A$2:$A$183,0)),""))</f>
        <v/>
      </c>
      <c r="J698" s="11" t="n"/>
      <c r="K698" s="11" t="n"/>
      <c r="L698" s="11" t="n"/>
      <c r="M698" s="12" t="n"/>
      <c r="N698" s="11" t="n"/>
      <c r="O698" s="10">
        <f>IF($N698="","",IFERROR(INDEX('PLA ESTRATÈGIC'!$G$4:$G$452,MATCH($N698,'PLA ESTRATÈGIC'!$Q$4:$Q$452,0)),""))</f>
        <v/>
      </c>
      <c r="P698" s="10">
        <f>IF($N698="","",IFERROR(INDEX('PLA ESTRATÈGIC'!$H$4:$H$452,MATCH($N698,'PLA ESTRATÈGIC'!$Q$4:$Q$452,0)),""))</f>
        <v/>
      </c>
      <c r="Q698" s="13" t="n"/>
      <c r="R698" s="11" t="n"/>
      <c r="S698" s="11" t="n"/>
      <c r="T698" s="11" t="n"/>
      <c r="U698" s="11" t="n"/>
      <c r="V698" s="10">
        <f>IF(COUNTA($C698,$D698,$J698,$M698)=0,"",IF(TRIM(IF($C698="","Falta l'actuació. ","")&amp;IF($D698="","Falta l'objectiu. ","")&amp;IF($J698="","Falta el tipus de despesa. ","")&amp;IF(AND($J698&lt;&gt;"",$J698&lt;&gt;"Mitjans propis",$J698&lt;&gt;"Altres",$M698=""),"Falta l'import. ","")&amp;IF(AND($J698="Contracte menor a càrrec del RAE",$K698=""),"Falta la partida RAE. ","")&amp;IF(AND($B698&lt;&gt;"",COUNTIF($B$6:$B$705,$B698)&gt;1),"Codi RAE repetit. ","")&amp;IF(AND($B698&lt;&gt;"",$J698&lt;&gt;"",$J698&lt;&gt;"Contracte menor a càrrec del RAE"),"Té codi RAE però no és de tipus RAE. ","")&amp;IF($N698="","Falta l'indicador del Pla. ","")&amp;IF($R698="","Falta el gestor. ","")&amp;IF($S698="","Falta indicar si és recurrent. ",""))="","✔",TRIM(IF($C698="","Falta l'actuació. ","")&amp;IF($D698="","Falta l'objectiu. ","")&amp;IF($J698="","Falta el tipus de despesa. ","")&amp;IF(AND($J698&lt;&gt;"",$J698&lt;&gt;"Mitjans propis",$J698&lt;&gt;"Altres",$M698=""),"Falta l'import. ","")&amp;IF(AND($J698="Contracte menor a càrrec del RAE",$K698=""),"Falta la partida RAE. ","")&amp;IF(AND($B698&lt;&gt;"",COUNTIF($B$6:$B$705,$B698)&gt;1),"Codi RAE repetit. ","")&amp;IF(AND($B698&lt;&gt;"",$J698&lt;&gt;"",$J698&lt;&gt;"Contracte menor a càrrec del RAE"),"Té codi RAE però no és de tipus RAE. ","")&amp;IF($N698="","Falta l'indicador del Pla. ","")&amp;IF($R698="","Falta el gestor. ","")&amp;IF($S698="","Falta indicar si és recurrent. ",""))))</f>
        <v/>
      </c>
    </row>
    <row r="699">
      <c r="A699" s="10">
        <f>IF($D699="","","27_"&amp;IFERROR(INDEX(Objectius!$E$2:$E$183,MATCH($D699,Objectius!$A$2:$A$183,0)),"??")&amp;"_"&amp;TEXT(COUNTIF($I$6:$I699,$I699),"00"))</f>
        <v/>
      </c>
      <c r="B699" s="11" t="n"/>
      <c r="C699" s="11" t="n"/>
      <c r="D699" s="11" t="n"/>
      <c r="E699" s="10">
        <f>IF($D699="","",IFERROR(INDEX(Objectius!$C$2:$C$183,MATCH($D699,Objectius!$A$2:$A$183,0)),"Objectiu no trobat al Pla"))</f>
        <v/>
      </c>
      <c r="F699" s="11" t="n"/>
      <c r="G699" s="11" t="n"/>
      <c r="H699" s="11" t="n"/>
      <c r="I699" s="10">
        <f>IF($D699="","",IFERROR(INDEX(Objectius!$D$2:$D$183,MATCH($D699,Objectius!$A$2:$A$183,0)),""))</f>
        <v/>
      </c>
      <c r="J699" s="11" t="n"/>
      <c r="K699" s="11" t="n"/>
      <c r="L699" s="11" t="n"/>
      <c r="M699" s="12" t="n"/>
      <c r="N699" s="11" t="n"/>
      <c r="O699" s="10">
        <f>IF($N699="","",IFERROR(INDEX('PLA ESTRATÈGIC'!$G$4:$G$452,MATCH($N699,'PLA ESTRATÈGIC'!$Q$4:$Q$452,0)),""))</f>
        <v/>
      </c>
      <c r="P699" s="10">
        <f>IF($N699="","",IFERROR(INDEX('PLA ESTRATÈGIC'!$H$4:$H$452,MATCH($N699,'PLA ESTRATÈGIC'!$Q$4:$Q$452,0)),""))</f>
        <v/>
      </c>
      <c r="Q699" s="13" t="n"/>
      <c r="R699" s="11" t="n"/>
      <c r="S699" s="11" t="n"/>
      <c r="T699" s="11" t="n"/>
      <c r="U699" s="11" t="n"/>
      <c r="V699" s="10">
        <f>IF(COUNTA($C699,$D699,$J699,$M699)=0,"",IF(TRIM(IF($C699="","Falta l'actuació. ","")&amp;IF($D699="","Falta l'objectiu. ","")&amp;IF($J699="","Falta el tipus de despesa. ","")&amp;IF(AND($J699&lt;&gt;"",$J699&lt;&gt;"Mitjans propis",$J699&lt;&gt;"Altres",$M699=""),"Falta l'import. ","")&amp;IF(AND($J699="Contracte menor a càrrec del RAE",$K699=""),"Falta la partida RAE. ","")&amp;IF(AND($B699&lt;&gt;"",COUNTIF($B$6:$B$705,$B699)&gt;1),"Codi RAE repetit. ","")&amp;IF(AND($B699&lt;&gt;"",$J699&lt;&gt;"",$J699&lt;&gt;"Contracte menor a càrrec del RAE"),"Té codi RAE però no és de tipus RAE. ","")&amp;IF($N699="","Falta l'indicador del Pla. ","")&amp;IF($R699="","Falta el gestor. ","")&amp;IF($S699="","Falta indicar si és recurrent. ",""))="","✔",TRIM(IF($C699="","Falta l'actuació. ","")&amp;IF($D699="","Falta l'objectiu. ","")&amp;IF($J699="","Falta el tipus de despesa. ","")&amp;IF(AND($J699&lt;&gt;"",$J699&lt;&gt;"Mitjans propis",$J699&lt;&gt;"Altres",$M699=""),"Falta l'import. ","")&amp;IF(AND($J699="Contracte menor a càrrec del RAE",$K699=""),"Falta la partida RAE. ","")&amp;IF(AND($B699&lt;&gt;"",COUNTIF($B$6:$B$705,$B699)&gt;1),"Codi RAE repetit. ","")&amp;IF(AND($B699&lt;&gt;"",$J699&lt;&gt;"",$J699&lt;&gt;"Contracte menor a càrrec del RAE"),"Té codi RAE però no és de tipus RAE. ","")&amp;IF($N699="","Falta l'indicador del Pla. ","")&amp;IF($R699="","Falta el gestor. ","")&amp;IF($S699="","Falta indicar si és recurrent. ",""))))</f>
        <v/>
      </c>
    </row>
    <row r="700">
      <c r="A700" s="10">
        <f>IF($D700="","","27_"&amp;IFERROR(INDEX(Objectius!$E$2:$E$183,MATCH($D700,Objectius!$A$2:$A$183,0)),"??")&amp;"_"&amp;TEXT(COUNTIF($I$6:$I700,$I700),"00"))</f>
        <v/>
      </c>
      <c r="B700" s="11" t="n"/>
      <c r="C700" s="11" t="n"/>
      <c r="D700" s="11" t="n"/>
      <c r="E700" s="10">
        <f>IF($D700="","",IFERROR(INDEX(Objectius!$C$2:$C$183,MATCH($D700,Objectius!$A$2:$A$183,0)),"Objectiu no trobat al Pla"))</f>
        <v/>
      </c>
      <c r="F700" s="11" t="n"/>
      <c r="G700" s="11" t="n"/>
      <c r="H700" s="11" t="n"/>
      <c r="I700" s="10">
        <f>IF($D700="","",IFERROR(INDEX(Objectius!$D$2:$D$183,MATCH($D700,Objectius!$A$2:$A$183,0)),""))</f>
        <v/>
      </c>
      <c r="J700" s="11" t="n"/>
      <c r="K700" s="11" t="n"/>
      <c r="L700" s="11" t="n"/>
      <c r="M700" s="12" t="n"/>
      <c r="N700" s="11" t="n"/>
      <c r="O700" s="10">
        <f>IF($N700="","",IFERROR(INDEX('PLA ESTRATÈGIC'!$G$4:$G$452,MATCH($N700,'PLA ESTRATÈGIC'!$Q$4:$Q$452,0)),""))</f>
        <v/>
      </c>
      <c r="P700" s="10">
        <f>IF($N700="","",IFERROR(INDEX('PLA ESTRATÈGIC'!$H$4:$H$452,MATCH($N700,'PLA ESTRATÈGIC'!$Q$4:$Q$452,0)),""))</f>
        <v/>
      </c>
      <c r="Q700" s="13" t="n"/>
      <c r="R700" s="11" t="n"/>
      <c r="S700" s="11" t="n"/>
      <c r="T700" s="11" t="n"/>
      <c r="U700" s="11" t="n"/>
      <c r="V700" s="10">
        <f>IF(COUNTA($C700,$D700,$J700,$M700)=0,"",IF(TRIM(IF($C700="","Falta l'actuació. ","")&amp;IF($D700="","Falta l'objectiu. ","")&amp;IF($J700="","Falta el tipus de despesa. ","")&amp;IF(AND($J700&lt;&gt;"",$J700&lt;&gt;"Mitjans propis",$J700&lt;&gt;"Altres",$M700=""),"Falta l'import. ","")&amp;IF(AND($J700="Contracte menor a càrrec del RAE",$K700=""),"Falta la partida RAE. ","")&amp;IF(AND($B700&lt;&gt;"",COUNTIF($B$6:$B$705,$B700)&gt;1),"Codi RAE repetit. ","")&amp;IF(AND($B700&lt;&gt;"",$J700&lt;&gt;"",$J700&lt;&gt;"Contracte menor a càrrec del RAE"),"Té codi RAE però no és de tipus RAE. ","")&amp;IF($N700="","Falta l'indicador del Pla. ","")&amp;IF($R700="","Falta el gestor. ","")&amp;IF($S700="","Falta indicar si és recurrent. ",""))="","✔",TRIM(IF($C700="","Falta l'actuació. ","")&amp;IF($D700="","Falta l'objectiu. ","")&amp;IF($J700="","Falta el tipus de despesa. ","")&amp;IF(AND($J700&lt;&gt;"",$J700&lt;&gt;"Mitjans propis",$J700&lt;&gt;"Altres",$M700=""),"Falta l'import. ","")&amp;IF(AND($J700="Contracte menor a càrrec del RAE",$K700=""),"Falta la partida RAE. ","")&amp;IF(AND($B700&lt;&gt;"",COUNTIF($B$6:$B$705,$B700)&gt;1),"Codi RAE repetit. ","")&amp;IF(AND($B700&lt;&gt;"",$J700&lt;&gt;"",$J700&lt;&gt;"Contracte menor a càrrec del RAE"),"Té codi RAE però no és de tipus RAE. ","")&amp;IF($N700="","Falta l'indicador del Pla. ","")&amp;IF($R700="","Falta el gestor. ","")&amp;IF($S700="","Falta indicar si és recurrent. ",""))))</f>
        <v/>
      </c>
    </row>
    <row r="701">
      <c r="A701" s="10">
        <f>IF($D701="","","27_"&amp;IFERROR(INDEX(Objectius!$E$2:$E$183,MATCH($D701,Objectius!$A$2:$A$183,0)),"??")&amp;"_"&amp;TEXT(COUNTIF($I$6:$I701,$I701),"00"))</f>
        <v/>
      </c>
      <c r="B701" s="11" t="n"/>
      <c r="C701" s="11" t="n"/>
      <c r="D701" s="11" t="n"/>
      <c r="E701" s="10">
        <f>IF($D701="","",IFERROR(INDEX(Objectius!$C$2:$C$183,MATCH($D701,Objectius!$A$2:$A$183,0)),"Objectiu no trobat al Pla"))</f>
        <v/>
      </c>
      <c r="F701" s="11" t="n"/>
      <c r="G701" s="11" t="n"/>
      <c r="H701" s="11" t="n"/>
      <c r="I701" s="10">
        <f>IF($D701="","",IFERROR(INDEX(Objectius!$D$2:$D$183,MATCH($D701,Objectius!$A$2:$A$183,0)),""))</f>
        <v/>
      </c>
      <c r="J701" s="11" t="n"/>
      <c r="K701" s="11" t="n"/>
      <c r="L701" s="11" t="n"/>
      <c r="M701" s="12" t="n"/>
      <c r="N701" s="11" t="n"/>
      <c r="O701" s="10">
        <f>IF($N701="","",IFERROR(INDEX('PLA ESTRATÈGIC'!$G$4:$G$452,MATCH($N701,'PLA ESTRATÈGIC'!$Q$4:$Q$452,0)),""))</f>
        <v/>
      </c>
      <c r="P701" s="10">
        <f>IF($N701="","",IFERROR(INDEX('PLA ESTRATÈGIC'!$H$4:$H$452,MATCH($N701,'PLA ESTRATÈGIC'!$Q$4:$Q$452,0)),""))</f>
        <v/>
      </c>
      <c r="Q701" s="13" t="n"/>
      <c r="R701" s="11" t="n"/>
      <c r="S701" s="11" t="n"/>
      <c r="T701" s="11" t="n"/>
      <c r="U701" s="11" t="n"/>
      <c r="V701" s="10">
        <f>IF(COUNTA($C701,$D701,$J701,$M701)=0,"",IF(TRIM(IF($C701="","Falta l'actuació. ","")&amp;IF($D701="","Falta l'objectiu. ","")&amp;IF($J701="","Falta el tipus de despesa. ","")&amp;IF(AND($J701&lt;&gt;"",$J701&lt;&gt;"Mitjans propis",$J701&lt;&gt;"Altres",$M701=""),"Falta l'import. ","")&amp;IF(AND($J701="Contracte menor a càrrec del RAE",$K701=""),"Falta la partida RAE. ","")&amp;IF(AND($B701&lt;&gt;"",COUNTIF($B$6:$B$705,$B701)&gt;1),"Codi RAE repetit. ","")&amp;IF(AND($B701&lt;&gt;"",$J701&lt;&gt;"",$J701&lt;&gt;"Contracte menor a càrrec del RAE"),"Té codi RAE però no és de tipus RAE. ","")&amp;IF($N701="","Falta l'indicador del Pla. ","")&amp;IF($R701="","Falta el gestor. ","")&amp;IF($S701="","Falta indicar si és recurrent. ",""))="","✔",TRIM(IF($C701="","Falta l'actuació. ","")&amp;IF($D701="","Falta l'objectiu. ","")&amp;IF($J701="","Falta el tipus de despesa. ","")&amp;IF(AND($J701&lt;&gt;"",$J701&lt;&gt;"Mitjans propis",$J701&lt;&gt;"Altres",$M701=""),"Falta l'import. ","")&amp;IF(AND($J701="Contracte menor a càrrec del RAE",$K701=""),"Falta la partida RAE. ","")&amp;IF(AND($B701&lt;&gt;"",COUNTIF($B$6:$B$705,$B701)&gt;1),"Codi RAE repetit. ","")&amp;IF(AND($B701&lt;&gt;"",$J701&lt;&gt;"",$J701&lt;&gt;"Contracte menor a càrrec del RAE"),"Té codi RAE però no és de tipus RAE. ","")&amp;IF($N701="","Falta l'indicador del Pla. ","")&amp;IF($R701="","Falta el gestor. ","")&amp;IF($S701="","Falta indicar si és recurrent. ",""))))</f>
        <v/>
      </c>
    </row>
    <row r="702">
      <c r="A702" s="10">
        <f>IF($D702="","","27_"&amp;IFERROR(INDEX(Objectius!$E$2:$E$183,MATCH($D702,Objectius!$A$2:$A$183,0)),"??")&amp;"_"&amp;TEXT(COUNTIF($I$6:$I702,$I702),"00"))</f>
        <v/>
      </c>
      <c r="B702" s="11" t="n"/>
      <c r="C702" s="11" t="n"/>
      <c r="D702" s="11" t="n"/>
      <c r="E702" s="10">
        <f>IF($D702="","",IFERROR(INDEX(Objectius!$C$2:$C$183,MATCH($D702,Objectius!$A$2:$A$183,0)),"Objectiu no trobat al Pla"))</f>
        <v/>
      </c>
      <c r="F702" s="11" t="n"/>
      <c r="G702" s="11" t="n"/>
      <c r="H702" s="11" t="n"/>
      <c r="I702" s="10">
        <f>IF($D702="","",IFERROR(INDEX(Objectius!$D$2:$D$183,MATCH($D702,Objectius!$A$2:$A$183,0)),""))</f>
        <v/>
      </c>
      <c r="J702" s="11" t="n"/>
      <c r="K702" s="11" t="n"/>
      <c r="L702" s="11" t="n"/>
      <c r="M702" s="12" t="n"/>
      <c r="N702" s="11" t="n"/>
      <c r="O702" s="10">
        <f>IF($N702="","",IFERROR(INDEX('PLA ESTRATÈGIC'!$G$4:$G$452,MATCH($N702,'PLA ESTRATÈGIC'!$Q$4:$Q$452,0)),""))</f>
        <v/>
      </c>
      <c r="P702" s="10">
        <f>IF($N702="","",IFERROR(INDEX('PLA ESTRATÈGIC'!$H$4:$H$452,MATCH($N702,'PLA ESTRATÈGIC'!$Q$4:$Q$452,0)),""))</f>
        <v/>
      </c>
      <c r="Q702" s="13" t="n"/>
      <c r="R702" s="11" t="n"/>
      <c r="S702" s="11" t="n"/>
      <c r="T702" s="11" t="n"/>
      <c r="U702" s="11" t="n"/>
      <c r="V702" s="10">
        <f>IF(COUNTA($C702,$D702,$J702,$M702)=0,"",IF(TRIM(IF($C702="","Falta l'actuació. ","")&amp;IF($D702="","Falta l'objectiu. ","")&amp;IF($J702="","Falta el tipus de despesa. ","")&amp;IF(AND($J702&lt;&gt;"",$J702&lt;&gt;"Mitjans propis",$J702&lt;&gt;"Altres",$M702=""),"Falta l'import. ","")&amp;IF(AND($J702="Contracte menor a càrrec del RAE",$K702=""),"Falta la partida RAE. ","")&amp;IF(AND($B702&lt;&gt;"",COUNTIF($B$6:$B$705,$B702)&gt;1),"Codi RAE repetit. ","")&amp;IF(AND($B702&lt;&gt;"",$J702&lt;&gt;"",$J702&lt;&gt;"Contracte menor a càrrec del RAE"),"Té codi RAE però no és de tipus RAE. ","")&amp;IF($N702="","Falta l'indicador del Pla. ","")&amp;IF($R702="","Falta el gestor. ","")&amp;IF($S702="","Falta indicar si és recurrent. ",""))="","✔",TRIM(IF($C702="","Falta l'actuació. ","")&amp;IF($D702="","Falta l'objectiu. ","")&amp;IF($J702="","Falta el tipus de despesa. ","")&amp;IF(AND($J702&lt;&gt;"",$J702&lt;&gt;"Mitjans propis",$J702&lt;&gt;"Altres",$M702=""),"Falta l'import. ","")&amp;IF(AND($J702="Contracte menor a càrrec del RAE",$K702=""),"Falta la partida RAE. ","")&amp;IF(AND($B702&lt;&gt;"",COUNTIF($B$6:$B$705,$B702)&gt;1),"Codi RAE repetit. ","")&amp;IF(AND($B702&lt;&gt;"",$J702&lt;&gt;"",$J702&lt;&gt;"Contracte menor a càrrec del RAE"),"Té codi RAE però no és de tipus RAE. ","")&amp;IF($N702="","Falta l'indicador del Pla. ","")&amp;IF($R702="","Falta el gestor. ","")&amp;IF($S702="","Falta indicar si és recurrent. ",""))))</f>
        <v/>
      </c>
    </row>
    <row r="703">
      <c r="A703" s="10">
        <f>IF($D703="","","27_"&amp;IFERROR(INDEX(Objectius!$E$2:$E$183,MATCH($D703,Objectius!$A$2:$A$183,0)),"??")&amp;"_"&amp;TEXT(COUNTIF($I$6:$I703,$I703),"00"))</f>
        <v/>
      </c>
      <c r="B703" s="11" t="n"/>
      <c r="C703" s="11" t="n"/>
      <c r="D703" s="11" t="n"/>
      <c r="E703" s="10">
        <f>IF($D703="","",IFERROR(INDEX(Objectius!$C$2:$C$183,MATCH($D703,Objectius!$A$2:$A$183,0)),"Objectiu no trobat al Pla"))</f>
        <v/>
      </c>
      <c r="F703" s="11" t="n"/>
      <c r="G703" s="11" t="n"/>
      <c r="H703" s="11" t="n"/>
      <c r="I703" s="10">
        <f>IF($D703="","",IFERROR(INDEX(Objectius!$D$2:$D$183,MATCH($D703,Objectius!$A$2:$A$183,0)),""))</f>
        <v/>
      </c>
      <c r="J703" s="11" t="n"/>
      <c r="K703" s="11" t="n"/>
      <c r="L703" s="11" t="n"/>
      <c r="M703" s="12" t="n"/>
      <c r="N703" s="11" t="n"/>
      <c r="O703" s="10">
        <f>IF($N703="","",IFERROR(INDEX('PLA ESTRATÈGIC'!$G$4:$G$452,MATCH($N703,'PLA ESTRATÈGIC'!$Q$4:$Q$452,0)),""))</f>
        <v/>
      </c>
      <c r="P703" s="10">
        <f>IF($N703="","",IFERROR(INDEX('PLA ESTRATÈGIC'!$H$4:$H$452,MATCH($N703,'PLA ESTRATÈGIC'!$Q$4:$Q$452,0)),""))</f>
        <v/>
      </c>
      <c r="Q703" s="13" t="n"/>
      <c r="R703" s="11" t="n"/>
      <c r="S703" s="11" t="n"/>
      <c r="T703" s="11" t="n"/>
      <c r="U703" s="11" t="n"/>
      <c r="V703" s="10">
        <f>IF(COUNTA($C703,$D703,$J703,$M703)=0,"",IF(TRIM(IF($C703="","Falta l'actuació. ","")&amp;IF($D703="","Falta l'objectiu. ","")&amp;IF($J703="","Falta el tipus de despesa. ","")&amp;IF(AND($J703&lt;&gt;"",$J703&lt;&gt;"Mitjans propis",$J703&lt;&gt;"Altres",$M703=""),"Falta l'import. ","")&amp;IF(AND($J703="Contracte menor a càrrec del RAE",$K703=""),"Falta la partida RAE. ","")&amp;IF(AND($B703&lt;&gt;"",COUNTIF($B$6:$B$705,$B703)&gt;1),"Codi RAE repetit. ","")&amp;IF(AND($B703&lt;&gt;"",$J703&lt;&gt;"",$J703&lt;&gt;"Contracte menor a càrrec del RAE"),"Té codi RAE però no és de tipus RAE. ","")&amp;IF($N703="","Falta l'indicador del Pla. ","")&amp;IF($R703="","Falta el gestor. ","")&amp;IF($S703="","Falta indicar si és recurrent. ",""))="","✔",TRIM(IF($C703="","Falta l'actuació. ","")&amp;IF($D703="","Falta l'objectiu. ","")&amp;IF($J703="","Falta el tipus de despesa. ","")&amp;IF(AND($J703&lt;&gt;"",$J703&lt;&gt;"Mitjans propis",$J703&lt;&gt;"Altres",$M703=""),"Falta l'import. ","")&amp;IF(AND($J703="Contracte menor a càrrec del RAE",$K703=""),"Falta la partida RAE. ","")&amp;IF(AND($B703&lt;&gt;"",COUNTIF($B$6:$B$705,$B703)&gt;1),"Codi RAE repetit. ","")&amp;IF(AND($B703&lt;&gt;"",$J703&lt;&gt;"",$J703&lt;&gt;"Contracte menor a càrrec del RAE"),"Té codi RAE però no és de tipus RAE. ","")&amp;IF($N703="","Falta l'indicador del Pla. ","")&amp;IF($R703="","Falta el gestor. ","")&amp;IF($S703="","Falta indicar si és recurrent. ",""))))</f>
        <v/>
      </c>
    </row>
    <row r="704">
      <c r="A704" s="10">
        <f>IF($D704="","","27_"&amp;IFERROR(INDEX(Objectius!$E$2:$E$183,MATCH($D704,Objectius!$A$2:$A$183,0)),"??")&amp;"_"&amp;TEXT(COUNTIF($I$6:$I704,$I704),"00"))</f>
        <v/>
      </c>
      <c r="B704" s="11" t="n"/>
      <c r="C704" s="11" t="n"/>
      <c r="D704" s="11" t="n"/>
      <c r="E704" s="10">
        <f>IF($D704="","",IFERROR(INDEX(Objectius!$C$2:$C$183,MATCH($D704,Objectius!$A$2:$A$183,0)),"Objectiu no trobat al Pla"))</f>
        <v/>
      </c>
      <c r="F704" s="11" t="n"/>
      <c r="G704" s="11" t="n"/>
      <c r="H704" s="11" t="n"/>
      <c r="I704" s="10">
        <f>IF($D704="","",IFERROR(INDEX(Objectius!$D$2:$D$183,MATCH($D704,Objectius!$A$2:$A$183,0)),""))</f>
        <v/>
      </c>
      <c r="J704" s="11" t="n"/>
      <c r="K704" s="11" t="n"/>
      <c r="L704" s="11" t="n"/>
      <c r="M704" s="12" t="n"/>
      <c r="N704" s="11" t="n"/>
      <c r="O704" s="10">
        <f>IF($N704="","",IFERROR(INDEX('PLA ESTRATÈGIC'!$G$4:$G$452,MATCH($N704,'PLA ESTRATÈGIC'!$Q$4:$Q$452,0)),""))</f>
        <v/>
      </c>
      <c r="P704" s="10">
        <f>IF($N704="","",IFERROR(INDEX('PLA ESTRATÈGIC'!$H$4:$H$452,MATCH($N704,'PLA ESTRATÈGIC'!$Q$4:$Q$452,0)),""))</f>
        <v/>
      </c>
      <c r="Q704" s="13" t="n"/>
      <c r="R704" s="11" t="n"/>
      <c r="S704" s="11" t="n"/>
      <c r="T704" s="11" t="n"/>
      <c r="U704" s="11" t="n"/>
      <c r="V704" s="10">
        <f>IF(COUNTA($C704,$D704,$J704,$M704)=0,"",IF(TRIM(IF($C704="","Falta l'actuació. ","")&amp;IF($D704="","Falta l'objectiu. ","")&amp;IF($J704="","Falta el tipus de despesa. ","")&amp;IF(AND($J704&lt;&gt;"",$J704&lt;&gt;"Mitjans propis",$J704&lt;&gt;"Altres",$M704=""),"Falta l'import. ","")&amp;IF(AND($J704="Contracte menor a càrrec del RAE",$K704=""),"Falta la partida RAE. ","")&amp;IF(AND($B704&lt;&gt;"",COUNTIF($B$6:$B$705,$B704)&gt;1),"Codi RAE repetit. ","")&amp;IF(AND($B704&lt;&gt;"",$J704&lt;&gt;"",$J704&lt;&gt;"Contracte menor a càrrec del RAE"),"Té codi RAE però no és de tipus RAE. ","")&amp;IF($N704="","Falta l'indicador del Pla. ","")&amp;IF($R704="","Falta el gestor. ","")&amp;IF($S704="","Falta indicar si és recurrent. ",""))="","✔",TRIM(IF($C704="","Falta l'actuació. ","")&amp;IF($D704="","Falta l'objectiu. ","")&amp;IF($J704="","Falta el tipus de despesa. ","")&amp;IF(AND($J704&lt;&gt;"",$J704&lt;&gt;"Mitjans propis",$J704&lt;&gt;"Altres",$M704=""),"Falta l'import. ","")&amp;IF(AND($J704="Contracte menor a càrrec del RAE",$K704=""),"Falta la partida RAE. ","")&amp;IF(AND($B704&lt;&gt;"",COUNTIF($B$6:$B$705,$B704)&gt;1),"Codi RAE repetit. ","")&amp;IF(AND($B704&lt;&gt;"",$J704&lt;&gt;"",$J704&lt;&gt;"Contracte menor a càrrec del RAE"),"Té codi RAE però no és de tipus RAE. ","")&amp;IF($N704="","Falta l'indicador del Pla. ","")&amp;IF($R704="","Falta el gestor. ","")&amp;IF($S704="","Falta indicar si és recurrent. ",""))))</f>
        <v/>
      </c>
    </row>
    <row r="705">
      <c r="A705" s="10">
        <f>IF($D705="","","27_"&amp;IFERROR(INDEX(Objectius!$E$2:$E$183,MATCH($D705,Objectius!$A$2:$A$183,0)),"??")&amp;"_"&amp;TEXT(COUNTIF($I$6:$I705,$I705),"00"))</f>
        <v/>
      </c>
      <c r="B705" s="11" t="n"/>
      <c r="C705" s="11" t="n"/>
      <c r="D705" s="11" t="n"/>
      <c r="E705" s="10">
        <f>IF($D705="","",IFERROR(INDEX(Objectius!$C$2:$C$183,MATCH($D705,Objectius!$A$2:$A$183,0)),"Objectiu no trobat al Pla"))</f>
        <v/>
      </c>
      <c r="F705" s="11" t="n"/>
      <c r="G705" s="11" t="n"/>
      <c r="H705" s="11" t="n"/>
      <c r="I705" s="10">
        <f>IF($D705="","",IFERROR(INDEX(Objectius!$D$2:$D$183,MATCH($D705,Objectius!$A$2:$A$183,0)),""))</f>
        <v/>
      </c>
      <c r="J705" s="11" t="n"/>
      <c r="K705" s="11" t="n"/>
      <c r="L705" s="11" t="n"/>
      <c r="M705" s="12" t="n"/>
      <c r="N705" s="11" t="n"/>
      <c r="O705" s="10">
        <f>IF($N705="","",IFERROR(INDEX('PLA ESTRATÈGIC'!$G$4:$G$452,MATCH($N705,'PLA ESTRATÈGIC'!$Q$4:$Q$452,0)),""))</f>
        <v/>
      </c>
      <c r="P705" s="10">
        <f>IF($N705="","",IFERROR(INDEX('PLA ESTRATÈGIC'!$H$4:$H$452,MATCH($N705,'PLA ESTRATÈGIC'!$Q$4:$Q$452,0)),""))</f>
        <v/>
      </c>
      <c r="Q705" s="13" t="n"/>
      <c r="R705" s="11" t="n"/>
      <c r="S705" s="11" t="n"/>
      <c r="T705" s="11" t="n"/>
      <c r="U705" s="11" t="n"/>
      <c r="V705" s="10">
        <f>IF(COUNTA($C705,$D705,$J705,$M705)=0,"",IF(TRIM(IF($C705="","Falta l'actuació. ","")&amp;IF($D705="","Falta l'objectiu. ","")&amp;IF($J705="","Falta el tipus de despesa. ","")&amp;IF(AND($J705&lt;&gt;"",$J705&lt;&gt;"Mitjans propis",$J705&lt;&gt;"Altres",$M705=""),"Falta l'import. ","")&amp;IF(AND($J705="Contracte menor a càrrec del RAE",$K705=""),"Falta la partida RAE. ","")&amp;IF(AND($B705&lt;&gt;"",COUNTIF($B$6:$B$705,$B705)&gt;1),"Codi RAE repetit. ","")&amp;IF(AND($B705&lt;&gt;"",$J705&lt;&gt;"",$J705&lt;&gt;"Contracte menor a càrrec del RAE"),"Té codi RAE però no és de tipus RAE. ","")&amp;IF($N705="","Falta l'indicador del Pla. ","")&amp;IF($R705="","Falta el gestor. ","")&amp;IF($S705="","Falta indicar si és recurrent. ",""))="","✔",TRIM(IF($C705="","Falta l'actuació. ","")&amp;IF($D705="","Falta l'objectiu. ","")&amp;IF($J705="","Falta el tipus de despesa. ","")&amp;IF(AND($J705&lt;&gt;"",$J705&lt;&gt;"Mitjans propis",$J705&lt;&gt;"Altres",$M705=""),"Falta l'import. ","")&amp;IF(AND($J705="Contracte menor a càrrec del RAE",$K705=""),"Falta la partida RAE. ","")&amp;IF(AND($B705&lt;&gt;"",COUNTIF($B$6:$B$705,$B705)&gt;1),"Codi RAE repetit. ","")&amp;IF(AND($B705&lt;&gt;"",$J705&lt;&gt;"",$J705&lt;&gt;"Contracte menor a càrrec del RAE"),"Té codi RAE però no és de tipus RAE. ","")&amp;IF($N705="","Falta l'indicador del Pla. ","")&amp;IF($R705="","Falta el gestor. ","")&amp;IF($S705="","Falta indicar si és recurrent. ",""))))</f>
        <v/>
      </c>
    </row>
  </sheetData>
  <conditionalFormatting sqref="V6:V705">
    <cfRule type="expression" priority="1" dxfId="0">
      <formula>AND($V6&lt;&gt;"",$V6&lt;&gt;"✔")</formula>
    </cfRule>
    <cfRule type="expression" priority="2" dxfId="1">
      <formula>$V6="✔"</formula>
    </cfRule>
  </conditionalFormatting>
  <dataValidations count="13">
    <dataValidation sqref="D6:D705" showDropDown="0" showInputMessage="0" showErrorMessage="1" allowBlank="1" errorTitle="Valor no admès" error="Valor no admès. Trieu un valor de la llista." type="list">
      <formula1>=Objectius!$A$2:$A$183</formula1>
    </dataValidation>
    <dataValidation sqref="F6:F705" showDropDown="0" showInputMessage="0" showErrorMessage="1" allowBlank="1" errorTitle="Valor no admès" error="Valor no admès. Trieu un valor de la llista." type="list">
      <formula1>=Objectius!$A$2:$A$183</formula1>
    </dataValidation>
    <dataValidation sqref="G6:G705" showDropDown="0" showInputMessage="0" showErrorMessage="1" allowBlank="1" errorTitle="Valor no admès" error="Valor no admès. Trieu un valor de la llista." type="list">
      <formula1>=Objectius!$A$2:$A$183</formula1>
    </dataValidation>
    <dataValidation sqref="H6:H705" showDropDown="0" showInputMessage="0" showErrorMessage="1" allowBlank="1" errorTitle="Valor no admès" error="Valor no admès. Trieu un valor de la llista." type="list">
      <formula1>=Objectius!$A$2:$A$183</formula1>
    </dataValidation>
    <dataValidation sqref="J6:J705" showDropDown="0" showInputMessage="0" showErrorMessage="1" allowBlank="1" errorTitle="Valor no admès" error="Valor no admès. Trieu un valor de la llista." type="list">
      <formula1>=Llistes!$A$2:$A$16</formula1>
    </dataValidation>
    <dataValidation sqref="K6:K705" showDropDown="0" showInputMessage="0" showErrorMessage="1" allowBlank="1" errorTitle="Valor no admès" error="Valor no admès. Trieu un valor de la llista." type="list">
      <formula1>=Llistes!$E$2:$E$40</formula1>
    </dataValidation>
    <dataValidation sqref="L6:L705" showDropDown="0" showInputMessage="0" showErrorMessage="1" allowBlank="1" errorTitle="Valor no admès" error="Valor no admès. Trieu un valor de la llista." type="list">
      <formula1>=Llistes!$B$2:$B$19</formula1>
    </dataValidation>
    <dataValidation sqref="M6:M705" showDropDown="0" showInputMessage="0" showErrorMessage="1" allowBlank="1" errorTitle="Import no vàlid" error="L'import ha de ser un número igual o superior a 0." type="decimal" operator="greaterThanOrEqual">
      <formula1>0</formula1>
    </dataValidation>
    <dataValidation sqref="N6:N705" showDropDown="0" showInputMessage="0" showErrorMessage="1" allowBlank="1" errorTitle="Acció no vàlida" error="Trieu una acció del Pla estratègic per a l'objectiu seleccionat." type="list">
      <formula1>=OFFSET('PLA ESTRATÈGIC'!$Q$1,MATCH($D6,'PLA ESTRATÈGIC'!$B:$B,0)-1,0,COUNTIF('PLA ESTRATÈGIC'!$B:$B,$D6),1)</formula1>
    </dataValidation>
    <dataValidation sqref="Q6:Q705" showDropDown="0" showInputMessage="0" showErrorMessage="1" allowBlank="1" errorTitle="Percentatge no vàlid" error="Poseu un percentatge entre 0% i 100%." type="decimal" operator="between">
      <formula1>0</formula1>
      <formula2>1</formula2>
    </dataValidation>
    <dataValidation sqref="R6:R705" showDropDown="0" showInputMessage="0" showErrorMessage="1" allowBlank="1" errorTitle="Gestor nou" error="Aquest nom no és a la llista de gestors. Voleu continuar igualment?" type="list" errorStyle="warning">
      <formula1>=Gestors!$A$2:$A$13</formula1>
    </dataValidation>
    <dataValidation sqref="S6:S705" showDropDown="0" showInputMessage="0" showErrorMessage="1" allowBlank="1" errorTitle="Valor no admès" error="Valor no admès. Trieu un valor de la llista." type="list">
      <formula1>=Llistes!$G$2:$G$3</formula1>
    </dataValidation>
    <dataValidation sqref="T6:T705" showDropDown="0" showInputMessage="0" showErrorMessage="1" allowBlank="1" errorTitle="Valor no admès" error="Valor no admès. Trieu un valor de la llista." type="list">
      <formula1>=Llistes!$F$2:$F$4</formula1>
    </dataValidation>
  </dataValidations>
  <pageMargins left="0.75" right="0.75" top="1" bottom="1" header="0.5" footer="0.5"/>
</worksheet>
</file>

<file path=xl/worksheets/sheet3.xml><?xml version="1.0" encoding="utf-8"?>
<worksheet xmlns="http://schemas.openxmlformats.org/spreadsheetml/2006/main">
  <sheetPr>
    <tabColor rgb="005C6BC0"/>
    <outlinePr summaryBelow="1" summaryRight="1"/>
    <pageSetUpPr/>
  </sheetPr>
  <dimension ref="A1:Q45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45" customWidth="1" min="3" max="3"/>
    <col width="45" customWidth="1" min="4" max="4"/>
    <col width="60" customWidth="1" min="5" max="5"/>
    <col width="40" customWidth="1" min="6" max="6"/>
    <col width="10" customWidth="1" min="7" max="7"/>
    <col width="10" customWidth="1" min="8" max="8"/>
    <col width="11" customWidth="1" min="9" max="9"/>
    <col width="18" customWidth="1" min="10" max="10"/>
    <col width="18" customWidth="1" min="11" max="11"/>
    <col width="40" customWidth="1" min="12" max="12"/>
    <col width="40" customWidth="1" min="13" max="13"/>
    <col width="12" customWidth="1" min="14" max="14"/>
    <col width="12" customWidth="1" min="15" max="15"/>
    <col width="14" customWidth="1" min="16" max="16"/>
    <col width="70" customWidth="1" min="17" max="17"/>
  </cols>
  <sheetData>
    <row r="1">
      <c r="A1" s="14" t="inlineStr">
        <is>
          <t>PLA ESTRATÈGIC — Parc Natural de l'Alt Pirineu (només consulta: no modificar)</t>
        </is>
      </c>
    </row>
    <row r="3" ht="48" customHeight="1">
      <c r="A3" s="9" t="inlineStr">
        <is>
          <t>Eix</t>
        </is>
      </c>
      <c r="B3" s="9" t="inlineStr">
        <is>
          <t>Codi objectiu operatiu</t>
        </is>
      </c>
      <c r="C3" s="9" t="inlineStr">
        <is>
          <t>Objectiu operatiu (estàndard)</t>
        </is>
      </c>
      <c r="D3" s="9" t="inlineStr">
        <is>
          <t>Objectiu concret a l'espai</t>
        </is>
      </c>
      <c r="E3" s="9" t="inlineStr">
        <is>
          <t>Acció del Pla</t>
        </is>
      </c>
      <c r="F3" s="9" t="inlineStr">
        <is>
          <t>Indicador</t>
        </is>
      </c>
      <c r="G3" s="9" t="inlineStr">
        <is>
          <t>Fita mínima</t>
        </is>
      </c>
      <c r="H3" s="9" t="inlineStr">
        <is>
          <t>Fita màxima</t>
        </is>
      </c>
      <c r="I3" s="9" t="inlineStr">
        <is>
          <t>Prioritat</t>
        </is>
      </c>
      <c r="J3" s="9" t="inlineStr">
        <is>
          <t>Àrea responsable</t>
        </is>
      </c>
      <c r="K3" s="9" t="inlineStr">
        <is>
          <t>Persona responsable</t>
        </is>
      </c>
      <c r="L3" s="9" t="inlineStr">
        <is>
          <t>Objectiu general</t>
        </is>
      </c>
      <c r="M3" s="9" t="inlineStr">
        <is>
          <t>Objectiu estratègic</t>
        </is>
      </c>
      <c r="N3" s="9" t="inlineStr">
        <is>
          <t>Comú / Específic</t>
        </is>
      </c>
      <c r="O3" s="9" t="inlineStr">
        <is>
          <t>Obligatori / Optatiu</t>
        </is>
      </c>
      <c r="P3" s="9" t="inlineStr">
        <is>
          <t>Incorporable a la planificació anual</t>
        </is>
      </c>
      <c r="Q3" s="9" t="inlineStr">
        <is>
          <t>Clau (per als desplegables)</t>
        </is>
      </c>
    </row>
    <row r="4">
      <c r="A4" s="11" t="inlineStr">
        <is>
          <t>1. Natura</t>
        </is>
      </c>
      <c r="B4" s="11" t="inlineStr">
        <is>
          <t>01.1.1</t>
        </is>
      </c>
      <c r="C4" s="11" t="inlineStr">
        <is>
          <t>Implementar i executar plans de gestió específics per a hàbitats i espècies de conservació prioritària dins l'ENP</t>
        </is>
      </c>
      <c r="D4" s="11" t="inlineStr">
        <is>
          <t>Implementar i executar plans de gestió específics per a hàbitats i espècies de conservació prioritària dins l'ENP</t>
        </is>
      </c>
      <c r="E4" s="11" t="inlineStr">
        <is>
          <t>Realització d'accions per a la millora dels elements prioritzats a l'espai, incloent les accions previstes de conservació al Marc d’Acció Prioritària dels espais Xarxa Natura 2000 “Alt Pallars” i “la Torrassa”</t>
        </is>
      </c>
      <c r="F4" s="11" t="inlineStr">
        <is>
          <t>Número d'accions</t>
        </is>
      </c>
      <c r="G4" s="11" t="n">
        <v>20</v>
      </c>
      <c r="H4" s="11" t="n">
        <v>60</v>
      </c>
      <c r="I4" s="11" t="inlineStr">
        <is>
          <t>MÀXIMA</t>
        </is>
      </c>
      <c r="J4" s="11" t="inlineStr">
        <is>
          <t>Patrimoni</t>
        </is>
      </c>
      <c r="K4" s="11" t="inlineStr">
        <is>
          <t>Eli</t>
        </is>
      </c>
      <c r="L4" s="11" t="inlineStr">
        <is>
          <t>CONSERVAR LA NATURA i restaurar els ecosistemes, els processos naturals i seminaturals, la biodiversitat i la geodiversitat associada.</t>
        </is>
      </c>
      <c r="M4" s="11" t="inlineStr">
        <is>
          <t>Adequar i fer eficient la conservació dels elements objecte de gestió prioritària marcats per la DG a l'ENP</t>
        </is>
      </c>
      <c r="N4" s="11" t="inlineStr">
        <is>
          <t>Comú</t>
        </is>
      </c>
      <c r="O4" s="11" t="inlineStr">
        <is>
          <t>Obligatori</t>
        </is>
      </c>
      <c r="P4" s="11" t="inlineStr">
        <is>
          <t>Si</t>
        </is>
      </c>
      <c r="Q4" s="11" t="inlineStr">
        <is>
          <t>01.1.1 · Realització d'accions per a la millora dels elements prioritzats a l'espai, incloent les accions previstes de conservació al Marc d’Acció Prioritària  — Número d'accions</t>
        </is>
      </c>
    </row>
    <row r="5">
      <c r="A5" s="11" t="inlineStr">
        <is>
          <t>1. Natura</t>
        </is>
      </c>
      <c r="B5" s="11" t="inlineStr">
        <is>
          <t>01.1.1</t>
        </is>
      </c>
      <c r="C5" s="11" t="inlineStr">
        <is>
          <t>Implementar i executar plans de gestió específics per a hàbitats i espècies de conservació prioritària dins l'ENP</t>
        </is>
      </c>
      <c r="D5" s="11" t="inlineStr">
        <is>
          <t>Implementar i executar plans de gestió específics per a hàbitats i espècies de conservació prioritària dins l'ENP</t>
        </is>
      </c>
      <c r="E5" s="11" t="inlineStr">
        <is>
          <t>Realització d’actuacions de control i eradicació d’espècies invasores (exòtiques o no) que afecten a l’estat de conservació d’hàbitats i espècies</t>
        </is>
      </c>
      <c r="F5" s="11" t="inlineStr">
        <is>
          <t>Número d'accions</t>
        </is>
      </c>
      <c r="G5" s="11" t="n">
        <v>4</v>
      </c>
      <c r="H5" s="11" t="n">
        <v>20</v>
      </c>
      <c r="I5" s="11" t="inlineStr">
        <is>
          <t>MÀXIMA</t>
        </is>
      </c>
      <c r="J5" s="11" t="inlineStr"/>
      <c r="K5" s="11" t="inlineStr"/>
      <c r="L5" s="11" t="inlineStr">
        <is>
          <t>CONSERVAR LA NATURA i restaurar els ecosistemes, els processos naturals i seminaturals, la biodiversitat i la geodiversitat associada.</t>
        </is>
      </c>
      <c r="M5" s="11" t="inlineStr">
        <is>
          <t>Adequar i fer eficient la conservació dels elements objecte de gestió prioritària marcats per la DG a l'ENP</t>
        </is>
      </c>
      <c r="N5" s="11" t="inlineStr">
        <is>
          <t>Comú</t>
        </is>
      </c>
      <c r="O5" s="11" t="inlineStr">
        <is>
          <t>Obligatori</t>
        </is>
      </c>
      <c r="P5" s="11" t="inlineStr">
        <is>
          <t>Si</t>
        </is>
      </c>
      <c r="Q5" s="11" t="inlineStr">
        <is>
          <t>01.1.1 · Realització d’actuacions de control i eradicació d’espècies invasores (exòtiques o no) que afecten a l’estat de conservació d’hàbitats i espècies — Número d'accions</t>
        </is>
      </c>
    </row>
    <row r="6">
      <c r="A6" s="11" t="inlineStr">
        <is>
          <t>1. Natura</t>
        </is>
      </c>
      <c r="B6" s="11" t="inlineStr">
        <is>
          <t>01.1.1</t>
        </is>
      </c>
      <c r="C6" s="11" t="inlineStr">
        <is>
          <t>Implementar i executar plans de gestió específics per a hàbitats i espècies de conservació prioritària dins l'ENP</t>
        </is>
      </c>
      <c r="D6" s="11" t="inlineStr">
        <is>
          <t>Implementar i executar plans de gestió específics per a hàbitats i espècies de conservació prioritària dins l'ENP</t>
        </is>
      </c>
      <c r="E6" s="11" t="inlineStr">
        <is>
          <t>Realització de les actuacions de conservació d’hàbitats i espècies aquàtiques d’alta muntanya previstes al projecte LIFE RESQUE ALPYR i projectes Next Generation (Pla de Salito, Estanys dels Rosari i Garrabea)</t>
        </is>
      </c>
      <c r="F6" s="11" t="inlineStr">
        <is>
          <t>Número d’accions de conservació executades</t>
        </is>
      </c>
      <c r="G6" s="11" t="n">
        <v>4</v>
      </c>
      <c r="H6" s="11" t="n">
        <v>8</v>
      </c>
      <c r="I6" s="11" t="inlineStr">
        <is>
          <t>MÀXIMA</t>
        </is>
      </c>
      <c r="J6" s="11" t="inlineStr"/>
      <c r="K6" s="11" t="inlineStr"/>
      <c r="L6" s="11" t="inlineStr">
        <is>
          <t>CONSERVAR LA NATURA i restaurar els ecosistemes, els processos naturals i seminaturals, la biodiversitat i la geodiversitat associada.</t>
        </is>
      </c>
      <c r="M6" s="11" t="inlineStr">
        <is>
          <t>Adequar i fer eficient la conservació dels elements objecte de gestió prioritària marcats per la DG a l'ENP</t>
        </is>
      </c>
      <c r="N6" s="11" t="inlineStr">
        <is>
          <t>Comú</t>
        </is>
      </c>
      <c r="O6" s="11" t="inlineStr">
        <is>
          <t>Obligatori</t>
        </is>
      </c>
      <c r="P6" s="11" t="inlineStr">
        <is>
          <t>Si</t>
        </is>
      </c>
      <c r="Q6" s="11" t="inlineStr">
        <is>
          <t>01.1.1 · Realització de les actuacions de conservació d’hàbitats i espècies aquàtiques d’alta muntanya previstes al projecte LIFE RESQUE ALPYR i projectes Next — Número d’accions de conservació executades</t>
        </is>
      </c>
    </row>
    <row r="7">
      <c r="A7" s="11" t="inlineStr">
        <is>
          <t>1. Natura</t>
        </is>
      </c>
      <c r="B7" s="11" t="inlineStr">
        <is>
          <t>01.1.1</t>
        </is>
      </c>
      <c r="C7" s="11" t="inlineStr">
        <is>
          <t>Implementar i executar plans de gestió específics per a hàbitats i espècies de conservació prioritària dins l'ENP</t>
        </is>
      </c>
      <c r="D7" s="11" t="inlineStr">
        <is>
          <t>Implementar i executar plans de gestió específics per a hàbitats i espècies de conservació prioritària dins l'ENP</t>
        </is>
      </c>
      <c r="E7" s="11" t="inlineStr">
        <is>
          <t>Elaboració de plans de gestió per elements prioritzats a l'espai</t>
        </is>
      </c>
      <c r="F7" s="11" t="inlineStr">
        <is>
          <t>Número de plans</t>
        </is>
      </c>
      <c r="G7" s="11" t="n">
        <v>2</v>
      </c>
      <c r="H7" s="11" t="inlineStr">
        <is>
          <t>(tots perill extincio + habitats prioritaris)</t>
        </is>
      </c>
      <c r="I7" s="11" t="inlineStr">
        <is>
          <t>ALTA</t>
        </is>
      </c>
      <c r="J7" s="11" t="inlineStr">
        <is>
          <t>Patrimoni</t>
        </is>
      </c>
      <c r="K7" s="11" t="inlineStr">
        <is>
          <t>Eli</t>
        </is>
      </c>
      <c r="L7" s="11" t="inlineStr">
        <is>
          <t>CONSERVAR LA NATURA i restaurar els ecosistemes, els processos naturals i seminaturals, la biodiversitat i la geodiversitat associada.</t>
        </is>
      </c>
      <c r="M7" s="11" t="inlineStr">
        <is>
          <t>Adequar i fer eficient la conservació dels elements objecte de gestió prioritària marcats per la DG a l'ENP</t>
        </is>
      </c>
      <c r="N7" s="11" t="inlineStr">
        <is>
          <t>Comú</t>
        </is>
      </c>
      <c r="O7" s="11" t="inlineStr">
        <is>
          <t>Obligatori</t>
        </is>
      </c>
      <c r="P7" s="11" t="inlineStr">
        <is>
          <t>Si</t>
        </is>
      </c>
      <c r="Q7" s="11" t="inlineStr">
        <is>
          <t>01.1.1 · Elaboració de plans de gestió per elements prioritzats a l'espai — Número de plans</t>
        </is>
      </c>
    </row>
    <row r="8">
      <c r="A8" s="11" t="inlineStr">
        <is>
          <t>1. Natura</t>
        </is>
      </c>
      <c r="B8" s="11" t="inlineStr">
        <is>
          <t>01.1.1</t>
        </is>
      </c>
      <c r="C8" s="11" t="inlineStr">
        <is>
          <t>Implementar i executar plans de gestió específics per a hàbitats i espècies de conservació prioritària dins l'ENP</t>
        </is>
      </c>
      <c r="D8" s="11" t="inlineStr">
        <is>
          <t>Implementar i executar plans de gestió específics per a hàbitats i espècies de conservació prioritària dins l'ENP</t>
        </is>
      </c>
      <c r="E8" s="11" t="inlineStr">
        <is>
          <t>Afavorir la custòdia del territori amb entitats i potenciar projectes de conservació de forma col·laborativa entre el parc, els ens locals i les entitats de custòdia</t>
        </is>
      </c>
      <c r="F8" s="11" t="inlineStr">
        <is>
          <t>Número d’acords de custòdia implementats</t>
        </is>
      </c>
      <c r="G8" s="11" t="n">
        <v>1</v>
      </c>
      <c r="H8" s="11" t="n">
        <v>3</v>
      </c>
      <c r="I8" s="11" t="inlineStr">
        <is>
          <t>MITJANA</t>
        </is>
      </c>
      <c r="J8" s="11" t="inlineStr"/>
      <c r="K8" s="11" t="inlineStr"/>
      <c r="L8" s="11" t="inlineStr">
        <is>
          <t>CONSERVAR LA NATURA i restaurar els ecosistemes, els processos naturals i seminaturals, la biodiversitat i la geodiversitat associada.</t>
        </is>
      </c>
      <c r="M8" s="11" t="inlineStr">
        <is>
          <t>Adequar i fer eficient la conservació dels elements objecte de gestió prioritària marcats per la DG a l'ENP</t>
        </is>
      </c>
      <c r="N8" s="11" t="inlineStr">
        <is>
          <t>Comú</t>
        </is>
      </c>
      <c r="O8" s="11" t="inlineStr">
        <is>
          <t>Obligatori</t>
        </is>
      </c>
      <c r="P8" s="11" t="inlineStr">
        <is>
          <t>Si</t>
        </is>
      </c>
      <c r="Q8" s="11" t="inlineStr">
        <is>
          <t>01.1.1 · Afavorir la custòdia del territori amb entitats i potenciar projectes de conservació de forma col·laborativa entre el parc, els ens locals i les entit — Número d’acords de custòdia implementats</t>
        </is>
      </c>
    </row>
    <row r="9">
      <c r="A9" s="11" t="inlineStr">
        <is>
          <t>1. Natura</t>
        </is>
      </c>
      <c r="B9" s="11" t="inlineStr">
        <is>
          <t>01.1.2</t>
        </is>
      </c>
      <c r="C9" s="11" t="inlineStr">
        <is>
          <t>Adaptar i executar plans de gestió específics per a elements geològics de conservació prioritària dins l'ENP</t>
        </is>
      </c>
      <c r="D9" s="11" t="inlineStr">
        <is>
          <t>Adaptar i executar plans de gestió específics per a elements geològics de conservació prioritària dins l'ENP</t>
        </is>
      </c>
      <c r="E9" s="11" t="inlineStr">
        <is>
          <t>Actualitzar i digitalitzar l'inventari d'elements geològics a l'espai</t>
        </is>
      </c>
      <c r="F9" s="11" t="inlineStr">
        <is>
          <t>Fitxes noves/actualitzades</t>
        </is>
      </c>
      <c r="G9" s="11" t="n">
        <v>10</v>
      </c>
      <c r="H9" s="11" t="n">
        <v>37</v>
      </c>
      <c r="I9" s="11" t="inlineStr">
        <is>
          <t>BAIXA</t>
        </is>
      </c>
      <c r="J9" s="11" t="inlineStr">
        <is>
          <t>Direcció</t>
        </is>
      </c>
      <c r="K9" s="11" t="inlineStr">
        <is>
          <t>Marc</t>
        </is>
      </c>
      <c r="L9" s="11" t="inlineStr">
        <is>
          <t>CONSERVAR LA NATURA i restaurar els ecosistemes, els processos naturals i seminaturals, la biodiversitat i la geodiversitat associada.</t>
        </is>
      </c>
      <c r="M9" s="11" t="inlineStr">
        <is>
          <t>Executar les mesures de gestió directa previstes en els intruments de planificació per la conservació i la gestió adaptativa dels elements clau de l'ENP</t>
        </is>
      </c>
      <c r="N9" s="11" t="inlineStr">
        <is>
          <t>Comú</t>
        </is>
      </c>
      <c r="O9" s="11" t="inlineStr">
        <is>
          <t>Obligatori</t>
        </is>
      </c>
      <c r="P9" s="11" t="inlineStr">
        <is>
          <t>Si</t>
        </is>
      </c>
      <c r="Q9" s="11" t="inlineStr">
        <is>
          <t>01.1.2 · Actualitzar i digitalitzar l'inventari d'elements geològics a l'espai — Fitxes noves/actualitzades</t>
        </is>
      </c>
    </row>
    <row r="10">
      <c r="A10" s="11" t="inlineStr">
        <is>
          <t>1. Natura</t>
        </is>
      </c>
      <c r="B10" s="11" t="inlineStr">
        <is>
          <t>01.1.2</t>
        </is>
      </c>
      <c r="C10" s="11" t="inlineStr">
        <is>
          <t>Adaptar i executar plans de gestió específics per a elements geològics de conservació prioritària dins l'ENP</t>
        </is>
      </c>
      <c r="D10" s="11" t="inlineStr">
        <is>
          <t>Adaptar i executar plans de gestió específics per a elements geològics de conservació prioritària dins l'ENP</t>
        </is>
      </c>
      <c r="E10" s="11" t="inlineStr">
        <is>
          <t>Actualitzar i digitalitzat l'inventari d'elements geomorfologic a l'espai</t>
        </is>
      </c>
      <c r="F10" s="11" t="inlineStr">
        <is>
          <t>Fitxes noves/actualitzades</t>
        </is>
      </c>
      <c r="G10" s="11" t="n">
        <v>24</v>
      </c>
      <c r="H10" s="11" t="n">
        <v>89</v>
      </c>
      <c r="I10" s="11" t="inlineStr">
        <is>
          <t>BAIXA</t>
        </is>
      </c>
      <c r="J10" s="11" t="inlineStr">
        <is>
          <t>Patrimoni</t>
        </is>
      </c>
      <c r="K10" s="11" t="inlineStr">
        <is>
          <t>Oriol</t>
        </is>
      </c>
      <c r="L10" s="11" t="inlineStr">
        <is>
          <t>CONSERVAR LA NATURA i restaurar els ecosistemes, els processos naturals i seminaturals, la biodiversitat i la geodiversitat associada.</t>
        </is>
      </c>
      <c r="M10" s="11" t="inlineStr">
        <is>
          <t>Executar les mesures de gestió directa previstes en els intruments de planificació per la conservació i la gestió adaptativa dels elements clau de l'ENP</t>
        </is>
      </c>
      <c r="N10" s="11" t="inlineStr">
        <is>
          <t>Comú</t>
        </is>
      </c>
      <c r="O10" s="11" t="inlineStr">
        <is>
          <t>Obligatori</t>
        </is>
      </c>
      <c r="P10" s="11" t="inlineStr">
        <is>
          <t>Si</t>
        </is>
      </c>
      <c r="Q10" s="11" t="inlineStr">
        <is>
          <t>01.1.2 · Actualitzar i digitalitzat l'inventari d'elements geomorfologic a l'espai — Fitxes noves/actualitzades</t>
        </is>
      </c>
    </row>
    <row r="11">
      <c r="A11" s="11" t="inlineStr">
        <is>
          <t>1. Natura</t>
        </is>
      </c>
      <c r="B11" s="11" t="inlineStr">
        <is>
          <t>01.1.2</t>
        </is>
      </c>
      <c r="C11" s="11" t="inlineStr">
        <is>
          <t>Adaptar i executar plans de gestió específics per a elements geològics de conservació prioritària dins l'ENP</t>
        </is>
      </c>
      <c r="D11" s="11" t="inlineStr">
        <is>
          <t>Adaptar i executar plans de gestió específics per a elements geològics de conservació prioritària dins l'ENP</t>
        </is>
      </c>
      <c r="E11" s="11" t="inlineStr">
        <is>
          <t>Aplicació de les directrius de gestió de l'inventari de patrimoni geològic (ICGC) i els inventaris gologics i geomorfologics de l'espai</t>
        </is>
      </c>
      <c r="F11" s="11" t="inlineStr">
        <is>
          <t>Número accions conservació</t>
        </is>
      </c>
      <c r="G11" s="11" t="n">
        <v>2</v>
      </c>
      <c r="H11" s="11" t="n">
        <v>10</v>
      </c>
      <c r="I11" s="11" t="inlineStr">
        <is>
          <t>MITJANA</t>
        </is>
      </c>
      <c r="J11" s="11" t="inlineStr">
        <is>
          <t>Direcció</t>
        </is>
      </c>
      <c r="K11" s="11" t="inlineStr">
        <is>
          <t>Marc</t>
        </is>
      </c>
      <c r="L11" s="11" t="inlineStr">
        <is>
          <t>CONSERVAR LA NATURA i restaurar els ecosistemes, els processos naturals i seminaturals, la biodiversitat i la geodiversitat associada.</t>
        </is>
      </c>
      <c r="M11" s="11" t="inlineStr">
        <is>
          <t>Executar les mesures de gestió directa previstes en els intruments de planificació per la conservació i la gestió adaptativa dels elements clau de l'ENP</t>
        </is>
      </c>
      <c r="N11" s="11" t="inlineStr">
        <is>
          <t>Comú</t>
        </is>
      </c>
      <c r="O11" s="11" t="inlineStr">
        <is>
          <t>Obligatori</t>
        </is>
      </c>
      <c r="P11" s="11" t="inlineStr">
        <is>
          <t>Si</t>
        </is>
      </c>
      <c r="Q11" s="11" t="inlineStr">
        <is>
          <t>01.1.2 · Aplicació de les directrius de gestió de l'inventari de patrimoni geològic (ICGC) i els inventaris gologics i geomorfologics de l'espai — Número accions conservació</t>
        </is>
      </c>
    </row>
    <row r="12">
      <c r="A12" s="11" t="inlineStr">
        <is>
          <t>1. Natura</t>
        </is>
      </c>
      <c r="B12" s="11" t="inlineStr">
        <is>
          <t>01.2.1</t>
        </is>
      </c>
      <c r="C12" s="11" t="inlineStr">
        <is>
          <t>Implementar la metodologia de gestió adaptativa (Estàndards Oberts de Gestió Adaptativa a Catalunya) en tots els processos de l'ENP</t>
        </is>
      </c>
      <c r="D12" s="11" t="inlineStr">
        <is>
          <t>Implementar la metodologia de gestió adaptativa (Estàndards Oberts de Gestió Adaptativa a Catalunya) en tots els processos de l'ENP</t>
        </is>
      </c>
      <c r="E12" s="11" t="inlineStr">
        <is>
          <t>Implentar metodologia Open Standards als processos més rellevants de l'espai</t>
        </is>
      </c>
      <c r="F12" s="11" t="inlineStr">
        <is>
          <t>Número OP</t>
        </is>
      </c>
      <c r="G12" s="11" t="n">
        <v>1</v>
      </c>
      <c r="H12" s="11" t="n">
        <v>10</v>
      </c>
      <c r="I12" s="11" t="inlineStr">
        <is>
          <t>MÀXIMA</t>
        </is>
      </c>
      <c r="J12" s="11" t="inlineStr">
        <is>
          <t>Direcció</t>
        </is>
      </c>
      <c r="K12" s="11" t="inlineStr">
        <is>
          <t>Marc</t>
        </is>
      </c>
      <c r="L12" s="11" t="inlineStr">
        <is>
          <t>CONSERVAR LA NATURA i restaurar els ecosistemes, els processos naturals i seminaturals, la biodiversitat i la geodiversitat associada.</t>
        </is>
      </c>
      <c r="M12" s="11" t="inlineStr">
        <is>
          <t>Executar les mesures de gestió directa previstes en els intruments de planificació per la conservació i la gestió adaptativa dels elements clau de l'ENP</t>
        </is>
      </c>
      <c r="N12" s="11" t="inlineStr">
        <is>
          <t>Comú</t>
        </is>
      </c>
      <c r="O12" s="11" t="inlineStr">
        <is>
          <t>Obligatori</t>
        </is>
      </c>
      <c r="P12" s="11" t="inlineStr">
        <is>
          <t>No</t>
        </is>
      </c>
      <c r="Q12" s="11" t="inlineStr">
        <is>
          <t>01.2.1 · Implentar metodologia Open Standards als processos més rellevants de l'espai — Número OP</t>
        </is>
      </c>
    </row>
    <row r="13">
      <c r="A13" s="11" t="inlineStr">
        <is>
          <t>1. Natura</t>
        </is>
      </c>
      <c r="B13" s="11" t="inlineStr">
        <is>
          <t>01.2.2</t>
        </is>
      </c>
      <c r="C13" s="11" t="inlineStr">
        <is>
          <t>Executar les mesures previstes en els plans de conservació o recuperació d'espècies amenaçades de forma coordinada amb el Servei de Flora i Fauna en l'àmbit de l'ENP</t>
        </is>
      </c>
      <c r="D13" s="11" t="inlineStr">
        <is>
          <t>Executar les mesures previstes en els plans de conservació o recuperació d'espècies amenaçades de forma coordinada amb el Servei de Flora i Fauna en l'àmbit de l'ENP</t>
        </is>
      </c>
      <c r="E13" s="11" t="inlineStr">
        <is>
          <t>Implicació i participació en la redacció dels plans de conservació /recuperació d'espècies amenaçades. Reforç poblacional quan s'escaigui</t>
        </is>
      </c>
      <c r="F13" s="11" t="inlineStr">
        <is>
          <t>Número plans implicats</t>
        </is>
      </c>
      <c r="G13" s="11" t="n">
        <v>1</v>
      </c>
      <c r="H13" s="11" t="n">
        <v>4</v>
      </c>
      <c r="I13" s="11" t="inlineStr">
        <is>
          <t>MÀXIMA</t>
        </is>
      </c>
      <c r="J13" s="11" t="inlineStr">
        <is>
          <t>Patrimoni</t>
        </is>
      </c>
      <c r="K13" s="11" t="inlineStr">
        <is>
          <t>Eli</t>
        </is>
      </c>
      <c r="L13" s="11" t="inlineStr">
        <is>
          <t>CONSERVAR LA NATURA i restaurar els ecosistemes, els processos naturals i seminaturals, la biodiversitat i la geodiversitat associada.</t>
        </is>
      </c>
      <c r="M13" s="11" t="inlineStr">
        <is>
          <t>Executar les mesures de gestió directa previstes en els intruments de planificació per la conservació i la gestió adaptativa dels elements clau de l'ENP</t>
        </is>
      </c>
      <c r="N13" s="11" t="inlineStr">
        <is>
          <t>Comú</t>
        </is>
      </c>
      <c r="O13" s="11" t="inlineStr">
        <is>
          <t>Obligatori</t>
        </is>
      </c>
      <c r="P13" s="11" t="inlineStr">
        <is>
          <t>Si</t>
        </is>
      </c>
      <c r="Q13" s="11" t="inlineStr">
        <is>
          <t>01.2.2 · Implicació i participació en la redacció dels plans de conservació /recuperació d'espècies amenaçades. Reforç poblacional quan s'escaigui — Número plans implicats</t>
        </is>
      </c>
    </row>
    <row r="14">
      <c r="A14" s="11" t="inlineStr">
        <is>
          <t>1. Natura</t>
        </is>
      </c>
      <c r="B14" s="11" t="inlineStr">
        <is>
          <t>01.2.2</t>
        </is>
      </c>
      <c r="C14" s="11" t="inlineStr">
        <is>
          <t>Executar les mesures previstes en els plans de conservació o recuperació d'espècies amenaçades de forma coordinada amb el Servei de Flora i Fauna en l'àmbit de l'ENP</t>
        </is>
      </c>
      <c r="D14" s="11" t="inlineStr">
        <is>
          <t>Executar les mesures previstes en els plans de conservació o recuperació d'espècies amenaçades de forma coordinada amb el Servei de Flora i Fauna en l'àmbit de l'ENP</t>
        </is>
      </c>
      <c r="E14" s="11" t="inlineStr">
        <is>
          <t>Execució de les accions dins els plans que pertoquin a cada espai (incorporar totes les mesures que surten als plans ja aprovats que tenen incidència a l'espai)</t>
        </is>
      </c>
      <c r="F14" s="11" t="inlineStr">
        <is>
          <t>Número accions</t>
        </is>
      </c>
      <c r="G14" s="11" t="n">
        <v>10</v>
      </c>
      <c r="H14" s="11" t="n">
        <v>40</v>
      </c>
      <c r="I14" s="11" t="inlineStr">
        <is>
          <t>MÀXIMA</t>
        </is>
      </c>
      <c r="J14" s="11" t="inlineStr">
        <is>
          <t>Patrimoni</t>
        </is>
      </c>
      <c r="K14" s="11" t="inlineStr">
        <is>
          <t>Eli</t>
        </is>
      </c>
      <c r="L14" s="11" t="inlineStr">
        <is>
          <t>CONSERVAR LA NATURA i restaurar els ecosistemes, els processos naturals i seminaturals, la biodiversitat i la geodiversitat associada.</t>
        </is>
      </c>
      <c r="M14" s="11" t="inlineStr">
        <is>
          <t>Executar les mesures de gestió directa previstes en els intruments de planificació per la conservació i la gestió adaptativa dels elements clau de l'ENP</t>
        </is>
      </c>
      <c r="N14" s="11" t="inlineStr">
        <is>
          <t>Comú</t>
        </is>
      </c>
      <c r="O14" s="11" t="inlineStr">
        <is>
          <t>Obligatori</t>
        </is>
      </c>
      <c r="P14" s="11" t="inlineStr">
        <is>
          <t>Si</t>
        </is>
      </c>
      <c r="Q14" s="11" t="inlineStr">
        <is>
          <t>01.2.2 · Execució de les accions dins els plans que pertoquin a cada espai (incorporar totes les mesures que surten als plans ja aprovats que tenen incidència  — Número accions</t>
        </is>
      </c>
    </row>
    <row r="15">
      <c r="A15" s="11" t="inlineStr">
        <is>
          <t>1. Natura</t>
        </is>
      </c>
      <c r="B15" s="11" t="inlineStr">
        <is>
          <t>01.2.2</t>
        </is>
      </c>
      <c r="C15" s="11" t="inlineStr">
        <is>
          <t>Executar les mesures previstes en els plans de conservació o recuperació d'espècies amenaçades de forma coordinada amb el Servei de Flora i Fauna en l'àmbit de l'ENP</t>
        </is>
      </c>
      <c r="D15" s="11" t="inlineStr">
        <is>
          <t>Executar les mesures previstes en els plans de conservació o recuperació d'espècies amenaçades de forma coordinada amb el Servei de Flora i Fauna en l'àmbit de l'ENP</t>
        </is>
      </c>
      <c r="E15" s="11" t="inlineStr">
        <is>
          <t>Col.laboració en l'obtenció de la informació necessària dins els espais per al desenvolupament dels Plans</t>
        </is>
      </c>
      <c r="F15" s="11" t="inlineStr">
        <is>
          <t>Número plans s'ha obtingut informació</t>
        </is>
      </c>
      <c r="G15" s="11" t="n">
        <v>1</v>
      </c>
      <c r="H15" s="11" t="n">
        <v>4</v>
      </c>
      <c r="I15" s="11" t="inlineStr">
        <is>
          <t>MÀXIMA</t>
        </is>
      </c>
      <c r="J15" s="11" t="inlineStr">
        <is>
          <t>Patrimoni</t>
        </is>
      </c>
      <c r="K15" s="11" t="inlineStr">
        <is>
          <t>Eli</t>
        </is>
      </c>
      <c r="L15" s="11" t="inlineStr">
        <is>
          <t>CONSERVAR LA NATURA i restaurar els ecosistemes, els processos naturals i seminaturals, la biodiversitat i la geodiversitat associada.</t>
        </is>
      </c>
      <c r="M15" s="11" t="inlineStr">
        <is>
          <t>Executar les mesures de gestió directa previstes en els intruments de planificació per la conservació i la gestió adaptativa dels elements clau de l'ENP</t>
        </is>
      </c>
      <c r="N15" s="11" t="inlineStr">
        <is>
          <t>Comú</t>
        </is>
      </c>
      <c r="O15" s="11" t="inlineStr">
        <is>
          <t>Obligatori</t>
        </is>
      </c>
      <c r="P15" s="11" t="inlineStr">
        <is>
          <t>Si</t>
        </is>
      </c>
      <c r="Q15" s="11" t="inlineStr">
        <is>
          <t>01.2.2 · Col.laboració en l'obtenció de la informació necessària dins els espais per al desenvolupament dels Plans — Número plans s'ha obtingut informació</t>
        </is>
      </c>
    </row>
    <row r="16">
      <c r="A16" s="11" t="inlineStr">
        <is>
          <t>1. Natura</t>
        </is>
      </c>
      <c r="B16" s="11" t="inlineStr">
        <is>
          <t>01.2.2</t>
        </is>
      </c>
      <c r="C16" s="11" t="inlineStr">
        <is>
          <t>Executar les mesures previstes en els plans de conservació o recuperació d'espècies amenaçades de forma coordinada amb el Servei de Flora i Fauna en l'àmbit de l'ENP</t>
        </is>
      </c>
      <c r="D16" s="11" t="inlineStr">
        <is>
          <t>Executar les mesures previstes en els plans de conservació o recuperació d'espècies amenaçades de forma coordinada amb el Servei de Flora i Fauna en l'àmbit de l'ENP</t>
        </is>
      </c>
      <c r="E16" s="11" t="inlineStr">
        <is>
          <t>Acompanyament de la Comissió Ramadera amb l’òrgan competent per abordar de forma específica la millora de la convivència entre la ramaderia i la presència de grans depredadors, i l’ús de gossos de protecció</t>
        </is>
      </c>
      <c r="F16" s="11" t="inlineStr">
        <is>
          <t>Número de reunions realitzades</t>
        </is>
      </c>
      <c r="G16" s="11" t="n">
        <v>4</v>
      </c>
      <c r="H16" s="11" t="n">
        <v>8</v>
      </c>
      <c r="I16" s="11" t="inlineStr">
        <is>
          <t>ALTA</t>
        </is>
      </c>
      <c r="J16" s="11" t="inlineStr"/>
      <c r="K16" s="11" t="inlineStr"/>
      <c r="L16" s="11" t="inlineStr">
        <is>
          <t>CONSERVAR LA NATURA i restaurar els ecosistemes, els processos naturals i seminaturals, la biodiversitat i la geodiversitat associada.</t>
        </is>
      </c>
      <c r="M16" s="11" t="inlineStr">
        <is>
          <t>Executar les mesures de gestió directa previstes en els intruments de planificació per la conservació i la gestió adaptativa dels elements clau de l'ENP</t>
        </is>
      </c>
      <c r="N16" s="11" t="inlineStr">
        <is>
          <t>Comú</t>
        </is>
      </c>
      <c r="O16" s="11" t="inlineStr">
        <is>
          <t>Obligatori</t>
        </is>
      </c>
      <c r="P16" s="11" t="inlineStr">
        <is>
          <t>Si</t>
        </is>
      </c>
      <c r="Q16" s="11" t="inlineStr">
        <is>
          <t>01.2.2 · Acompanyament de la Comissió Ramadera amb l’òrgan competent per abordar de forma específica la millora de la convivència entre la ramaderia i la presè — Número de reunions realitzades</t>
        </is>
      </c>
    </row>
    <row r="17">
      <c r="A17" s="11" t="inlineStr">
        <is>
          <t>1. Natura</t>
        </is>
      </c>
      <c r="B17" s="11" t="inlineStr">
        <is>
          <t>01.2.3</t>
        </is>
      </c>
      <c r="C17" s="11" t="inlineStr">
        <is>
          <t>Executar les mesures de gestió previstes en els plans de control i erradicació d'espècies exòtiques de forma coordinada amb el Servei de Flora i Fauna en l'àmbit de l'ENP</t>
        </is>
      </c>
      <c r="D17" s="11" t="inlineStr">
        <is>
          <t>Executar les mesures de gestió previstes en els plans de control i erradicació d'espècies exòtiques de forma coordinada amb el Servei de Flora i Fauna en l'àmbit de l'ENP</t>
        </is>
      </c>
      <c r="E17" s="11" t="inlineStr">
        <is>
          <t>Implicació i participació en la redacció (cal identificar els plans que estan ja en marxa o previstos i posar les mesures concretes)</t>
        </is>
      </c>
      <c r="F17" s="11" t="inlineStr">
        <is>
          <t>Número plans implicats</t>
        </is>
      </c>
      <c r="G17" s="11" t="n">
        <v>1</v>
      </c>
      <c r="H17" s="11" t="n">
        <v>2</v>
      </c>
      <c r="I17" s="11" t="inlineStr">
        <is>
          <t>MÀXIMA</t>
        </is>
      </c>
      <c r="J17" s="11" t="inlineStr">
        <is>
          <t>Patrimoni</t>
        </is>
      </c>
      <c r="K17" s="11" t="inlineStr">
        <is>
          <t>Eli</t>
        </is>
      </c>
      <c r="L17" s="11" t="inlineStr">
        <is>
          <t>CONSERVAR LA NATURA i restaurar els ecosistemes, els processos naturals i seminaturals, la biodiversitat i la geodiversitat associada.</t>
        </is>
      </c>
      <c r="M17" s="11" t="inlineStr">
        <is>
          <t>Executar les mesures de gestió directa previstes en els intruments de planificació per la conservació i la gestió adaptativa dels elements clau de l'ENP</t>
        </is>
      </c>
      <c r="N17" s="11" t="inlineStr">
        <is>
          <t>Comú</t>
        </is>
      </c>
      <c r="O17" s="11" t="inlineStr">
        <is>
          <t>Obligatori</t>
        </is>
      </c>
      <c r="P17" s="11" t="inlineStr">
        <is>
          <t>Si</t>
        </is>
      </c>
      <c r="Q17" s="11" t="inlineStr">
        <is>
          <t>01.2.3 · Implicació i participació en la redacció (cal identificar els plans que estan ja en marxa o previstos i posar les mesures concretes) — Número plans implicats</t>
        </is>
      </c>
    </row>
    <row r="18">
      <c r="A18" s="11" t="inlineStr">
        <is>
          <t>1. Natura</t>
        </is>
      </c>
      <c r="B18" s="11" t="inlineStr">
        <is>
          <t>01.2.3</t>
        </is>
      </c>
      <c r="C18" s="11" t="inlineStr">
        <is>
          <t>Executar les mesures de gestió previstes en els plans de control i erradicació d'espècies exòtiques de forma coordinada amb el Servei de Flora i Fauna en l'àmbit de l'ENP</t>
        </is>
      </c>
      <c r="D18" s="11" t="inlineStr">
        <is>
          <t>Executar les mesures de gestió previstes en els plans de control i erradicació d'espècies exòtiques de forma coordinada amb el Servei de Flora i Fauna en l'àmbit de l'ENP</t>
        </is>
      </c>
      <c r="E18" s="11" t="inlineStr">
        <is>
          <t>Execució de les accions dins els plans que pertoquin a cada espai</t>
        </is>
      </c>
      <c r="F18" s="11" t="inlineStr">
        <is>
          <t>Número accions</t>
        </is>
      </c>
      <c r="G18" s="11" t="n">
        <v>4</v>
      </c>
      <c r="H18" s="11" t="n">
        <v>10</v>
      </c>
      <c r="I18" s="11" t="inlineStr">
        <is>
          <t>MÀXIMA</t>
        </is>
      </c>
      <c r="J18" s="11" t="inlineStr">
        <is>
          <t>Patrimoni</t>
        </is>
      </c>
      <c r="K18" s="11" t="inlineStr">
        <is>
          <t>Eli</t>
        </is>
      </c>
      <c r="L18" s="11" t="inlineStr">
        <is>
          <t>CONSERVAR LA NATURA i restaurar els ecosistemes, els processos naturals i seminaturals, la biodiversitat i la geodiversitat associada.</t>
        </is>
      </c>
      <c r="M18" s="11" t="inlineStr">
        <is>
          <t>Executar les mesures de gestió directa previstes en els intruments de planificació per la conservació i la gestió adaptativa dels elements clau de l'ENP</t>
        </is>
      </c>
      <c r="N18" s="11" t="inlineStr">
        <is>
          <t>Comú</t>
        </is>
      </c>
      <c r="O18" s="11" t="inlineStr">
        <is>
          <t>Obligatori</t>
        </is>
      </c>
      <c r="P18" s="11" t="inlineStr">
        <is>
          <t>Si</t>
        </is>
      </c>
      <c r="Q18" s="11" t="inlineStr">
        <is>
          <t>01.2.3 · Execució de les accions dins els plans que pertoquin a cada espai — Número accions</t>
        </is>
      </c>
    </row>
    <row r="19">
      <c r="A19" s="11" t="inlineStr">
        <is>
          <t>1. Natura</t>
        </is>
      </c>
      <c r="B19" s="11" t="inlineStr">
        <is>
          <t>01.2.3</t>
        </is>
      </c>
      <c r="C19" s="11" t="inlineStr">
        <is>
          <t>Executar les mesures de gestió previstes en els plans de control i erradicació d'espècies exòtiques de forma coordinada amb el Servei de Flora i Fauna en l'àmbit de l'ENP</t>
        </is>
      </c>
      <c r="D19" s="11" t="inlineStr">
        <is>
          <t>Executar les mesures de gestió previstes en els plans de control i erradicació d'espècies exòtiques de forma coordinada amb el Servei de Flora i Fauna en l'àmbit de l'ENP</t>
        </is>
      </c>
      <c r="E19" s="11" t="inlineStr">
        <is>
          <t>Col.laboració en l'obtenció de la informació necessària dins els espais per al desenvolupament dels Plans</t>
        </is>
      </c>
      <c r="F19" s="11" t="inlineStr">
        <is>
          <t>Número plans s'ha obtingut informació</t>
        </is>
      </c>
      <c r="G19" s="11" t="n">
        <v>1</v>
      </c>
      <c r="H19" s="11" t="n">
        <v>2</v>
      </c>
      <c r="I19" s="11" t="inlineStr">
        <is>
          <t>ALTA</t>
        </is>
      </c>
      <c r="J19" s="11" t="inlineStr">
        <is>
          <t>Patrimoni</t>
        </is>
      </c>
      <c r="K19" s="11" t="inlineStr">
        <is>
          <t>Eli</t>
        </is>
      </c>
      <c r="L19" s="11" t="inlineStr">
        <is>
          <t>CONSERVAR LA NATURA i restaurar els ecosistemes, els processos naturals i seminaturals, la biodiversitat i la geodiversitat associada.</t>
        </is>
      </c>
      <c r="M19" s="11" t="inlineStr">
        <is>
          <t>Executar les mesures de gestió directa previstes en els intruments de planificació per la conservació i la gestió adaptativa dels elements clau de l'ENP</t>
        </is>
      </c>
      <c r="N19" s="11" t="inlineStr">
        <is>
          <t>Comú</t>
        </is>
      </c>
      <c r="O19" s="11" t="inlineStr">
        <is>
          <t>Obligatori</t>
        </is>
      </c>
      <c r="P19" s="11" t="inlineStr">
        <is>
          <t>Si</t>
        </is>
      </c>
      <c r="Q19" s="11" t="inlineStr">
        <is>
          <t>01.2.3 · Col.laboració en l'obtenció de la informació necessària dins els espais per al desenvolupament dels Plans — Número plans s'ha obtingut informació</t>
        </is>
      </c>
    </row>
    <row r="20">
      <c r="A20" s="11" t="inlineStr">
        <is>
          <t>1. Natura</t>
        </is>
      </c>
      <c r="B20" s="11" t="inlineStr">
        <is>
          <t>01.2.4</t>
        </is>
      </c>
      <c r="C20" s="11" t="inlineStr">
        <is>
          <t>Desplegar els objectius i tasques recollits en els instruments de referència i compromisos internacionals</t>
        </is>
      </c>
      <c r="D20" s="11" t="inlineStr">
        <is>
          <t>Desplegar els objectius i tasques recollits en els instruments de referència i compromisos internacionals</t>
        </is>
      </c>
      <c r="E20" s="11" t="inlineStr">
        <is>
          <t>Presentar candidatura a la GREEN List UICN</t>
        </is>
      </c>
      <c r="F20" s="11" t="inlineStr">
        <is>
          <t>Execució</t>
        </is>
      </c>
      <c r="G20" s="11" t="inlineStr">
        <is>
          <t>no</t>
        </is>
      </c>
      <c r="H20" s="11" t="inlineStr">
        <is>
          <t>si</t>
        </is>
      </c>
      <c r="I20" s="11" t="inlineStr">
        <is>
          <t>MITJANA</t>
        </is>
      </c>
      <c r="J20" s="11" t="inlineStr">
        <is>
          <t>Direcció</t>
        </is>
      </c>
      <c r="K20" s="11" t="inlineStr">
        <is>
          <t>Marc</t>
        </is>
      </c>
      <c r="L20" s="11" t="inlineStr">
        <is>
          <t>CONSERVAR LA NATURA i restaurar els ecosistemes, els processos naturals i seminaturals, la biodiversitat i la geodiversitat associada.</t>
        </is>
      </c>
      <c r="M20" s="11" t="inlineStr">
        <is>
          <t>Executar les mesures de gestió directa previstes en els intruments de planificació per la conservació i la gestió adaptativa dels elements clau de l'ENP</t>
        </is>
      </c>
      <c r="N20" s="11" t="inlineStr">
        <is>
          <t>Específic</t>
        </is>
      </c>
      <c r="O20" s="11" t="inlineStr">
        <is>
          <t>Optatiu</t>
        </is>
      </c>
      <c r="P20" s="11" t="inlineStr">
        <is>
          <t>Si</t>
        </is>
      </c>
      <c r="Q20" s="11" t="inlineStr">
        <is>
          <t>01.2.4 · Presentar candidatura a la GREEN List UICN — Execució</t>
        </is>
      </c>
    </row>
    <row r="21">
      <c r="A21" s="11" t="inlineStr">
        <is>
          <t>1. Natura</t>
        </is>
      </c>
      <c r="B21" s="11" t="inlineStr">
        <is>
          <t>01.2.4</t>
        </is>
      </c>
      <c r="C21" s="11" t="inlineStr">
        <is>
          <t>Desplegar els objectius i tasques recollits en els instruments de referència i compromisos internacionals</t>
        </is>
      </c>
      <c r="D21" s="11" t="inlineStr">
        <is>
          <t>Desplegar els objectius i tasques recollits en els instruments de referència i compromisos internacionals</t>
        </is>
      </c>
      <c r="E21" s="11" t="inlineStr">
        <is>
          <t>Presentar candidatura Wild Rivers Noguera Pallaresa</t>
        </is>
      </c>
      <c r="F21" s="11" t="inlineStr">
        <is>
          <t>Execució</t>
        </is>
      </c>
      <c r="G21" s="11" t="inlineStr">
        <is>
          <t>no</t>
        </is>
      </c>
      <c r="H21" s="11" t="inlineStr">
        <is>
          <t>si</t>
        </is>
      </c>
      <c r="I21" s="11" t="inlineStr">
        <is>
          <t>ALTA</t>
        </is>
      </c>
      <c r="J21" s="11" t="inlineStr">
        <is>
          <t>Direcció</t>
        </is>
      </c>
      <c r="K21" s="11" t="inlineStr">
        <is>
          <t>Marc</t>
        </is>
      </c>
      <c r="L21" s="11" t="inlineStr">
        <is>
          <t>CONSERVAR LA NATURA i restaurar els ecosistemes, els processos naturals i seminaturals, la biodiversitat i la geodiversitat associada.</t>
        </is>
      </c>
      <c r="M21" s="11" t="inlineStr">
        <is>
          <t>Executar les mesures de gestió directa previstes en els intruments de planificació per la conservació i la gestió adaptativa dels elements clau de l'ENP</t>
        </is>
      </c>
      <c r="N21" s="11" t="inlineStr">
        <is>
          <t>Específic</t>
        </is>
      </c>
      <c r="O21" s="11" t="inlineStr">
        <is>
          <t>Optatiu</t>
        </is>
      </c>
      <c r="P21" s="11" t="inlineStr">
        <is>
          <t>Si</t>
        </is>
      </c>
      <c r="Q21" s="11" t="inlineStr">
        <is>
          <t>01.2.4 · Presentar candidatura Wild Rivers Noguera Pallaresa — Execució</t>
        </is>
      </c>
    </row>
    <row r="22">
      <c r="A22" s="11" t="inlineStr">
        <is>
          <t>1. Natura</t>
        </is>
      </c>
      <c r="B22" s="11" t="inlineStr">
        <is>
          <t>01.2.4</t>
        </is>
      </c>
      <c r="C22" s="11" t="inlineStr">
        <is>
          <t>Desplegar els objectius i tasques recollits en els instruments de referència i compromisos internacionals</t>
        </is>
      </c>
      <c r="D22" s="11" t="inlineStr">
        <is>
          <t>Desplegar els objectius i tasques recollits en els instruments de referència i compromisos internacionals</t>
        </is>
      </c>
      <c r="E22" s="11" t="inlineStr">
        <is>
          <t>Preparar candidatura a Reserva Biosfera Transfronterera o Transboundary Park Europarc PP3N</t>
        </is>
      </c>
      <c r="F22" s="11" t="inlineStr">
        <is>
          <t>Execució</t>
        </is>
      </c>
      <c r="G22" s="11" t="inlineStr">
        <is>
          <t>no</t>
        </is>
      </c>
      <c r="H22" s="11" t="inlineStr">
        <is>
          <t>si</t>
        </is>
      </c>
      <c r="I22" s="11" t="inlineStr">
        <is>
          <t>MITJANA</t>
        </is>
      </c>
      <c r="J22" s="11" t="inlineStr">
        <is>
          <t>Direcció</t>
        </is>
      </c>
      <c r="K22" s="11" t="inlineStr">
        <is>
          <t>Marc</t>
        </is>
      </c>
      <c r="L22" s="11" t="inlineStr">
        <is>
          <t>CONSERVAR LA NATURA i restaurar els ecosistemes, els processos naturals i seminaturals, la biodiversitat i la geodiversitat associada.</t>
        </is>
      </c>
      <c r="M22" s="11" t="inlineStr">
        <is>
          <t>Executar les mesures de gestió directa previstes en els intruments de planificació per la conservació i la gestió adaptativa dels elements clau de l'ENP</t>
        </is>
      </c>
      <c r="N22" s="11" t="inlineStr">
        <is>
          <t>Específic</t>
        </is>
      </c>
      <c r="O22" s="11" t="inlineStr">
        <is>
          <t>Optatiu</t>
        </is>
      </c>
      <c r="P22" s="11" t="inlineStr">
        <is>
          <t>Si</t>
        </is>
      </c>
      <c r="Q22" s="11" t="inlineStr">
        <is>
          <t>01.2.4 · Preparar candidatura a Reserva Biosfera Transfronterera o Transboundary Park Europarc PP3N — Execució</t>
        </is>
      </c>
    </row>
    <row r="23">
      <c r="A23" s="11" t="inlineStr">
        <is>
          <t>1. Natura</t>
        </is>
      </c>
      <c r="B23" s="11" t="inlineStr">
        <is>
          <t>01.3.1</t>
        </is>
      </c>
      <c r="C23" s="11" t="inlineStr">
        <is>
          <t>Identificar espais pel foment de la dinàmica natural i l'aprofitament no extractiu</t>
        </is>
      </c>
      <c r="D23" s="11" t="inlineStr">
        <is>
          <t>Identificar espais pel foment de la dinàmica natural i l'aprofitament no extractiu</t>
        </is>
      </c>
      <c r="E23" s="11" t="inlineStr">
        <is>
          <t>Participar en la identificació de boscos madurs pel foment de la dinàmica natural i l'aprofitament no extractiu dins l'ENP en base a uns criteris metodològics predefinits (DG Boscos i boscos BAVE POCTEFA RedBio)</t>
        </is>
      </c>
      <c r="F23" s="11" t="inlineStr">
        <is>
          <t>Número participacions</t>
        </is>
      </c>
      <c r="G23" s="11" t="n">
        <v>1</v>
      </c>
      <c r="H23" s="11" t="n">
        <v>2</v>
      </c>
      <c r="I23" s="11" t="inlineStr">
        <is>
          <t>ALTA</t>
        </is>
      </c>
      <c r="J23" s="11" t="inlineStr">
        <is>
          <t>Patrimoni</t>
        </is>
      </c>
      <c r="K23" s="11" t="inlineStr">
        <is>
          <t>Eli</t>
        </is>
      </c>
      <c r="L23" s="11" t="inlineStr">
        <is>
          <t>CONSERVAR LA NATURA i restaurar els ecosistemes, els processos naturals i seminaturals, la biodiversitat i la geodiversitat associada.</t>
        </is>
      </c>
      <c r="M23" s="11" t="inlineStr">
        <is>
          <t>Afavorir ecosistemes complexes, resilients, i d'alta biodiversitat per garantir la recuperació dels processos ecosistèmics</t>
        </is>
      </c>
      <c r="N23" s="11" t="inlineStr">
        <is>
          <t>Comú</t>
        </is>
      </c>
      <c r="O23" s="11" t="inlineStr">
        <is>
          <t>Obligatori</t>
        </is>
      </c>
      <c r="P23" s="11" t="inlineStr">
        <is>
          <t>Si</t>
        </is>
      </c>
      <c r="Q23" s="11" t="inlineStr">
        <is>
          <t>01.3.1 · Participar en la identificació de boscos madurs pel foment de la dinàmica natural i l'aprofitament no extractiu dins l'ENP en base a uns criteris meto — Número participacions</t>
        </is>
      </c>
    </row>
    <row r="24">
      <c r="A24" s="11" t="inlineStr">
        <is>
          <t>1. Natura</t>
        </is>
      </c>
      <c r="B24" s="11" t="inlineStr">
        <is>
          <t>01.3.1</t>
        </is>
      </c>
      <c r="C24" s="11" t="inlineStr">
        <is>
          <t>Identificar espais pel foment de la dinàmica natural i l'aprofitament no extractiu</t>
        </is>
      </c>
      <c r="D24" s="11" t="inlineStr">
        <is>
          <t>Identificar espais pel foment de la dinàmica natural i l'aprofitament no extractiu</t>
        </is>
      </c>
      <c r="E24" s="11" t="inlineStr">
        <is>
          <t>Afavorir la creació o recuperació d'hàbitats per a la conservació d'espècies (Pla de Salito, cua embassament de Boren, llacuna de Llagunes, basses aigua) i ordenació de l’ús públic del seu entorn</t>
        </is>
      </c>
      <c r="F24" s="11" t="inlineStr">
        <is>
          <t>Número habitats creats</t>
        </is>
      </c>
      <c r="G24" s="11" t="n">
        <v>1</v>
      </c>
      <c r="H24" s="11" t="n">
        <v>4</v>
      </c>
      <c r="I24" s="11" t="inlineStr">
        <is>
          <t>ALTA</t>
        </is>
      </c>
      <c r="J24" s="11" t="inlineStr">
        <is>
          <t>Patrimoni</t>
        </is>
      </c>
      <c r="K24" s="11" t="inlineStr">
        <is>
          <t>Eli</t>
        </is>
      </c>
      <c r="L24" s="11" t="inlineStr">
        <is>
          <t>CONSERVAR LA NATURA i restaurar els ecosistemes, els processos naturals i seminaturals, la biodiversitat i la geodiversitat associada.</t>
        </is>
      </c>
      <c r="M24" s="11" t="inlineStr">
        <is>
          <t>Afavorir ecosistemes complexes, resilients, i d'alta biodiversitat per garantir la recuperació dels processos ecosistèmics</t>
        </is>
      </c>
      <c r="N24" s="11" t="inlineStr">
        <is>
          <t>Comú</t>
        </is>
      </c>
      <c r="O24" s="11" t="inlineStr">
        <is>
          <t>Obligatori</t>
        </is>
      </c>
      <c r="P24" s="11" t="inlineStr">
        <is>
          <t>Si</t>
        </is>
      </c>
      <c r="Q24" s="11" t="inlineStr">
        <is>
          <t>01.3.1 · Afavorir la creació o recuperació d'hàbitats per a la conservació d'espècies (Pla de Salito, cua embassament de Boren, llacuna de Llagunes, basses aig — Número habitats creats</t>
        </is>
      </c>
    </row>
    <row r="25">
      <c r="A25" s="11" t="inlineStr">
        <is>
          <t>1. Natura</t>
        </is>
      </c>
      <c r="B25" s="11" t="inlineStr">
        <is>
          <t>01.3.2</t>
        </is>
      </c>
      <c r="C25" s="11" t="inlineStr">
        <is>
          <t>Afavorir la maduresa dels sistemes forestals</t>
        </is>
      </c>
      <c r="D25" s="11" t="inlineStr">
        <is>
          <t>Afavorir la maduresa dels sistemes forestals</t>
        </is>
      </c>
      <c r="E25" s="11" t="inlineStr">
        <is>
          <t>Participar i impulsar la planificació i execució d'accions d'acceleració de la maduresa forestal en zones boscoses dins l'ENP en base als criteris metodològics predefinits</t>
        </is>
      </c>
      <c r="F25" s="11" t="inlineStr">
        <is>
          <t>Superficie amb accelaració maduresa</t>
        </is>
      </c>
      <c r="G25" s="11" t="n">
        <v>30</v>
      </c>
      <c r="H25" s="11" t="n">
        <v>100</v>
      </c>
      <c r="I25" s="11" t="inlineStr">
        <is>
          <t>ALTA</t>
        </is>
      </c>
      <c r="J25" s="11" t="inlineStr">
        <is>
          <t>Patrimoni</t>
        </is>
      </c>
      <c r="K25" s="11" t="inlineStr">
        <is>
          <t>Eli</t>
        </is>
      </c>
      <c r="L25" s="11" t="inlineStr">
        <is>
          <t>CONSERVAR LA NATURA i restaurar els ecosistemes, els processos naturals i seminaturals, la biodiversitat i la geodiversitat associada.</t>
        </is>
      </c>
      <c r="M25" s="11" t="inlineStr">
        <is>
          <t>Afavorir ecosistemes complexes, resilients, i d'alta biodiversitat per garantir la recuperació dels processos ecosistèmics</t>
        </is>
      </c>
      <c r="N25" s="11" t="inlineStr">
        <is>
          <t>Específic</t>
        </is>
      </c>
      <c r="O25" s="11" t="inlineStr">
        <is>
          <t>Optatiu</t>
        </is>
      </c>
      <c r="P25" s="11" t="inlineStr">
        <is>
          <t>Si</t>
        </is>
      </c>
      <c r="Q25" s="11" t="inlineStr">
        <is>
          <t>01.3.2 · Participar i impulsar la planificació i execució d'accions d'acceleració de la maduresa forestal en zones boscoses dins l'ENP en base als criteris met — Superficie amb accelaració maduresa</t>
        </is>
      </c>
    </row>
    <row r="26">
      <c r="A26" s="11" t="inlineStr">
        <is>
          <t>1. Natura</t>
        </is>
      </c>
      <c r="B26" s="11" t="inlineStr">
        <is>
          <t>01.3.3</t>
        </is>
      </c>
      <c r="C26" s="11" t="inlineStr">
        <is>
          <t>Procurar un règim de pertorbacions que afavoreixi l'ús sostenible dels recursos, la biodiversitat i el funcionament del ecosistemes</t>
        </is>
      </c>
      <c r="D26" s="11" t="inlineStr">
        <is>
          <t>Procurar un règim de pertorbacions que afavoreixi l'ús sostenible dels recursos, la biodiversitat i el funcionament del ecosistemes</t>
        </is>
      </c>
      <c r="E26" s="11" t="inlineStr">
        <is>
          <t>Elaboració d'una planificació d'actuacions de simulació d'incendis forestals naturals (cremes controlades i criteris d'actuació en cas d'incendi) dins l'espai en base als criteris metodològics predefinits (POCTEFA Desbosiguem) a través de la figura de Pla de Prevenció d'Incendis Forestals</t>
        </is>
      </c>
      <c r="F26" s="11" t="inlineStr">
        <is>
          <t>Redacció i aprovació del Pla</t>
        </is>
      </c>
      <c r="G26" s="11" t="inlineStr">
        <is>
          <t>Redacció</t>
        </is>
      </c>
      <c r="H26" s="11" t="inlineStr">
        <is>
          <t>Redacció i aprovació</t>
        </is>
      </c>
      <c r="I26" s="11" t="inlineStr">
        <is>
          <t>ALTA</t>
        </is>
      </c>
      <c r="J26" s="11" t="inlineStr">
        <is>
          <t>Patrimoni</t>
        </is>
      </c>
      <c r="K26" s="11" t="inlineStr">
        <is>
          <t>Oriol</t>
        </is>
      </c>
      <c r="L26" s="11" t="inlineStr">
        <is>
          <t>CONSERVAR LA NATURA i restaurar els ecosistemes, els processos naturals i seminaturals, la biodiversitat i la geodiversitat associada.</t>
        </is>
      </c>
      <c r="M26" s="11" t="inlineStr">
        <is>
          <t>Afavorir ecosistemes complexes, resilients, i d'alta biodiversitat per garantir la recuperació dels processos ecosistèmics</t>
        </is>
      </c>
      <c r="N26" s="11" t="inlineStr">
        <is>
          <t>Específic</t>
        </is>
      </c>
      <c r="O26" s="11" t="inlineStr">
        <is>
          <t>Optatiu</t>
        </is>
      </c>
      <c r="P26" s="11" t="inlineStr">
        <is>
          <t>Si</t>
        </is>
      </c>
      <c r="Q26" s="11" t="inlineStr">
        <is>
          <t>01.3.3 · Elaboració d'una planificació d'actuacions de simulació d'incendis forestals naturals (cremes controlades i criteris d'actuació en cas d'incendi) dins — Redacció i aprovació del Pla</t>
        </is>
      </c>
    </row>
    <row r="27">
      <c r="A27" s="11" t="inlineStr">
        <is>
          <t>1. Natura</t>
        </is>
      </c>
      <c r="B27" s="11" t="inlineStr">
        <is>
          <t>01.3.3</t>
        </is>
      </c>
      <c r="C27" s="11" t="inlineStr">
        <is>
          <t>Procurar un règim de pertorbacions que afavoreixi l'ús sostenible dels recursos, la biodiversitat i el funcionament del ecosistemes</t>
        </is>
      </c>
      <c r="D27" s="11" t="inlineStr">
        <is>
          <t>Procurar un règim de pertorbacions que afavoreixi l'ús sostenible dels recursos, la biodiversitat i el funcionament del ecosistemes</t>
        </is>
      </c>
      <c r="E27" s="11" t="inlineStr">
        <is>
          <t>Realització de cremes controlades impulsades des del Parc</t>
        </is>
      </c>
      <c r="F27" s="11" t="inlineStr">
        <is>
          <t>Número de cremes sol·licitades formalment</t>
        </is>
      </c>
      <c r="G27" s="11" t="n">
        <v>1</v>
      </c>
      <c r="H27" s="11" t="n">
        <v>4</v>
      </c>
      <c r="I27" s="11" t="inlineStr">
        <is>
          <t>ALTA</t>
        </is>
      </c>
      <c r="J27" s="11" t="inlineStr">
        <is>
          <t>Patrimoni</t>
        </is>
      </c>
      <c r="K27" s="11" t="inlineStr">
        <is>
          <t>Oriol</t>
        </is>
      </c>
      <c r="L27" s="11" t="inlineStr">
        <is>
          <t>CONSERVAR LA NATURA i restaurar els ecosistemes, els processos naturals i seminaturals, la biodiversitat i la geodiversitat associada.</t>
        </is>
      </c>
      <c r="M27" s="11" t="inlineStr">
        <is>
          <t>Afavorir ecosistemes complexes, resilients, i d'alta biodiversitat per garantir la recuperació dels processos ecosistèmics</t>
        </is>
      </c>
      <c r="N27" s="11" t="inlineStr">
        <is>
          <t>Específic</t>
        </is>
      </c>
      <c r="O27" s="11" t="inlineStr">
        <is>
          <t>Optatiu</t>
        </is>
      </c>
      <c r="P27" s="11" t="inlineStr">
        <is>
          <t>Si</t>
        </is>
      </c>
      <c r="Q27" s="11" t="inlineStr">
        <is>
          <t>01.3.3 · Realització de cremes controlades impulsades des del Parc — Número de cremes sol·licitades formalment</t>
        </is>
      </c>
    </row>
    <row r="28">
      <c r="A28" s="11" t="inlineStr">
        <is>
          <t>1. Natura</t>
        </is>
      </c>
      <c r="B28" s="11" t="inlineStr">
        <is>
          <t>01.3.4</t>
        </is>
      </c>
      <c r="C28" s="11" t="inlineStr">
        <is>
          <t>Restaurar la dinàmica natural dels rius i altres ecosistemes aquàtics que estiguin dregradats</t>
        </is>
      </c>
      <c r="D28" s="11" t="inlineStr">
        <is>
          <t>Restaurar la dinàmica natural dels rius i altres ecosistemes aquàtics que estiguin dregradats</t>
        </is>
      </c>
      <c r="E28" s="11" t="inlineStr">
        <is>
          <t>Càlcul i sol·licitud implementació de cabals ecològics en aprofitaments hidroelèctrics dels rius del Parc o bé per desviament d'aigua per rec de prats</t>
        </is>
      </c>
      <c r="F28" s="11" t="inlineStr">
        <is>
          <t>Número d'aforaments de cabal ecològic calculats i tramitats</t>
        </is>
      </c>
      <c r="G28" s="11" t="n">
        <v>1</v>
      </c>
      <c r="H28" s="11" t="n">
        <v>6</v>
      </c>
      <c r="I28" s="11" t="inlineStr">
        <is>
          <t>MITJANA</t>
        </is>
      </c>
      <c r="J28" s="11" t="inlineStr">
        <is>
          <t>Patrimoni</t>
        </is>
      </c>
      <c r="K28" s="11" t="inlineStr">
        <is>
          <t>Oriol</t>
        </is>
      </c>
      <c r="L28" s="11" t="inlineStr">
        <is>
          <t>CONSERVAR LA NATURA i restaurar els ecosistemes, els processos naturals i seminaturals, la biodiversitat i la geodiversitat associada.</t>
        </is>
      </c>
      <c r="M28" s="11" t="inlineStr">
        <is>
          <t>Afavorir ecosistemes complexes, resilients, i d'alta biodiversitat per garantir la recuperació dels processos ecosistèmics</t>
        </is>
      </c>
      <c r="N28" s="11" t="inlineStr">
        <is>
          <t>Específic</t>
        </is>
      </c>
      <c r="O28" s="11" t="inlineStr">
        <is>
          <t>Optatiu</t>
        </is>
      </c>
      <c r="P28" s="11" t="inlineStr">
        <is>
          <t>Si</t>
        </is>
      </c>
      <c r="Q28" s="11" t="inlineStr">
        <is>
          <t>01.3.4 · Càlcul i sol·licitud implementació de cabals ecològics en aprofitaments hidroelèctrics dels rius del Parc o bé per desviament d'aigua per rec de prats — Número d'aforaments de cabal ecològic calculats i tramitats</t>
        </is>
      </c>
    </row>
    <row r="29">
      <c r="A29" s="11" t="inlineStr">
        <is>
          <t>1. Natura</t>
        </is>
      </c>
      <c r="B29" s="11" t="inlineStr">
        <is>
          <t>01.3.5</t>
        </is>
      </c>
      <c r="C29" s="11" t="inlineStr">
        <is>
          <t>Fomentar mosaics de paisatges resilients i diversos</t>
        </is>
      </c>
      <c r="D29" s="11" t="inlineStr">
        <is>
          <t>Fomentar mosaics de paisatges resilients i diversos</t>
        </is>
      </c>
      <c r="E29" s="11" t="inlineStr">
        <is>
          <t>Establir taules de treball entre l’equip del Parc i Comissió Ramadera per desenvolupar una proposta de línies d’ajut que respongui de forma més efectiva a les necessitats del sector i a la preservació dels hàbitats i la cultura associada, incloent la possibilitat de subvencionar pastors, vaquers i eugassers</t>
        </is>
      </c>
      <c r="F29" s="11" t="inlineStr">
        <is>
          <t>Número de sessions de treball realitzades</t>
        </is>
      </c>
      <c r="G29" s="11" t="n">
        <v>3</v>
      </c>
      <c r="H29" s="11" t="n">
        <v>10</v>
      </c>
      <c r="I29" s="11" t="inlineStr">
        <is>
          <t>ALTA</t>
        </is>
      </c>
      <c r="J29" s="11" t="inlineStr"/>
      <c r="K29" s="11" t="inlineStr"/>
      <c r="L29" s="11" t="inlineStr">
        <is>
          <t>CONSERVAR LA NATURA i restaurar els ecosistemes, els processos naturals i seminaturals, la biodiversitat i la geodiversitat associada.</t>
        </is>
      </c>
      <c r="M29" s="11" t="inlineStr">
        <is>
          <t>Afavorir ecosistemes complexes, resilients, i d'alta biodiversitat per garantir la recuperació dels processos ecosistèmics</t>
        </is>
      </c>
      <c r="N29" s="11" t="inlineStr">
        <is>
          <t>Específic</t>
        </is>
      </c>
      <c r="O29" s="11" t="inlineStr">
        <is>
          <t>Optatiu</t>
        </is>
      </c>
      <c r="P29" s="11" t="inlineStr">
        <is>
          <t>Si</t>
        </is>
      </c>
      <c r="Q29" s="11" t="inlineStr">
        <is>
          <t>01.3.5 · Establir taules de treball entre l’equip del Parc i Comissió Ramadera per desenvolupar una proposta de línies d’ajut que respongui de forma més efecti — Número de sessions de treball realitzades</t>
        </is>
      </c>
    </row>
    <row r="30">
      <c r="A30" s="11" t="inlineStr">
        <is>
          <t>1. Natura</t>
        </is>
      </c>
      <c r="B30" s="11" t="inlineStr">
        <is>
          <t>01.3.5</t>
        </is>
      </c>
      <c r="C30" s="11" t="inlineStr">
        <is>
          <t>Fomentar mosaics de paisatges resilients i diversos</t>
        </is>
      </c>
      <c r="D30" s="11" t="inlineStr">
        <is>
          <t>Fomentar mosaics de paisatges resilients i diversos</t>
        </is>
      </c>
      <c r="E30" s="11" t="inlineStr">
        <is>
          <t>Tramitació d'ajuts per explotacions ramaderes per gestionar l'herbivoria domèstica associada a la ramaderia extensiva</t>
        </is>
      </c>
      <c r="F30" s="11" t="inlineStr">
        <is>
          <t>Número expedients d'ajut de maneig de pastures</t>
        </is>
      </c>
      <c r="G30" s="11" t="inlineStr">
        <is>
          <t>Tots els sol·licitats</t>
        </is>
      </c>
      <c r="H30" s="11" t="inlineStr">
        <is>
          <t>Tots els sol·licitats dins del termini establert</t>
        </is>
      </c>
      <c r="I30" s="11" t="inlineStr">
        <is>
          <t>ALTA</t>
        </is>
      </c>
      <c r="J30" s="11" t="inlineStr">
        <is>
          <t>Patrimoni</t>
        </is>
      </c>
      <c r="K30" s="11" t="inlineStr">
        <is>
          <t>Josep</t>
        </is>
      </c>
      <c r="L30" s="11" t="inlineStr">
        <is>
          <t>CONSERVAR LA NATURA i restaurar els ecosistemes, els processos naturals i seminaturals, la biodiversitat i la geodiversitat associada.</t>
        </is>
      </c>
      <c r="M30" s="11" t="inlineStr">
        <is>
          <t>Afavorir ecosistemes complexes, resilients, i d'alta biodiversitat per garantir la recuperació dels processos ecosistèmics</t>
        </is>
      </c>
      <c r="N30" s="11" t="inlineStr">
        <is>
          <t>Específic</t>
        </is>
      </c>
      <c r="O30" s="11" t="inlineStr">
        <is>
          <t>Optatiu</t>
        </is>
      </c>
      <c r="P30" s="11" t="inlineStr">
        <is>
          <t>Si</t>
        </is>
      </c>
      <c r="Q30" s="11" t="inlineStr">
        <is>
          <t>01.3.5 · Tramitació d'ajuts per explotacions ramaderes per gestionar l'herbivoria domèstica associada a la ramaderia extensiva — Número expedients d'ajut de maneig de pastures</t>
        </is>
      </c>
    </row>
    <row r="31">
      <c r="A31" s="11" t="inlineStr">
        <is>
          <t>1. Natura</t>
        </is>
      </c>
      <c r="B31" s="11" t="inlineStr">
        <is>
          <t>01.3.5</t>
        </is>
      </c>
      <c r="C31" s="11" t="inlineStr">
        <is>
          <t>Fomentar mosaics de paisatges resilients i diversos</t>
        </is>
      </c>
      <c r="D31" s="11" t="inlineStr">
        <is>
          <t>Fomentar mosaics de paisatges resilients i diversos</t>
        </is>
      </c>
      <c r="E31" s="11" t="inlineStr">
        <is>
          <t>Realització d'un manual tècnic de bones pràctiques en ramaderia extensiva i recuperació i manteniment de pastures aplicat a l'ENP (Projecte REPICA)</t>
        </is>
      </c>
      <c r="F31" s="11" t="inlineStr">
        <is>
          <t>Progrés del manual tècnic</t>
        </is>
      </c>
      <c r="G31" s="11" t="inlineStr">
        <is>
          <t>Redacció</t>
        </is>
      </c>
      <c r="H31" s="11" t="inlineStr">
        <is>
          <t>Redacció, aprovació i divulgació</t>
        </is>
      </c>
      <c r="I31" s="11" t="inlineStr">
        <is>
          <t>ALTA</t>
        </is>
      </c>
      <c r="J31" s="11" t="inlineStr">
        <is>
          <t>Patrimoni</t>
        </is>
      </c>
      <c r="K31" s="11" t="inlineStr">
        <is>
          <t>Oriol</t>
        </is>
      </c>
      <c r="L31" s="11" t="inlineStr">
        <is>
          <t>CONSERVAR LA NATURA i restaurar els ecosistemes, els processos naturals i seminaturals, la biodiversitat i la geodiversitat associada.</t>
        </is>
      </c>
      <c r="M31" s="11" t="inlineStr">
        <is>
          <t>Afavorir ecosistemes complexes, resilients, i d'alta biodiversitat per garantir la recuperació dels processos ecosistèmics</t>
        </is>
      </c>
      <c r="N31" s="11" t="inlineStr">
        <is>
          <t>Específic</t>
        </is>
      </c>
      <c r="O31" s="11" t="inlineStr">
        <is>
          <t>Optatiu</t>
        </is>
      </c>
      <c r="P31" s="11" t="inlineStr">
        <is>
          <t>Si</t>
        </is>
      </c>
      <c r="Q31" s="11" t="inlineStr">
        <is>
          <t>01.3.5 · Realització d'un manual tècnic de bones pràctiques en ramaderia extensiva i recuperació i manteniment de pastures aplicat a l'ENP (Projecte REPICA) — Progrés del manual tècnic</t>
        </is>
      </c>
    </row>
    <row r="32">
      <c r="A32" s="11" t="inlineStr">
        <is>
          <t>1. Natura</t>
        </is>
      </c>
      <c r="B32" s="11" t="inlineStr">
        <is>
          <t>01.3.5</t>
        </is>
      </c>
      <c r="C32" s="11" t="inlineStr">
        <is>
          <t>Fomentar mosaics de paisatges resilients i diversos</t>
        </is>
      </c>
      <c r="D32" s="11" t="inlineStr">
        <is>
          <t>Fomentar mosaics de paisatges resilients i diversos</t>
        </is>
      </c>
      <c r="E32" s="11" t="inlineStr">
        <is>
          <t>Acords amb ramaders locals per actuacions de restauració i manteniment de pastures al voltant de pobles (POCTEFA Desbosiguem)</t>
        </is>
      </c>
      <c r="F32" s="11" t="inlineStr">
        <is>
          <t>Número acords implementats</t>
        </is>
      </c>
      <c r="G32" s="11" t="n">
        <v>1</v>
      </c>
      <c r="H32" s="11" t="n">
        <v>3</v>
      </c>
      <c r="I32" s="11" t="inlineStr">
        <is>
          <t>MITJANA</t>
        </is>
      </c>
      <c r="J32" s="11" t="inlineStr">
        <is>
          <t>Patrimoni</t>
        </is>
      </c>
      <c r="K32" s="11" t="inlineStr">
        <is>
          <t>Josep</t>
        </is>
      </c>
      <c r="L32" s="11" t="inlineStr">
        <is>
          <t>CONSERVAR LA NATURA i restaurar els ecosistemes, els processos naturals i seminaturals, la biodiversitat i la geodiversitat associada.</t>
        </is>
      </c>
      <c r="M32" s="11" t="inlineStr">
        <is>
          <t>Afavorir ecosistemes complexes, resilients, i d'alta biodiversitat per garantir la recuperació dels processos ecosistèmics</t>
        </is>
      </c>
      <c r="N32" s="11" t="inlineStr">
        <is>
          <t>Específic</t>
        </is>
      </c>
      <c r="O32" s="11" t="inlineStr">
        <is>
          <t>Optatiu</t>
        </is>
      </c>
      <c r="P32" s="11" t="inlineStr">
        <is>
          <t>Si</t>
        </is>
      </c>
      <c r="Q32" s="11" t="inlineStr">
        <is>
          <t>01.3.5 · Acords amb ramaders locals per actuacions de restauració i manteniment de pastures al voltant de pobles (POCTEFA Desbosiguem) — Número acords implementats</t>
        </is>
      </c>
    </row>
    <row r="33">
      <c r="A33" s="11" t="inlineStr">
        <is>
          <t>1. Natura</t>
        </is>
      </c>
      <c r="B33" s="11" t="inlineStr">
        <is>
          <t>01.3.5</t>
        </is>
      </c>
      <c r="C33" s="11" t="inlineStr">
        <is>
          <t>Fomentar mosaics de paisatges resilients i diversos</t>
        </is>
      </c>
      <c r="D33" s="11" t="inlineStr">
        <is>
          <t>Fomentar mosaics de paisatges resilients i diversos</t>
        </is>
      </c>
      <c r="E33" s="11" t="inlineStr">
        <is>
          <t>Afavorir la custòdia del territori amb entitats, per tal d’aconseguir fomentar el paisatge en mosaic i potenciar projectes de forma col·laborativa entre el parc, els ens locals i les entitats de custòdia</t>
        </is>
      </c>
      <c r="F33" s="11" t="inlineStr">
        <is>
          <t>Número d’acords de custòdia implementats</t>
        </is>
      </c>
      <c r="G33" s="11" t="n">
        <v>1</v>
      </c>
      <c r="H33" s="11" t="n">
        <v>3</v>
      </c>
      <c r="I33" s="11" t="inlineStr">
        <is>
          <t>MITJANA</t>
        </is>
      </c>
      <c r="J33" s="11" t="inlineStr"/>
      <c r="K33" s="11" t="inlineStr"/>
      <c r="L33" s="11" t="inlineStr">
        <is>
          <t>CONSERVAR LA NATURA i restaurar els ecosistemes, els processos naturals i seminaturals, la biodiversitat i la geodiversitat associada.</t>
        </is>
      </c>
      <c r="M33" s="11" t="inlineStr">
        <is>
          <t>Afavorir ecosistemes complexes, resilients, i d'alta biodiversitat per garantir la recuperació dels processos ecosistèmics</t>
        </is>
      </c>
      <c r="N33" s="11" t="inlineStr">
        <is>
          <t>Específic</t>
        </is>
      </c>
      <c r="O33" s="11" t="inlineStr">
        <is>
          <t>Optatiu</t>
        </is>
      </c>
      <c r="P33" s="11" t="inlineStr">
        <is>
          <t>Si</t>
        </is>
      </c>
      <c r="Q33" s="11" t="inlineStr">
        <is>
          <t>01.3.5 · Afavorir la custòdia del territori amb entitats, per tal d’aconseguir fomentar el paisatge en mosaic i potenciar projectes de forma col·laborativa ent — Número d’acords de custòdia implementats</t>
        </is>
      </c>
    </row>
    <row r="34">
      <c r="A34" s="11" t="inlineStr">
        <is>
          <t>1. Natura</t>
        </is>
      </c>
      <c r="B34" s="11" t="inlineStr">
        <is>
          <t>01.3.6</t>
        </is>
      </c>
      <c r="C34" s="11" t="inlineStr">
        <is>
          <t>Gestionar i intervenir en la dinàmica de poblacions de fauna que no tenen depredador natural</t>
        </is>
      </c>
      <c r="D34" s="11" t="inlineStr">
        <is>
          <t>Gestionar i intervenir en la dinàmica de poblacions de fauna que no tenen depredador natural</t>
        </is>
      </c>
      <c r="E34" s="11" t="inlineStr">
        <is>
          <t>Realització d'acords amb societats de caçadors mitjançant informes en els PTGMC</t>
        </is>
      </c>
      <c r="F34" s="11" t="inlineStr">
        <is>
          <t>Número informes preceptius de PTGMC</t>
        </is>
      </c>
      <c r="G34" s="11" t="inlineStr">
        <is>
          <t>Tots els sol·licitats</t>
        </is>
      </c>
      <c r="H34" s="11" t="inlineStr">
        <is>
          <t>Tots els sol·licitats dins de termini</t>
        </is>
      </c>
      <c r="I34" s="11" t="inlineStr">
        <is>
          <t>MITJANA</t>
        </is>
      </c>
      <c r="J34" s="11" t="inlineStr">
        <is>
          <t>Patrimoni</t>
        </is>
      </c>
      <c r="K34" s="11" t="inlineStr">
        <is>
          <t>Eli</t>
        </is>
      </c>
      <c r="L34" s="11" t="inlineStr">
        <is>
          <t>CONSERVAR LA NATURA i restaurar els ecosistemes, els processos naturals i seminaturals, la biodiversitat i la geodiversitat associada.</t>
        </is>
      </c>
      <c r="M34" s="11" t="inlineStr">
        <is>
          <t>Afavorir ecosistemes complexes, resilients, i d'alta biodiversitat per garantir la recuperació dels processos ecosistèmics</t>
        </is>
      </c>
      <c r="N34" s="11" t="inlineStr">
        <is>
          <t>Específic</t>
        </is>
      </c>
      <c r="O34" s="11" t="inlineStr">
        <is>
          <t>Optatiu</t>
        </is>
      </c>
      <c r="P34" s="11" t="inlineStr">
        <is>
          <t>Si</t>
        </is>
      </c>
      <c r="Q34" s="11" t="inlineStr">
        <is>
          <t>01.3.6 · Realització d'acords amb societats de caçadors mitjançant informes en els PTGMC — Número informes preceptius de PTGMC</t>
        </is>
      </c>
    </row>
    <row r="35">
      <c r="A35" s="11" t="inlineStr">
        <is>
          <t>1. Natura</t>
        </is>
      </c>
      <c r="B35" s="11" t="inlineStr">
        <is>
          <t>01.4.1</t>
        </is>
      </c>
      <c r="C35" s="11" t="inlineStr">
        <is>
          <t>Fomentar acords de custòdia en espais d'alt valor dins l'ENP per a la gestió dels elements prioritaris</t>
        </is>
      </c>
      <c r="D35" s="11" t="inlineStr">
        <is>
          <t>Fomentar acords de custòdia en espais d'alt valor dins l'ENP per a la gestió dels elements prioritaris</t>
        </is>
      </c>
      <c r="E35" s="11" t="inlineStr">
        <is>
          <t>Realització d'acords de custòdia aplicant el model d'acord elaborat per Serveis Centrals</t>
        </is>
      </c>
      <c r="F35" s="11" t="inlineStr">
        <is>
          <t>Número d'acords de custòdia duts a terme</t>
        </is>
      </c>
      <c r="G35" s="11" t="n">
        <v>1</v>
      </c>
      <c r="H35" s="11" t="n">
        <v>2</v>
      </c>
      <c r="I35" s="11" t="inlineStr">
        <is>
          <t>MÀXIMA</t>
        </is>
      </c>
      <c r="J35" s="11" t="inlineStr">
        <is>
          <t>Direccio</t>
        </is>
      </c>
      <c r="K35" s="11" t="inlineStr">
        <is>
          <t>Marc</t>
        </is>
      </c>
      <c r="L35" s="11" t="inlineStr">
        <is>
          <t>CONSERVAR LA NATURA i restaurar els ecosistemes, els processos naturals i seminaturals, la biodiversitat i la geodiversitat associada.</t>
        </is>
      </c>
      <c r="M35" s="11" t="inlineStr">
        <is>
          <t>Planificar l'adaptació dels sistemes naturals al canvi climàtic</t>
        </is>
      </c>
      <c r="N35" s="11" t="inlineStr">
        <is>
          <t>Comú</t>
        </is>
      </c>
      <c r="O35" s="11" t="inlineStr">
        <is>
          <t>Optatiu</t>
        </is>
      </c>
      <c r="P35" s="11" t="inlineStr">
        <is>
          <t>Si</t>
        </is>
      </c>
      <c r="Q35" s="11" t="inlineStr">
        <is>
          <t>01.4.1 · Realització d'acords de custòdia aplicant el model d'acord elaborat per Serveis Centrals — Número d'acords de custòdia duts a terme</t>
        </is>
      </c>
    </row>
    <row r="36">
      <c r="A36" s="11" t="inlineStr">
        <is>
          <t>1. Natura</t>
        </is>
      </c>
      <c r="B36" s="11" t="inlineStr">
        <is>
          <t>01.4.2</t>
        </is>
      </c>
      <c r="C36" s="11" t="inlineStr">
        <is>
          <t>Fomentar bones pràctiques entre els col·lectius de propietaris i gestors del territori</t>
        </is>
      </c>
      <c r="D36" s="11" t="inlineStr">
        <is>
          <t>Fomentar bones pràctiques entre els col·lectius de propietaris i gestors del territori</t>
        </is>
      </c>
      <c r="E36" s="11" t="inlineStr">
        <is>
          <t>Realització d'actuacions demostratives en finques pròpies per al foment de bones pràctiques</t>
        </is>
      </c>
      <c r="F36" s="11" t="inlineStr">
        <is>
          <t>Número d'actuacions demostratives en forests i finques patrimonials</t>
        </is>
      </c>
      <c r="G36" s="11" t="n">
        <v>1</v>
      </c>
      <c r="H36" s="11" t="n">
        <v>6</v>
      </c>
      <c r="I36" s="11" t="inlineStr">
        <is>
          <t>ALTA</t>
        </is>
      </c>
      <c r="J36" s="11" t="inlineStr">
        <is>
          <t>Direccio</t>
        </is>
      </c>
      <c r="K36" s="11" t="inlineStr">
        <is>
          <t>Marc</t>
        </is>
      </c>
      <c r="L36" s="11" t="inlineStr">
        <is>
          <t>CONSERVAR LA NATURA i restaurar els ecosistemes, els processos naturals i seminaturals, la biodiversitat i la geodiversitat associada.</t>
        </is>
      </c>
      <c r="M36" s="11" t="inlineStr">
        <is>
          <t>Planificar l'adaptació dels sistemes naturals al canvi climàtic</t>
        </is>
      </c>
      <c r="N36" s="11" t="inlineStr">
        <is>
          <t>Comú</t>
        </is>
      </c>
      <c r="O36" s="11" t="inlineStr">
        <is>
          <t>Optatiu</t>
        </is>
      </c>
      <c r="P36" s="11" t="inlineStr">
        <is>
          <t>Si</t>
        </is>
      </c>
      <c r="Q36" s="11" t="inlineStr">
        <is>
          <t>01.4.2 · Realització d'actuacions demostratives en finques pròpies per al foment de bones pràctiques — Número d'actuacions demostratives en forests i finques patrimonials</t>
        </is>
      </c>
    </row>
    <row r="37">
      <c r="A37" s="11" t="inlineStr">
        <is>
          <t>1. Natura</t>
        </is>
      </c>
      <c r="B37" s="11" t="inlineStr">
        <is>
          <t>01.4.3</t>
        </is>
      </c>
      <c r="C37" s="11" t="inlineStr">
        <is>
          <t>Impulsar la coordinació amb els ens locals i entitats del tercer sector en la gestió finques públiques situades dins d’ENP</t>
        </is>
      </c>
      <c r="D37" s="11" t="inlineStr">
        <is>
          <t>Impulsar la coordinació amb els ens locals i entitats del tercer sector en la gestió finques públiques situades dins d’ENP</t>
        </is>
      </c>
      <c r="E37" s="11" t="inlineStr">
        <is>
          <t>Realització de projectes de forma col·laborativa amb els ens locals i entitats del tercer sector per a la gestió de les forests comunals</t>
        </is>
      </c>
      <c r="F37" s="11" t="inlineStr">
        <is>
          <t>Nombre de projectes col·laboratius</t>
        </is>
      </c>
      <c r="G37" s="11" t="n">
        <v>3</v>
      </c>
      <c r="H37" s="11" t="n">
        <v>6</v>
      </c>
      <c r="I37" s="11" t="inlineStr">
        <is>
          <t>MÀXIMA</t>
        </is>
      </c>
      <c r="J37" s="11" t="inlineStr">
        <is>
          <t>Direccio</t>
        </is>
      </c>
      <c r="K37" s="11" t="inlineStr">
        <is>
          <t>Marc</t>
        </is>
      </c>
      <c r="L37" s="11" t="inlineStr">
        <is>
          <t>CONSERVAR LA NATURA i restaurar els ecosistemes, els processos naturals i seminaturals, la biodiversitat i la geodiversitat associada.</t>
        </is>
      </c>
      <c r="M37" s="11" t="inlineStr">
        <is>
          <t>Planificar l'adaptació dels sistemes naturals al canvi climàtic</t>
        </is>
      </c>
      <c r="N37" s="11" t="inlineStr">
        <is>
          <t>Específic</t>
        </is>
      </c>
      <c r="O37" s="11" t="inlineStr">
        <is>
          <t>Optatiu</t>
        </is>
      </c>
      <c r="P37" s="11" t="inlineStr">
        <is>
          <t>Si</t>
        </is>
      </c>
      <c r="Q37" s="11" t="inlineStr">
        <is>
          <t>01.4.3 · Realització de projectes de forma col·laborativa amb els ens locals i entitats del tercer sector per a la gestió de les forests comunals — Nombre de projectes col·laboratius</t>
        </is>
      </c>
    </row>
    <row r="38">
      <c r="A38" s="11" t="inlineStr">
        <is>
          <t>1. Natura</t>
        </is>
      </c>
      <c r="B38" s="11" t="inlineStr">
        <is>
          <t>02.1.1</t>
        </is>
      </c>
      <c r="C38" s="11" t="inlineStr">
        <is>
          <t>Adaptar i implementar el Pla d'adaptació de l'ENP al canvi climàtic</t>
        </is>
      </c>
      <c r="D38" s="11" t="inlineStr">
        <is>
          <t>Adaptar i implementar el Pla d'adaptació de l'ENP al canvi climàtic</t>
        </is>
      </c>
      <c r="E38" s="11" t="inlineStr">
        <is>
          <t>Implementació d'accions des del Parc previstes als plans d'adaptació al canvi climàtic municipals aprovats</t>
        </is>
      </c>
      <c r="F38" s="11" t="inlineStr">
        <is>
          <t>Nombre d'accions d'adaptació al canvi climàtic municipal implementades</t>
        </is>
      </c>
      <c r="G38" s="11" t="n">
        <v>3</v>
      </c>
      <c r="H38" s="11" t="n">
        <v>6</v>
      </c>
      <c r="I38" s="11" t="inlineStr">
        <is>
          <t>ALTA</t>
        </is>
      </c>
      <c r="J38" s="11" t="inlineStr">
        <is>
          <t>Direccio</t>
        </is>
      </c>
      <c r="K38" s="11" t="inlineStr">
        <is>
          <t>Marc</t>
        </is>
      </c>
      <c r="L38" s="11" t="inlineStr">
        <is>
          <t>ADAPTAR ELS ECOSISTEMES AL CANVI CLIMÀTIC i millorar-ne la resiliència en front dels riscos associats.</t>
        </is>
      </c>
      <c r="M38" s="11" t="inlineStr">
        <is>
          <t>Alinear l'activitat de propietaris i gestors del territori amb la conservació, millora i restauració dels valors de l'ENP</t>
        </is>
      </c>
      <c r="N38" s="11" t="inlineStr">
        <is>
          <t>Comú</t>
        </is>
      </c>
      <c r="O38" s="11" t="inlineStr">
        <is>
          <t>Obligatori</t>
        </is>
      </c>
      <c r="P38" s="11" t="inlineStr">
        <is>
          <t>Si</t>
        </is>
      </c>
      <c r="Q38" s="11" t="inlineStr">
        <is>
          <t>02.1.1 · Implementació d'accions des del Parc previstes als plans d'adaptació al canvi climàtic municipals aprovats — Nombre d'accions d'adaptació al canvi climàtic municipal implementades</t>
        </is>
      </c>
    </row>
    <row r="39">
      <c r="A39" s="11" t="inlineStr">
        <is>
          <t>1. Natura</t>
        </is>
      </c>
      <c r="B39" s="11" t="inlineStr">
        <is>
          <t>02.1.1</t>
        </is>
      </c>
      <c r="C39" s="11" t="inlineStr">
        <is>
          <t>Adaptar i implementar el Pla d'adaptació de l'ENP al canvi climàtic</t>
        </is>
      </c>
      <c r="D39" s="11" t="inlineStr">
        <is>
          <t>Adaptar i implementar el Pla d'adaptació de l'ENP al canvi climàtic</t>
        </is>
      </c>
      <c r="E39" s="11" t="inlineStr">
        <is>
          <t>Implementació d'accions de mitigació i adaptació al canvi climàtic previst per les empreses i equipaments acreditades per la CETS</t>
        </is>
      </c>
      <c r="F39" s="11" t="inlineStr">
        <is>
          <t>Nombre d'accions implementades</t>
        </is>
      </c>
      <c r="G39" s="11" t="n">
        <v>15</v>
      </c>
      <c r="H39" s="11" t="n">
        <v>40</v>
      </c>
      <c r="I39" s="11" t="inlineStr">
        <is>
          <t>ALTA</t>
        </is>
      </c>
      <c r="J39" s="11" t="inlineStr">
        <is>
          <t>Us Public</t>
        </is>
      </c>
      <c r="K39" s="11" t="inlineStr">
        <is>
          <t>Nuria</t>
        </is>
      </c>
      <c r="L39" s="11" t="inlineStr">
        <is>
          <t>ADAPTAR ELS ECOSISTEMES AL CANVI CLIMÀTIC i millorar-ne la resiliència en front dels riscos associats.</t>
        </is>
      </c>
      <c r="M39" s="11" t="inlineStr">
        <is>
          <t>Alinear l'activitat de propietaris i gestors del territori amb la conservació, millora i restauració dels valors de l'ENP</t>
        </is>
      </c>
      <c r="N39" s="11" t="inlineStr">
        <is>
          <t>Comú</t>
        </is>
      </c>
      <c r="O39" s="11" t="inlineStr">
        <is>
          <t>Obligatori</t>
        </is>
      </c>
      <c r="P39" s="11" t="inlineStr">
        <is>
          <t>Si</t>
        </is>
      </c>
      <c r="Q39" s="11" t="inlineStr">
        <is>
          <t>02.1.1 · Implementació d'accions de mitigació i adaptació al canvi climàtic previst per les empreses i equipaments acreditades per la CETS — Nombre d'accions implementades</t>
        </is>
      </c>
    </row>
    <row r="40">
      <c r="A40" s="11" t="inlineStr">
        <is>
          <t>1. Natura</t>
        </is>
      </c>
      <c r="B40" s="11" t="inlineStr">
        <is>
          <t>02.1.2</t>
        </is>
      </c>
      <c r="C40" s="11" t="inlineStr">
        <is>
          <t>Gestionar i planificar els recursos hídrics de l'ENP</t>
        </is>
      </c>
      <c r="D40" s="11" t="inlineStr">
        <is>
          <t>Gestionar i planificar els recursos hídrics de l'ENP</t>
        </is>
      </c>
      <c r="E40" s="11" t="inlineStr">
        <is>
          <t>Diagnosi dels cabals dels rius del Parc i establiment dels cabals ecològics</t>
        </is>
      </c>
      <c r="F40" s="11" t="inlineStr">
        <is>
          <t>Redacció de l'informe</t>
        </is>
      </c>
      <c r="G40" s="11" t="inlineStr">
        <is>
          <t>no</t>
        </is>
      </c>
      <c r="H40" s="11" t="inlineStr">
        <is>
          <t>si</t>
        </is>
      </c>
      <c r="I40" s="11" t="inlineStr">
        <is>
          <t>ALTA</t>
        </is>
      </c>
      <c r="J40" s="11" t="inlineStr">
        <is>
          <t>Patrimoni</t>
        </is>
      </c>
      <c r="K40" s="11" t="inlineStr">
        <is>
          <t>Oriol</t>
        </is>
      </c>
      <c r="L40" s="11" t="inlineStr">
        <is>
          <t>ADAPTAR ELS ECOSISTEMES AL CANVI CLIMÀTIC i millorar-ne la resiliència en front dels riscos associats.</t>
        </is>
      </c>
      <c r="M40" s="11" t="inlineStr">
        <is>
          <t>Alinear l'activitat de propietaris i gestors del territori amb la conservació, millora i restauració dels valors de l'ENP</t>
        </is>
      </c>
      <c r="N40" s="11" t="inlineStr">
        <is>
          <t>Comú</t>
        </is>
      </c>
      <c r="O40" s="11" t="inlineStr">
        <is>
          <t>Obligatori</t>
        </is>
      </c>
      <c r="P40" s="11" t="inlineStr">
        <is>
          <t>Si</t>
        </is>
      </c>
      <c r="Q40" s="11" t="inlineStr">
        <is>
          <t>02.1.2 · Diagnosi dels cabals dels rius del Parc i establiment dels cabals ecològics — Redacció de l'informe</t>
        </is>
      </c>
    </row>
    <row r="41">
      <c r="A41" s="11" t="inlineStr">
        <is>
          <t>1. Natura</t>
        </is>
      </c>
      <c r="B41" s="11" t="inlineStr">
        <is>
          <t>02.1.3</t>
        </is>
      </c>
      <c r="C41" s="11" t="inlineStr">
        <is>
          <t>Participar en la redacció i execució dels instruments d'ordenació forestal sostenible i per la conservació en finques públiques</t>
        </is>
      </c>
      <c r="D41" s="11" t="inlineStr">
        <is>
          <t>Participar en la redacció i execució dels instruments d'ordenació forestal sostenible i per la conservació en finques públiques</t>
        </is>
      </c>
      <c r="E41" s="11" t="inlineStr">
        <is>
          <t>Participació en la redacció d'IOF de finques públiques en la fase de zonificació i planificació</t>
        </is>
      </c>
      <c r="F41" s="11" t="inlineStr">
        <is>
          <t>Nombre de IOF amb participació activa</t>
        </is>
      </c>
      <c r="G41" s="11" t="n">
        <v>1</v>
      </c>
      <c r="H41" s="11" t="inlineStr">
        <is>
          <t>tots els que es redactin</t>
        </is>
      </c>
      <c r="I41" s="11" t="inlineStr">
        <is>
          <t>MÀXIMA</t>
        </is>
      </c>
      <c r="J41" s="11" t="inlineStr">
        <is>
          <t>Patrimoni</t>
        </is>
      </c>
      <c r="K41" s="11" t="inlineStr">
        <is>
          <t>Eli</t>
        </is>
      </c>
      <c r="L41" s="11" t="inlineStr">
        <is>
          <t>ADAPTAR ELS ECOSISTEMES AL CANVI CLIMÀTIC i millorar-ne la resiliència en front dels riscos associats.</t>
        </is>
      </c>
      <c r="M41" s="11" t="inlineStr">
        <is>
          <t>Alinear l'activitat de propietaris i gestors del territori amb la conservació, millora i restauració dels valors de l'ENP</t>
        </is>
      </c>
      <c r="N41" s="11" t="inlineStr">
        <is>
          <t>Específic</t>
        </is>
      </c>
      <c r="O41" s="11" t="inlineStr">
        <is>
          <t>Optatiu</t>
        </is>
      </c>
      <c r="P41" s="11" t="inlineStr">
        <is>
          <t>Si</t>
        </is>
      </c>
      <c r="Q41" s="11" t="inlineStr">
        <is>
          <t>02.1.3 · Participació en la redacció d'IOF de finques públiques en la fase de zonificació i planificació — Nombre de IOF amb participació activa</t>
        </is>
      </c>
    </row>
    <row r="42">
      <c r="A42" s="11" t="inlineStr">
        <is>
          <t>1. Natura</t>
        </is>
      </c>
      <c r="B42" s="11" t="inlineStr">
        <is>
          <t>02.1.3</t>
        </is>
      </c>
      <c r="C42" s="11" t="inlineStr">
        <is>
          <t>Participar en la redacció i execució dels instruments d'ordenació forestal sostenible i per la conservació en finques públiques</t>
        </is>
      </c>
      <c r="D42" s="11" t="inlineStr">
        <is>
          <t>Participar en la redacció i execució dels instruments d'ordenació forestal sostenible i per la conservació en finques públiques</t>
        </is>
      </c>
      <c r="E42" s="11" t="inlineStr">
        <is>
          <t>Realització d'accions demostratives en finques públiques o amb acord de custòdia de mutu acord amb el DARP i la propietat</t>
        </is>
      </c>
      <c r="F42" s="11" t="inlineStr">
        <is>
          <t>Nombre accions demostratives</t>
        </is>
      </c>
      <c r="G42" s="11" t="n">
        <v>5</v>
      </c>
      <c r="H42" s="11" t="n">
        <v>20</v>
      </c>
      <c r="I42" s="11" t="inlineStr">
        <is>
          <t>MITJANA</t>
        </is>
      </c>
      <c r="J42" s="11" t="inlineStr">
        <is>
          <t>Direccio</t>
        </is>
      </c>
      <c r="K42" s="11" t="inlineStr">
        <is>
          <t>Marc</t>
        </is>
      </c>
      <c r="L42" s="11" t="inlineStr">
        <is>
          <t>ADAPTAR ELS ECOSISTEMES AL CANVI CLIMÀTIC i millorar-ne la resiliència en front dels riscos associats.</t>
        </is>
      </c>
      <c r="M42" s="11" t="inlineStr">
        <is>
          <t>Alinear l'activitat de propietaris i gestors del territori amb la conservació, millora i restauració dels valors de l'ENP</t>
        </is>
      </c>
      <c r="N42" s="11" t="inlineStr">
        <is>
          <t>Específic</t>
        </is>
      </c>
      <c r="O42" s="11" t="inlineStr">
        <is>
          <t>Optatiu</t>
        </is>
      </c>
      <c r="P42" s="11" t="inlineStr">
        <is>
          <t>Si</t>
        </is>
      </c>
      <c r="Q42" s="11" t="inlineStr">
        <is>
          <t>02.1.3 · Realització d'accions demostratives en finques públiques o amb acord de custòdia de mutu acord amb el DARP i la propietat — Nombre accions demostratives</t>
        </is>
      </c>
    </row>
    <row r="43">
      <c r="A43" s="11" t="inlineStr">
        <is>
          <t>1. Natura</t>
        </is>
      </c>
      <c r="B43" s="11" t="inlineStr">
        <is>
          <t>02.1.3</t>
        </is>
      </c>
      <c r="C43" s="11" t="inlineStr">
        <is>
          <t>Participar en la redacció i execució dels instruments d'ordenació forestal sostenible i per la conservació en finques públiques</t>
        </is>
      </c>
      <c r="D43" s="11" t="inlineStr">
        <is>
          <t>Participar en la redacció i execució dels instruments d'ordenació forestal sostenible i per la conservació en finques públiques</t>
        </is>
      </c>
      <c r="E43" s="11" t="inlineStr">
        <is>
          <t>Realització de tractaments silvícoles per afavorir la biodiversitat de mutu acord amb el DARP i la propietat</t>
        </is>
      </c>
      <c r="F43" s="11" t="inlineStr">
        <is>
          <t>Ha intervingudes</t>
        </is>
      </c>
      <c r="G43" s="11" t="n">
        <v>20</v>
      </c>
      <c r="H43" s="11" t="n">
        <v>200</v>
      </c>
      <c r="I43" s="11" t="inlineStr">
        <is>
          <t>ALTA</t>
        </is>
      </c>
      <c r="J43" s="11" t="inlineStr">
        <is>
          <t>Patrimoni</t>
        </is>
      </c>
      <c r="K43" s="11" t="inlineStr">
        <is>
          <t>Eli</t>
        </is>
      </c>
      <c r="L43" s="11" t="inlineStr">
        <is>
          <t>ADAPTAR ELS ECOSISTEMES AL CANVI CLIMÀTIC i millorar-ne la resiliència en front dels riscos associats.</t>
        </is>
      </c>
      <c r="M43" s="11" t="inlineStr">
        <is>
          <t>Alinear l'activitat de propietaris i gestors del territori amb la conservació, millora i restauració dels valors de l'ENP</t>
        </is>
      </c>
      <c r="N43" s="11" t="inlineStr">
        <is>
          <t>Específic</t>
        </is>
      </c>
      <c r="O43" s="11" t="inlineStr">
        <is>
          <t>Optatiu</t>
        </is>
      </c>
      <c r="P43" s="11" t="inlineStr">
        <is>
          <t>Si</t>
        </is>
      </c>
      <c r="Q43" s="11" t="inlineStr">
        <is>
          <t>02.1.3 · Realització de tractaments silvícoles per afavorir la biodiversitat de mutu acord amb el DARP i la propietat — Ha intervingudes</t>
        </is>
      </c>
    </row>
    <row r="44">
      <c r="A44" s="11" t="inlineStr">
        <is>
          <t>1. Natura</t>
        </is>
      </c>
      <c r="B44" s="11" t="inlineStr">
        <is>
          <t>02.1.3</t>
        </is>
      </c>
      <c r="C44" s="11" t="inlineStr">
        <is>
          <t>Participar en la redacció i execució dels instruments d'ordenació forestal sostenible i per la conservació en finques públiques</t>
        </is>
      </c>
      <c r="D44" s="11" t="inlineStr">
        <is>
          <t>Participar en la redacció i execució dels instruments d'ordenació forestal sostenible i per la conservació en finques públiques</t>
        </is>
      </c>
      <c r="E44" s="11" t="inlineStr">
        <is>
          <t>Promoure als ens locals la sol·licitud d'ajuts disponibles per incentivar els serveis ecosistèmics per a la gestió forestal sostenible en finques publiques, incloent les finques patrimonials de la Generalitat amb drets comunals</t>
        </is>
      </c>
      <c r="F44" s="11" t="inlineStr">
        <is>
          <t>Número expedients d'ajut sol·licitats promoguts</t>
        </is>
      </c>
      <c r="G44" s="11" t="n">
        <v>2</v>
      </c>
      <c r="H44" s="11" t="n">
        <v>10</v>
      </c>
      <c r="I44" s="11" t="inlineStr">
        <is>
          <t>ALTA</t>
        </is>
      </c>
      <c r="J44" s="11" t="inlineStr">
        <is>
          <t>Patrimoni</t>
        </is>
      </c>
      <c r="K44" s="11" t="inlineStr">
        <is>
          <t>Eli</t>
        </is>
      </c>
      <c r="L44" s="11" t="inlineStr">
        <is>
          <t>ADAPTAR ELS ECOSISTEMES AL CANVI CLIMÀTIC i millorar-ne la resiliència en front dels riscos associats.</t>
        </is>
      </c>
      <c r="M44" s="11" t="inlineStr">
        <is>
          <t>Alinear l'activitat de propietaris i gestors del territori amb la conservació, millora i restauració dels valors de l'ENP</t>
        </is>
      </c>
      <c r="N44" s="11" t="inlineStr">
        <is>
          <t>Específic</t>
        </is>
      </c>
      <c r="O44" s="11" t="inlineStr">
        <is>
          <t>Optatiu</t>
        </is>
      </c>
      <c r="P44" s="11" t="inlineStr">
        <is>
          <t>Si</t>
        </is>
      </c>
      <c r="Q44" s="11" t="inlineStr">
        <is>
          <t>02.1.3 · Promoure als ens locals la sol·licitud d'ajuts disponibles per incentivar els serveis ecosistèmics per a la gestió forestal sostenible en finques publ — Número expedients d'ajut sol·licitats promoguts</t>
        </is>
      </c>
    </row>
    <row r="45">
      <c r="A45" s="11" t="inlineStr">
        <is>
          <t>1. Natura</t>
        </is>
      </c>
      <c r="B45" s="11" t="inlineStr">
        <is>
          <t>02.1.3</t>
        </is>
      </c>
      <c r="C45" s="11" t="inlineStr">
        <is>
          <t>Participar en la redacció i execució dels instruments d'ordenació forestal sostenible i per la conservació en finques públiques</t>
        </is>
      </c>
      <c r="D45" s="11" t="inlineStr">
        <is>
          <t>Participar en la redacció i execució dels instruments d'ordenació forestal sostenible i per la conservació en finques públiques</t>
        </is>
      </c>
      <c r="E45" s="11" t="inlineStr">
        <is>
          <t>Divulgar i implementar les instruccions acordades entre el DTER i el DARP per compatibilitzar la gestió forestal i la conservació del gall fer, els rapinyaires forestals i altres elements de conservació que s’acordin</t>
        </is>
      </c>
      <c r="F45" s="11" t="inlineStr">
        <is>
          <t>Número d’implementacions de les directrius</t>
        </is>
      </c>
      <c r="G45" s="11" t="n">
        <v>10</v>
      </c>
      <c r="H45" s="11" t="inlineStr">
        <is>
          <t>Tots els aprofitaments sol·licitats</t>
        </is>
      </c>
      <c r="I45" s="11" t="inlineStr">
        <is>
          <t>ALTA</t>
        </is>
      </c>
      <c r="J45" s="11" t="inlineStr"/>
      <c r="K45" s="11" t="inlineStr"/>
      <c r="L45" s="11" t="inlineStr">
        <is>
          <t>ADAPTAR ELS ECOSISTEMES AL CANVI CLIMÀTIC i millorar-ne la resiliència en front dels riscos associats.</t>
        </is>
      </c>
      <c r="M45" s="11" t="inlineStr">
        <is>
          <t>Alinear l'activitat de propietaris i gestors del territori amb la conservació, millora i restauració dels valors de l'ENP</t>
        </is>
      </c>
      <c r="N45" s="11" t="inlineStr">
        <is>
          <t>Específic</t>
        </is>
      </c>
      <c r="O45" s="11" t="inlineStr">
        <is>
          <t>Optatiu</t>
        </is>
      </c>
      <c r="P45" s="11" t="inlineStr">
        <is>
          <t>Si</t>
        </is>
      </c>
      <c r="Q45" s="11" t="inlineStr">
        <is>
          <t>02.1.3 · Divulgar i implementar les instruccions acordades entre el DTER i el DARP per compatibilitzar la gestió forestal i la conservació del gall fer, els ra — Número d’implementacions de les directrius</t>
        </is>
      </c>
    </row>
    <row r="46">
      <c r="A46" s="11" t="inlineStr">
        <is>
          <t>1. Natura</t>
        </is>
      </c>
      <c r="B46" s="11" t="inlineStr">
        <is>
          <t>02.1.4</t>
        </is>
      </c>
      <c r="C46" s="11" t="inlineStr">
        <is>
          <t>Promoure la redacció d'instruments d'ordenació forestal per reduir la sensibilitat i vulnerabilitat dels boscos al canvi climàtic en finques privades</t>
        </is>
      </c>
      <c r="D46" s="11" t="inlineStr">
        <is>
          <t>Promoure la redacció d'instruments d'ordenació forestal per reduir la sensibilitat i vulnerabilitat dels boscos al canvi climàtic en finques privades</t>
        </is>
      </c>
      <c r="E46" s="11" t="inlineStr">
        <is>
          <t>Promoció i participació en la redacció d'IOF de finques privades en la fase de zonificació i planificació</t>
        </is>
      </c>
      <c r="F46" s="11" t="inlineStr">
        <is>
          <t>Nombre de IOF amb participació activa</t>
        </is>
      </c>
      <c r="G46" s="11" t="n">
        <v>1</v>
      </c>
      <c r="H46" s="11" t="inlineStr">
        <is>
          <t>tots els que es redactin</t>
        </is>
      </c>
      <c r="I46" s="11" t="inlineStr">
        <is>
          <t>ALTA</t>
        </is>
      </c>
      <c r="J46" s="11" t="inlineStr">
        <is>
          <t>Patrimoni</t>
        </is>
      </c>
      <c r="K46" s="11" t="inlineStr">
        <is>
          <t>Eli</t>
        </is>
      </c>
      <c r="L46" s="11" t="inlineStr">
        <is>
          <t>ADAPTAR ELS ECOSISTEMES AL CANVI CLIMÀTIC i millorar-ne la resiliència en front dels riscos associats.</t>
        </is>
      </c>
      <c r="M46" s="11" t="inlineStr">
        <is>
          <t>Alinear l'activitat de propietaris i gestors del territori amb la conservació, millora i restauració dels valors de l'ENP</t>
        </is>
      </c>
      <c r="N46" s="11" t="inlineStr">
        <is>
          <t>Específic</t>
        </is>
      </c>
      <c r="O46" s="11" t="inlineStr">
        <is>
          <t>Optatiu</t>
        </is>
      </c>
      <c r="P46" s="11" t="inlineStr">
        <is>
          <t>No</t>
        </is>
      </c>
      <c r="Q46" s="11" t="inlineStr">
        <is>
          <t>02.1.4 · Promoció i participació en la redacció d'IOF de finques privades en la fase de zonificació i planificació — Nombre de IOF amb participació activa</t>
        </is>
      </c>
    </row>
    <row r="47">
      <c r="A47" s="11" t="inlineStr">
        <is>
          <t>1. Natura</t>
        </is>
      </c>
      <c r="B47" s="11" t="inlineStr">
        <is>
          <t>02.1.4</t>
        </is>
      </c>
      <c r="C47" s="11" t="inlineStr">
        <is>
          <t>Promoure la redacció d'instruments d'ordenació forestal per reduir la sensibilitat i vulnerabilitat dels boscos al canvi climàtic en finques privades</t>
        </is>
      </c>
      <c r="D47" s="11" t="inlineStr">
        <is>
          <t>Promoure la redacció d'instruments d'ordenació forestal per reduir la sensibilitat i vulnerabilitat dels boscos al canvi climàtic en finques privades</t>
        </is>
      </c>
      <c r="E47" s="11" t="inlineStr">
        <is>
          <t>Promoure als propietaris privats la solicitud d'ajuts disponibles per incentivar els serveis ecosistèmics per a la gestió forestal sostenible en finques privades</t>
        </is>
      </c>
      <c r="F47" s="11" t="inlineStr">
        <is>
          <t>Número expedients d'ajut sol·licitats promoguts</t>
        </is>
      </c>
      <c r="G47" s="11" t="n">
        <v>1</v>
      </c>
      <c r="H47" s="11" t="n">
        <v>5</v>
      </c>
      <c r="I47" s="11" t="inlineStr">
        <is>
          <t>ALTA</t>
        </is>
      </c>
      <c r="J47" s="11" t="inlineStr">
        <is>
          <t>Patrimoni</t>
        </is>
      </c>
      <c r="K47" s="11" t="inlineStr">
        <is>
          <t>Eli</t>
        </is>
      </c>
      <c r="L47" s="11" t="inlineStr">
        <is>
          <t>ADAPTAR ELS ECOSISTEMES AL CANVI CLIMÀTIC i millorar-ne la resiliència en front dels riscos associats.</t>
        </is>
      </c>
      <c r="M47" s="11" t="inlineStr">
        <is>
          <t>Alinear l'activitat de propietaris i gestors del territori amb la conservació, millora i restauració dels valors de l'ENP</t>
        </is>
      </c>
      <c r="N47" s="11" t="inlineStr">
        <is>
          <t>Específic</t>
        </is>
      </c>
      <c r="O47" s="11" t="inlineStr">
        <is>
          <t>Optatiu</t>
        </is>
      </c>
      <c r="P47" s="11" t="inlineStr">
        <is>
          <t>No</t>
        </is>
      </c>
      <c r="Q47" s="11" t="inlineStr">
        <is>
          <t>02.1.4 · Promoure als propietaris privats la solicitud d'ajuts disponibles per incentivar els serveis ecosistèmics per a la gestió forestal sostenible en finqu — Número expedients d'ajut sol·licitats promoguts</t>
        </is>
      </c>
    </row>
    <row r="48">
      <c r="A48" s="11" t="inlineStr">
        <is>
          <t>1. Natura</t>
        </is>
      </c>
      <c r="B48" s="11" t="inlineStr">
        <is>
          <t>02.2.1</t>
        </is>
      </c>
      <c r="C48" s="11" t="inlineStr">
        <is>
          <t>Redactar i implementar el Pla de Prevenció d'Incendis</t>
        </is>
      </c>
      <c r="D48" s="11" t="inlineStr">
        <is>
          <t>Redactar i implementar el Pla de Prevenció d'Incendis</t>
        </is>
      </c>
      <c r="E48" s="11" t="inlineStr">
        <is>
          <t>Elaboració i aprovació del Pla de Prevenció d'Incendis i gestió del foc (POCTEFA Desbosiguem) de mutu acord amb el DARP i ens locals</t>
        </is>
      </c>
      <c r="F48" s="11" t="inlineStr">
        <is>
          <t>Redacció i aprovació del Pla</t>
        </is>
      </c>
      <c r="G48" s="11" t="inlineStr">
        <is>
          <t>Redacció</t>
        </is>
      </c>
      <c r="H48" s="11" t="inlineStr">
        <is>
          <t>Redaccio i aprovació</t>
        </is>
      </c>
      <c r="I48" s="11" t="inlineStr">
        <is>
          <t>ALTA</t>
        </is>
      </c>
      <c r="J48" s="11" t="inlineStr">
        <is>
          <t>Direcció</t>
        </is>
      </c>
      <c r="K48" s="11" t="inlineStr">
        <is>
          <t>Marc</t>
        </is>
      </c>
      <c r="L48" s="11" t="inlineStr">
        <is>
          <t>ADAPTAR ELS ECOSISTEMES AL CANVI CLIMÀTIC i millorar-ne la resiliència en front dels riscos associats.</t>
        </is>
      </c>
      <c r="M48" s="11" t="inlineStr">
        <is>
          <t>Planificar la prevenció i extinció d’incendis forestals i la gestió del foc de forma coordinada amb els diferents agents del territori</t>
        </is>
      </c>
      <c r="N48" s="11" t="inlineStr">
        <is>
          <t>Comú</t>
        </is>
      </c>
      <c r="O48" s="11" t="inlineStr">
        <is>
          <t>Obligatori</t>
        </is>
      </c>
      <c r="P48" s="11" t="inlineStr">
        <is>
          <t>Si</t>
        </is>
      </c>
      <c r="Q48" s="11" t="inlineStr">
        <is>
          <t>02.2.1 · Elaboració i aprovació del Pla de Prevenció d'Incendis i gestió del foc (POCTEFA Desbosiguem) de mutu acord amb el DARP i ens locals — Redacció i aprovació del Pla</t>
        </is>
      </c>
    </row>
    <row r="49">
      <c r="A49" s="11" t="inlineStr">
        <is>
          <t>1. Natura</t>
        </is>
      </c>
      <c r="B49" s="11" t="inlineStr">
        <is>
          <t>02.2.1</t>
        </is>
      </c>
      <c r="C49" s="11" t="inlineStr">
        <is>
          <t>Redactar i implementar el Pla de Prevenció d'Incendis</t>
        </is>
      </c>
      <c r="D49" s="11" t="inlineStr">
        <is>
          <t>Redactar i implementar el Pla de Prevenció d'Incendis</t>
        </is>
      </c>
      <c r="E49" s="11" t="inlineStr">
        <is>
          <t>Realització d'accions de prevenció d'incendis forestals planificades: linies de defensa en vials forestals, punts d’aigua i actuacions en punts estratègics de gestió</t>
        </is>
      </c>
      <c r="F49" s="11" t="inlineStr">
        <is>
          <t>Número accions de prevenció d'incendis forestals</t>
        </is>
      </c>
      <c r="G49" s="11" t="n">
        <v>3</v>
      </c>
      <c r="H49" s="11" t="n">
        <v>8</v>
      </c>
      <c r="I49" s="11" t="inlineStr">
        <is>
          <t>MITJANA</t>
        </is>
      </c>
      <c r="J49" s="11" t="inlineStr">
        <is>
          <t>Millora rural</t>
        </is>
      </c>
      <c r="K49" s="11" t="inlineStr">
        <is>
          <t>Natalia</t>
        </is>
      </c>
      <c r="L49" s="11" t="inlineStr">
        <is>
          <t>ADAPTAR ELS ECOSISTEMES AL CANVI CLIMÀTIC i millorar-ne la resiliència en front dels riscos associats.</t>
        </is>
      </c>
      <c r="M49" s="11" t="inlineStr">
        <is>
          <t>Planificar la prevenció i extinció d’incendis forestals i la gestió del foc de forma coordinada amb els diferents agents del territori</t>
        </is>
      </c>
      <c r="N49" s="11" t="inlineStr">
        <is>
          <t>Comú</t>
        </is>
      </c>
      <c r="O49" s="11" t="inlineStr">
        <is>
          <t>Obligatori</t>
        </is>
      </c>
      <c r="P49" s="11" t="inlineStr">
        <is>
          <t>Si</t>
        </is>
      </c>
      <c r="Q49" s="11" t="inlineStr">
        <is>
          <t>02.2.1 · Realització d'accions de prevenció d'incendis forestals planificades: linies de defensa en vials forestals, punts d’aigua i actuacions en punts estrat — Número accions de prevenció d'incendis forestals</t>
        </is>
      </c>
    </row>
    <row r="50">
      <c r="A50" s="11" t="inlineStr">
        <is>
          <t>1. Natura</t>
        </is>
      </c>
      <c r="B50" s="11" t="inlineStr">
        <is>
          <t>02.2.2</t>
        </is>
      </c>
      <c r="C50" s="11" t="inlineStr">
        <is>
          <t>Definir i planificar la gestió del foc per a la millora de l'ENP</t>
        </is>
      </c>
      <c r="D50" s="11" t="inlineStr">
        <is>
          <t>Definir i planificar la gestió del foc per a la millora de l'ENP</t>
        </is>
      </c>
      <c r="E50" s="11" t="inlineStr">
        <is>
          <t>Elaboració i aprovació del Pla de Prevenció d'Incendis i gestió del foc (POCTEFA Desbosiguem)</t>
        </is>
      </c>
      <c r="F50" s="11" t="inlineStr">
        <is>
          <t>Redacció i aprovació del Pla</t>
        </is>
      </c>
      <c r="G50" s="11" t="inlineStr">
        <is>
          <t>Redacció</t>
        </is>
      </c>
      <c r="H50" s="11" t="inlineStr">
        <is>
          <t>Redacció i aprovació</t>
        </is>
      </c>
      <c r="I50" s="11" t="inlineStr">
        <is>
          <t>ALTA</t>
        </is>
      </c>
      <c r="J50" s="11" t="inlineStr">
        <is>
          <t>Direcció</t>
        </is>
      </c>
      <c r="K50" s="11" t="inlineStr">
        <is>
          <t>Marc</t>
        </is>
      </c>
      <c r="L50" s="11" t="inlineStr">
        <is>
          <t>ADAPTAR ELS ECOSISTEMES AL CANVI CLIMÀTIC i millorar-ne la resiliència en front dels riscos associats.</t>
        </is>
      </c>
      <c r="M50" s="11" t="inlineStr">
        <is>
          <t>Planificar la prevenció i extinció d’incendis forestals i la gestió del foc de forma coordinada amb els diferents agents del territori</t>
        </is>
      </c>
      <c r="N50" s="11" t="inlineStr">
        <is>
          <t>Específic</t>
        </is>
      </c>
      <c r="O50" s="11" t="inlineStr">
        <is>
          <t>Optatiu</t>
        </is>
      </c>
      <c r="P50" s="11" t="inlineStr">
        <is>
          <t>Si</t>
        </is>
      </c>
      <c r="Q50" s="11" t="inlineStr">
        <is>
          <t>02.2.2 · Elaboració i aprovació del Pla de Prevenció d'Incendis i gestió del foc (POCTEFA Desbosiguem) — Redacció i aprovació del Pla</t>
        </is>
      </c>
    </row>
    <row r="51">
      <c r="A51" s="11" t="inlineStr">
        <is>
          <t>1. Natura</t>
        </is>
      </c>
      <c r="B51" s="11" t="inlineStr">
        <is>
          <t>02.2.2</t>
        </is>
      </c>
      <c r="C51" s="11" t="inlineStr">
        <is>
          <t>Definir i planificar la gestió del foc per a la millora de l'ENP</t>
        </is>
      </c>
      <c r="D51" s="11" t="inlineStr">
        <is>
          <t>Definir i planificar la gestió del foc per a la millora de l'ENP</t>
        </is>
      </c>
      <c r="E51" s="11" t="inlineStr">
        <is>
          <t>Realització de cremes controlades impulsades des del Parc</t>
        </is>
      </c>
      <c r="F51" s="11" t="inlineStr">
        <is>
          <t>Número de cremes controlades</t>
        </is>
      </c>
      <c r="G51" s="11" t="n">
        <v>1</v>
      </c>
      <c r="H51" s="11" t="n">
        <v>4</v>
      </c>
      <c r="I51" s="11" t="inlineStr">
        <is>
          <t>ALTA</t>
        </is>
      </c>
      <c r="J51" s="11" t="inlineStr">
        <is>
          <t>Patrimoni</t>
        </is>
      </c>
      <c r="K51" s="11" t="inlineStr">
        <is>
          <t>Oriol</t>
        </is>
      </c>
      <c r="L51" s="11" t="inlineStr">
        <is>
          <t>ADAPTAR ELS ECOSISTEMES AL CANVI CLIMÀTIC i millorar-ne la resiliència en front dels riscos associats.</t>
        </is>
      </c>
      <c r="M51" s="11" t="inlineStr">
        <is>
          <t>Planificar la prevenció i extinció d’incendis forestals i la gestió del foc de forma coordinada amb els diferents agents del territori</t>
        </is>
      </c>
      <c r="N51" s="11" t="inlineStr">
        <is>
          <t>Específic</t>
        </is>
      </c>
      <c r="O51" s="11" t="inlineStr">
        <is>
          <t>Optatiu</t>
        </is>
      </c>
      <c r="P51" s="11" t="inlineStr">
        <is>
          <t>Si</t>
        </is>
      </c>
      <c r="Q51" s="11" t="inlineStr">
        <is>
          <t>02.2.2 · Realització de cremes controlades impulsades des del Parc — Número de cremes controlades</t>
        </is>
      </c>
    </row>
    <row r="52">
      <c r="A52" s="11" t="inlineStr">
        <is>
          <t>1. Natura</t>
        </is>
      </c>
      <c r="B52" s="11" t="inlineStr">
        <is>
          <t>02.2.3</t>
        </is>
      </c>
      <c r="C52" s="11" t="inlineStr">
        <is>
          <t>Treballar per a la prevenció d'incendis juntament amb els propietaris, ajuntaments, protecció civil, ADF i bombers.</t>
        </is>
      </c>
      <c r="D52" s="11" t="inlineStr">
        <is>
          <t>Treballar per a la prevenció d'incendis juntament amb els propietaris, ajuntaments, protecció civil, ADF i bombers.</t>
        </is>
      </c>
      <c r="E52" s="11" t="inlineStr">
        <is>
          <t>Execució d'altres actuacions de prevenció d'incendis forestals no recollides al Pla</t>
        </is>
      </c>
      <c r="F52" s="11" t="inlineStr">
        <is>
          <t>Número accions de prevenció d'incendis forestals</t>
        </is>
      </c>
      <c r="G52" s="11" t="n">
        <v>2</v>
      </c>
      <c r="H52" s="11" t="n">
        <v>10</v>
      </c>
      <c r="I52" s="11" t="inlineStr">
        <is>
          <t>MITJANA</t>
        </is>
      </c>
      <c r="J52" s="11" t="inlineStr">
        <is>
          <t>Millora rural</t>
        </is>
      </c>
      <c r="K52" s="11" t="inlineStr">
        <is>
          <t>Natalia</t>
        </is>
      </c>
      <c r="L52" s="11" t="inlineStr">
        <is>
          <t>ADAPTAR ELS ECOSISTEMES AL CANVI CLIMÀTIC i millorar-ne la resiliència en front dels riscos associats.</t>
        </is>
      </c>
      <c r="M52" s="11" t="inlineStr">
        <is>
          <t>Planificar la prevenció i extinció d’incendis forestals i la gestió del foc de forma coordinada amb els diferents agents del territori</t>
        </is>
      </c>
      <c r="N52" s="11" t="inlineStr">
        <is>
          <t>Comú</t>
        </is>
      </c>
      <c r="O52" s="11" t="inlineStr">
        <is>
          <t>Obligatori</t>
        </is>
      </c>
      <c r="P52" s="11" t="inlineStr">
        <is>
          <t>Si</t>
        </is>
      </c>
      <c r="Q52" s="11" t="inlineStr">
        <is>
          <t>02.2.3 · Execució d'altres actuacions de prevenció d'incendis forestals no recollides al Pla — Número accions de prevenció d'incendis forestals</t>
        </is>
      </c>
    </row>
    <row r="53">
      <c r="A53" s="11" t="inlineStr">
        <is>
          <t>1. Natura</t>
        </is>
      </c>
      <c r="B53" s="11" t="inlineStr">
        <is>
          <t>03.1.1</t>
        </is>
      </c>
      <c r="C53" s="11" t="inlineStr">
        <is>
          <t>Participar en les consultes dels procesos d'Avaluació Ambiental que afectin directament o indirectament l’espai del ENP</t>
        </is>
      </c>
      <c r="D53" s="11" t="inlineStr">
        <is>
          <t>Participar en les consultes dels procesos d'Avaluació Ambiental que afectin directament o indirectament l’espai del ENP</t>
        </is>
      </c>
      <c r="E53" s="11" t="inlineStr">
        <is>
          <t>Participació a les taules d'avaluació via informe preceptiu</t>
        </is>
      </c>
      <c r="F53" s="11" t="inlineStr">
        <is>
          <t>Número d'informes preceptius d'AIA</t>
        </is>
      </c>
      <c r="G53" s="11" t="n">
        <v>15</v>
      </c>
      <c r="H53" s="11" t="n">
        <v>40</v>
      </c>
      <c r="I53" s="11" t="inlineStr">
        <is>
          <t>MITJANA</t>
        </is>
      </c>
      <c r="J53" s="11" t="inlineStr">
        <is>
          <t>Patrimoni</t>
        </is>
      </c>
      <c r="K53" s="11" t="inlineStr">
        <is>
          <t>Eli</t>
        </is>
      </c>
      <c r="L53" s="11" t="inlineStr">
        <is>
          <t>PROTEGIR LA BIODIVERSITAT, i especialment els elements fràgils i amenaçats, d’interès comunitari o de major interès natural.</t>
        </is>
      </c>
      <c r="M53" s="11" t="inlineStr">
        <is>
          <t>Prevenir, minimitzar i compensar els impactes ambientals dels usos i activitats que es desenvolupin en l'àmbit de l'ENP</t>
        </is>
      </c>
      <c r="N53" s="11" t="inlineStr">
        <is>
          <t>Comú</t>
        </is>
      </c>
      <c r="O53" s="11" t="inlineStr">
        <is>
          <t>Obligatori</t>
        </is>
      </c>
      <c r="P53" s="11" t="inlineStr">
        <is>
          <t>No</t>
        </is>
      </c>
      <c r="Q53" s="11" t="inlineStr">
        <is>
          <t>03.1.1 · Participació a les taules d'avaluació via informe preceptiu — Número d'informes preceptius d'AIA</t>
        </is>
      </c>
    </row>
    <row r="54">
      <c r="A54" s="11" t="inlineStr">
        <is>
          <t>1. Natura</t>
        </is>
      </c>
      <c r="B54" s="11" t="inlineStr">
        <is>
          <t>03.1.2</t>
        </is>
      </c>
      <c r="C54" s="11" t="inlineStr">
        <is>
          <t>Exercir un seguiment efectiu de les obres al Parc juntament amb les Oficines Territorials d'Acció i Avaluació Ambiental als efectes d'assegurar la correcta translació de la tutela administrativa.</t>
        </is>
      </c>
      <c r="D54" s="11" t="inlineStr">
        <is>
          <t>Exercir un seguiment efectiu de les obres al Parc juntament amb les Oficines Territorials d'Acció i Avaluació Ambiental als efectes d'assegurar la correcta translació de la tutela administrativa.</t>
        </is>
      </c>
      <c r="E54" s="11" t="inlineStr">
        <is>
          <t>Seguiment de les obres i altres actuacions informades que afecten i es realitzen dins dels límits del PNAP+XN2000 Alt Pallars</t>
        </is>
      </c>
      <c r="F54" s="11" t="inlineStr">
        <is>
          <t>Número d'actes de visites</t>
        </is>
      </c>
      <c r="G54" s="11" t="inlineStr">
        <is>
          <t>10% dels que requereixin visita</t>
        </is>
      </c>
      <c r="H54" s="11" t="inlineStr">
        <is>
          <t>100% dels que requereixin visita</t>
        </is>
      </c>
      <c r="I54" s="11" t="inlineStr">
        <is>
          <t>MITJANA</t>
        </is>
      </c>
      <c r="J54" s="11" t="inlineStr">
        <is>
          <t>Patrimoni</t>
        </is>
      </c>
      <c r="K54" s="11" t="inlineStr">
        <is>
          <t>Josep</t>
        </is>
      </c>
      <c r="L54" s="11" t="inlineStr">
        <is>
          <t>PROTEGIR LA BIODIVERSITAT, i especialment els elements fràgils i amenaçats, d’interès comunitari o de major interès natural.</t>
        </is>
      </c>
      <c r="M54" s="11" t="inlineStr">
        <is>
          <t>Prevenir, minimitzar i compensar els impactes ambientals dels usos i activitats que es desenvolupin en l'àmbit de l'ENP</t>
        </is>
      </c>
      <c r="N54" s="11" t="inlineStr">
        <is>
          <t>Comú</t>
        </is>
      </c>
      <c r="O54" s="11" t="inlineStr">
        <is>
          <t>Obligatori</t>
        </is>
      </c>
      <c r="P54" s="11" t="inlineStr">
        <is>
          <t>Si</t>
        </is>
      </c>
      <c r="Q54" s="11" t="inlineStr">
        <is>
          <t>03.1.2 · Seguiment de les obres i altres actuacions informades que afecten i es realitzen dins dels límits del PNAP+XN2000 Alt Pallars — Número d'actes de visites</t>
        </is>
      </c>
    </row>
    <row r="55">
      <c r="A55" s="11" t="inlineStr">
        <is>
          <t>1. Natura</t>
        </is>
      </c>
      <c r="B55" s="11" t="inlineStr">
        <is>
          <t>03.1.3</t>
        </is>
      </c>
      <c r="C55" s="11" t="inlineStr">
        <is>
          <t>Participar en la compensació d'impactes residuals durant els processos d'avaluació ambiental mitjançant la identificació de necessitats d'actuació prioritària dins i fora dels límits de l’ENP</t>
        </is>
      </c>
      <c r="D55" s="11" t="inlineStr">
        <is>
          <t>Participar en la compensació d'impactes residuals durant els processos d'avaluació ambiental mitjançant la identificació de necessitats d'actuació prioritària dins i fora dels límits de l’ENP</t>
        </is>
      </c>
      <c r="E55" s="11" t="inlineStr">
        <is>
          <t>Establiment de mesures compensatories en cas de projectes que ho requereixin</t>
        </is>
      </c>
      <c r="F55" s="11" t="inlineStr">
        <is>
          <t>Número de mesures compensatories informades</t>
        </is>
      </c>
      <c r="G55" s="11" t="n">
        <v>0</v>
      </c>
      <c r="H55" s="11" t="n">
        <v>4</v>
      </c>
      <c r="I55" s="11" t="inlineStr">
        <is>
          <t>MITJANA</t>
        </is>
      </c>
      <c r="J55" s="11" t="inlineStr">
        <is>
          <t>Patrimoni</t>
        </is>
      </c>
      <c r="K55" s="11" t="inlineStr">
        <is>
          <t>Eli</t>
        </is>
      </c>
      <c r="L55" s="11" t="inlineStr">
        <is>
          <t>PROTEGIR LA BIODIVERSITAT, i especialment els elements fràgils i amenaçats, d’interès comunitari o de major interès natural.</t>
        </is>
      </c>
      <c r="M55" s="11" t="inlineStr">
        <is>
          <t>Prevenir, minimitzar i compensar els impactes ambientals dels usos i activitats que es desenvolupin en l'àmbit de l'ENP</t>
        </is>
      </c>
      <c r="N55" s="11" t="inlineStr">
        <is>
          <t>Comú</t>
        </is>
      </c>
      <c r="O55" s="11" t="inlineStr">
        <is>
          <t>Optatiu</t>
        </is>
      </c>
      <c r="P55" s="11" t="inlineStr">
        <is>
          <t>No</t>
        </is>
      </c>
      <c r="Q55" s="11" t="inlineStr">
        <is>
          <t>03.1.3 · Establiment de mesures compensatories en cas de projectes que ho requereixin — Número de mesures compensatories informades</t>
        </is>
      </c>
    </row>
    <row r="56">
      <c r="A56" s="11" t="inlineStr">
        <is>
          <t>1. Natura</t>
        </is>
      </c>
      <c r="B56" s="11" t="inlineStr">
        <is>
          <t>03.2.1</t>
        </is>
      </c>
      <c r="C56" s="11" t="inlineStr">
        <is>
          <t>Participar en l'elaboració dels instruments de planificació de l'ENP</t>
        </is>
      </c>
      <c r="D56" s="11" t="inlineStr">
        <is>
          <t>Participar en l'elaboració dels instruments de planificació de l'ENP</t>
        </is>
      </c>
      <c r="E56" s="11" t="inlineStr">
        <is>
          <t>Participació en l'elaboració del Pla de Protecció (PP) i Pla Rector d'usos i Gestió (PRUG) juntament amb l'SPEN</t>
        </is>
      </c>
      <c r="F56" s="11" t="inlineStr">
        <is>
          <t>Participació realitzada</t>
        </is>
      </c>
      <c r="G56" s="11" t="inlineStr">
        <is>
          <t>no</t>
        </is>
      </c>
      <c r="H56" s="11" t="inlineStr">
        <is>
          <t>si</t>
        </is>
      </c>
      <c r="I56" s="11" t="inlineStr">
        <is>
          <t>MÀXIMA</t>
        </is>
      </c>
      <c r="J56" s="11" t="inlineStr">
        <is>
          <t>Direcció</t>
        </is>
      </c>
      <c r="K56" s="11" t="inlineStr">
        <is>
          <t>Marc</t>
        </is>
      </c>
      <c r="L56" s="11" t="inlineStr">
        <is>
          <t>PROTEGIR LA BIODIVERSITAT, i especialment els elements fràgils i amenaçats, d’interès comunitari o de major interès natural.</t>
        </is>
      </c>
      <c r="M56" s="11" t="inlineStr">
        <is>
          <t>Garantir el compliment dels objectius de conservació dotant l'ENP de la planificació adequada segons estableix la normativa vigent (Pla de Protecció, PRUG, plans específics...)</t>
        </is>
      </c>
      <c r="N56" s="11" t="inlineStr">
        <is>
          <t>Comú</t>
        </is>
      </c>
      <c r="O56" s="11" t="inlineStr">
        <is>
          <t>Obligatori</t>
        </is>
      </c>
      <c r="P56" s="11" t="inlineStr">
        <is>
          <t>Si</t>
        </is>
      </c>
      <c r="Q56" s="11" t="inlineStr">
        <is>
          <t>03.2.1 · Participació en l'elaboració del Pla de Protecció (PP) i Pla Rector d'usos i Gestió (PRUG) juntament amb l'SPEN — Participació realitzada</t>
        </is>
      </c>
    </row>
    <row r="57">
      <c r="A57" s="11" t="inlineStr">
        <is>
          <t>1. Natura</t>
        </is>
      </c>
      <c r="B57" s="11" t="inlineStr">
        <is>
          <t>03.3.1</t>
        </is>
      </c>
      <c r="C57" s="11" t="inlineStr">
        <is>
          <t>Vetllar pel manteniment del cabal ecològic dels rius definit al Pla sectorial corresponent</t>
        </is>
      </c>
      <c r="D57" s="11" t="inlineStr">
        <is>
          <t>Vetllar pel manteniment del cabal ecològic dels rius definit al Pla sectorial corresponent</t>
        </is>
      </c>
      <c r="E57" s="11" t="inlineStr">
        <is>
          <t>Participació en el seguiment del cabal en els trams dins ENP</t>
        </is>
      </c>
      <c r="F57" s="11" t="inlineStr">
        <is>
          <t>Número estacions de seguiment del Parc</t>
        </is>
      </c>
      <c r="G57" s="11" t="n">
        <v>5</v>
      </c>
      <c r="H57" s="11" t="n">
        <v>10</v>
      </c>
      <c r="I57" s="11" t="inlineStr">
        <is>
          <t>ALTA</t>
        </is>
      </c>
      <c r="J57" s="11" t="inlineStr">
        <is>
          <t>Patrimoni</t>
        </is>
      </c>
      <c r="K57" s="11" t="inlineStr">
        <is>
          <t>Oriol</t>
        </is>
      </c>
      <c r="L57" s="11" t="inlineStr">
        <is>
          <t>PROTEGIR LA BIODIVERSITAT, i especialment els elements fràgils i amenaçats, d’interès comunitari o de major interès natural.</t>
        </is>
      </c>
      <c r="M57" s="11" t="inlineStr">
        <is>
          <t>Vetllar pel manteniment dels cabals ecològics i la bona qualitat dels cursos fluvials de l'ENP de forma coordinada amb l'administració competent</t>
        </is>
      </c>
      <c r="N57" s="11" t="inlineStr">
        <is>
          <t>Específic</t>
        </is>
      </c>
      <c r="O57" s="11" t="inlineStr">
        <is>
          <t>Optatiu</t>
        </is>
      </c>
      <c r="P57" s="11" t="inlineStr">
        <is>
          <t>Si</t>
        </is>
      </c>
      <c r="Q57" s="11" t="inlineStr">
        <is>
          <t>03.3.1 · Participació en el seguiment del cabal en els trams dins ENP — Número estacions de seguiment del Parc</t>
        </is>
      </c>
    </row>
    <row r="58">
      <c r="A58" s="11" t="inlineStr">
        <is>
          <t>1. Natura</t>
        </is>
      </c>
      <c r="B58" s="11" t="inlineStr">
        <is>
          <t>03.3.1</t>
        </is>
      </c>
      <c r="C58" s="11" t="inlineStr">
        <is>
          <t>Vetllar pel manteniment del cabal ecològic dels rius definit al Pla sectorial corresponent</t>
        </is>
      </c>
      <c r="D58" s="11" t="inlineStr">
        <is>
          <t>Vetllar pel manteniment del cabal ecològic dels rius definit al Pla sectorial corresponent</t>
        </is>
      </c>
      <c r="E58" s="11" t="inlineStr">
        <is>
          <t>Impuls del control per incompliment de la normativa i el seu trasllat cap a l'administració competent</t>
        </is>
      </c>
      <c r="F58" s="11" t="inlineStr">
        <is>
          <t>Número d'informes per incompliment tramesos al CAR i/o ACA i/o CHE</t>
        </is>
      </c>
      <c r="G58" s="11" t="n">
        <v>0</v>
      </c>
      <c r="H58" s="11" t="inlineStr">
        <is>
          <t>Tots els que es detectin</t>
        </is>
      </c>
      <c r="I58" s="11" t="inlineStr">
        <is>
          <t>MITJANA</t>
        </is>
      </c>
      <c r="J58" s="11" t="inlineStr">
        <is>
          <t>Direccio</t>
        </is>
      </c>
      <c r="K58" s="11" t="inlineStr">
        <is>
          <t>Marc</t>
        </is>
      </c>
      <c r="L58" s="11" t="inlineStr">
        <is>
          <t>PROTEGIR LA BIODIVERSITAT, i especialment els elements fràgils i amenaçats, d’interès comunitari o de major interès natural.</t>
        </is>
      </c>
      <c r="M58" s="11" t="inlineStr">
        <is>
          <t>Vetllar pel manteniment dels cabals ecològics i la bona qualitat dels cursos fluvials de l'ENP de forma coordinada amb l'administració competent</t>
        </is>
      </c>
      <c r="N58" s="11" t="inlineStr">
        <is>
          <t>Específic</t>
        </is>
      </c>
      <c r="O58" s="11" t="inlineStr">
        <is>
          <t>Optatiu</t>
        </is>
      </c>
      <c r="P58" s="11" t="inlineStr">
        <is>
          <t>Si</t>
        </is>
      </c>
      <c r="Q58" s="11" t="inlineStr">
        <is>
          <t>03.3.1 · Impuls del control per incompliment de la normativa i el seu trasllat cap a l'administració competent — Número d'informes per incompliment tramesos al CAR i/o ACA i/o CHE</t>
        </is>
      </c>
    </row>
    <row r="59">
      <c r="A59" s="11" t="inlineStr">
        <is>
          <t>1. Natura</t>
        </is>
      </c>
      <c r="B59" s="11" t="inlineStr">
        <is>
          <t>03.3.1</t>
        </is>
      </c>
      <c r="C59" s="11" t="inlineStr">
        <is>
          <t>Vetllar pel manteniment del cabal ecològic dels rius definit al Pla sectorial corresponent</t>
        </is>
      </c>
      <c r="D59" s="11" t="inlineStr">
        <is>
          <t>Vetllar pel manteniment del cabal ecològic dels rius definit al Pla sectorial corresponent</t>
        </is>
      </c>
      <c r="E59" s="11" t="inlineStr">
        <is>
          <t>Participació en el Pla Hidrològic de la Conca de l'Ebre</t>
        </is>
      </c>
      <c r="F59" s="11" t="inlineStr">
        <is>
          <t>Redacció informe preceptiu vers el Pla</t>
        </is>
      </c>
      <c r="G59" s="11" t="n">
        <v>0</v>
      </c>
      <c r="H59" s="11" t="n">
        <v>1</v>
      </c>
      <c r="I59" s="11" t="inlineStr">
        <is>
          <t>ALTA</t>
        </is>
      </c>
      <c r="J59" s="11" t="inlineStr">
        <is>
          <t>Patrimoni</t>
        </is>
      </c>
      <c r="K59" s="11" t="inlineStr">
        <is>
          <t>Eli</t>
        </is>
      </c>
      <c r="L59" s="11" t="inlineStr">
        <is>
          <t>PROTEGIR LA BIODIVERSITAT, i especialment els elements fràgils i amenaçats, d’interès comunitari o de major interès natural.</t>
        </is>
      </c>
      <c r="M59" s="11" t="inlineStr">
        <is>
          <t>Vetllar pel manteniment dels cabals ecològics i la bona qualitat dels cursos fluvials de l'ENP de forma coordinada amb l'administració competent</t>
        </is>
      </c>
      <c r="N59" s="11" t="inlineStr">
        <is>
          <t>Específic</t>
        </is>
      </c>
      <c r="O59" s="11" t="inlineStr">
        <is>
          <t>Optatiu</t>
        </is>
      </c>
      <c r="P59" s="11" t="inlineStr">
        <is>
          <t>Si</t>
        </is>
      </c>
      <c r="Q59" s="11" t="inlineStr">
        <is>
          <t>03.3.1 · Participació en el Pla Hidrològic de la Conca de l'Ebre — Redacció informe preceptiu vers el Pla</t>
        </is>
      </c>
    </row>
    <row r="60">
      <c r="A60" s="11" t="inlineStr">
        <is>
          <t>1. Natura</t>
        </is>
      </c>
      <c r="B60" s="11" t="inlineStr">
        <is>
          <t>03.3.1</t>
        </is>
      </c>
      <c r="C60" s="11" t="inlineStr">
        <is>
          <t>Vetllar pel manteniment del cabal ecològic dels rius definit al Pla sectorial corresponent</t>
        </is>
      </c>
      <c r="D60" s="11" t="inlineStr">
        <is>
          <t>Vetllar pel manteniment del cabal ecològic dels rius definit al Pla sectorial corresponent</t>
        </is>
      </c>
      <c r="E60" s="11" t="inlineStr">
        <is>
          <t>Integració i participació en les comissions de desembassament prevegi la CHE</t>
        </is>
      </c>
      <c r="F60" s="11" t="inlineStr">
        <is>
          <t>Número de participacions</t>
        </is>
      </c>
      <c r="G60" s="11" t="n">
        <v>0</v>
      </c>
      <c r="H60" s="11" t="inlineStr">
        <is>
          <t>Totes les comissions es facin</t>
        </is>
      </c>
      <c r="I60" s="11" t="inlineStr">
        <is>
          <t>MITJANA</t>
        </is>
      </c>
      <c r="J60" s="11" t="inlineStr">
        <is>
          <t>Patrimoni</t>
        </is>
      </c>
      <c r="K60" s="11" t="inlineStr">
        <is>
          <t>Eli</t>
        </is>
      </c>
      <c r="L60" s="11" t="inlineStr">
        <is>
          <t>PROTEGIR LA BIODIVERSITAT, i especialment els elements fràgils i amenaçats, d’interès comunitari o de major interès natural.</t>
        </is>
      </c>
      <c r="M60" s="11" t="inlineStr">
        <is>
          <t>Vetllar pel manteniment dels cabals ecològics i la bona qualitat dels cursos fluvials de l'ENP de forma coordinada amb l'administració competent</t>
        </is>
      </c>
      <c r="N60" s="11" t="inlineStr">
        <is>
          <t>Específic</t>
        </is>
      </c>
      <c r="O60" s="11" t="inlineStr">
        <is>
          <t>Optatiu</t>
        </is>
      </c>
      <c r="P60" s="11" t="inlineStr">
        <is>
          <t>Si</t>
        </is>
      </c>
      <c r="Q60" s="11" t="inlineStr">
        <is>
          <t>03.3.1 · Integració i participació en les comissions de desembassament prevegi la CHE — Número de participacions</t>
        </is>
      </c>
    </row>
    <row r="61">
      <c r="A61" s="11" t="inlineStr">
        <is>
          <t>1. Natura</t>
        </is>
      </c>
      <c r="B61" s="11" t="inlineStr">
        <is>
          <t>03.3.2</t>
        </is>
      </c>
      <c r="C61" s="11" t="inlineStr">
        <is>
          <t>Vetllar per la regulació dels dragatges, canalitzacions o implantació d'activitats extractives que puguin modificar la llera i el cabal dels rius</t>
        </is>
      </c>
      <c r="D61" s="11" t="inlineStr">
        <is>
          <t>Vetllar per la regulació dels dragatges, canalitzacions o implantació d'activitats extractives que puguin modificar la llera i el cabal dels rius</t>
        </is>
      </c>
      <c r="E61" s="11" t="inlineStr">
        <is>
          <t>Informes preceptius i requeriments emesos d'aquest àmbit</t>
        </is>
      </c>
      <c r="F61" s="11" t="inlineStr">
        <is>
          <t>Número informes preceptius i requeriments</t>
        </is>
      </c>
      <c r="G61" s="11" t="n">
        <v>0</v>
      </c>
      <c r="H61" s="11" t="inlineStr">
        <is>
          <t>Tots els que es demanin</t>
        </is>
      </c>
      <c r="I61" s="11" t="inlineStr">
        <is>
          <t>ALTA</t>
        </is>
      </c>
      <c r="J61" s="11" t="inlineStr">
        <is>
          <t>Patrimoni</t>
        </is>
      </c>
      <c r="K61" s="11" t="inlineStr">
        <is>
          <t>Eli</t>
        </is>
      </c>
      <c r="L61" s="11" t="inlineStr">
        <is>
          <t>PROTEGIR LA BIODIVERSITAT, i especialment els elements fràgils i amenaçats, d’interès comunitari o de major interès natural.</t>
        </is>
      </c>
      <c r="M61" s="11" t="inlineStr">
        <is>
          <t>Vetllar pel manteniment dels cabals ecològics i la bona qualitat dels cursos fluvials de l'ENP de forma coordinada amb l'administració competent</t>
        </is>
      </c>
      <c r="N61" s="11" t="inlineStr">
        <is>
          <t>Específic</t>
        </is>
      </c>
      <c r="O61" s="11" t="inlineStr">
        <is>
          <t>Optatiu</t>
        </is>
      </c>
      <c r="P61" s="11" t="inlineStr">
        <is>
          <t>No</t>
        </is>
      </c>
      <c r="Q61" s="11" t="inlineStr">
        <is>
          <t>03.3.2 · Informes preceptius i requeriments emesos d'aquest àmbit — Número informes preceptius i requeriments</t>
        </is>
      </c>
    </row>
    <row r="62">
      <c r="A62" s="11" t="inlineStr">
        <is>
          <t>1. Natura</t>
        </is>
      </c>
      <c r="B62" s="11" t="inlineStr">
        <is>
          <t>03.3.3</t>
        </is>
      </c>
      <c r="C62" s="11" t="inlineStr">
        <is>
          <t>Avaluar i controlar les actuacions que produeixin drenatges, captacions o que puguin impedir l’arribada d’aigua tant superficial com freàtica</t>
        </is>
      </c>
      <c r="D62" s="11" t="inlineStr">
        <is>
          <t>Avaluar i controlar les actuacions que produeixin drenatges, captacions o que puguin impedir l’arribada d’aigua tant superficial com freàtica</t>
        </is>
      </c>
      <c r="E62" s="11" t="inlineStr">
        <is>
          <t>Participació, de forma coordinada amb l'administració competent, en l'avaluació i control d'actuacions dins els límits de l'ENP.</t>
        </is>
      </c>
      <c r="F62" s="11" t="inlineStr">
        <is>
          <t>Número informes precepetius</t>
        </is>
      </c>
      <c r="G62" s="11" t="n">
        <v>0</v>
      </c>
      <c r="H62" s="11" t="inlineStr">
        <is>
          <t>Tots els que es demanin</t>
        </is>
      </c>
      <c r="I62" s="11" t="inlineStr">
        <is>
          <t>ALTA</t>
        </is>
      </c>
      <c r="J62" s="11" t="inlineStr">
        <is>
          <t>Patrimoni</t>
        </is>
      </c>
      <c r="K62" s="11" t="inlineStr">
        <is>
          <t>Eli</t>
        </is>
      </c>
      <c r="L62" s="11" t="inlineStr">
        <is>
          <t>PROTEGIR LA BIODIVERSITAT, i especialment els elements fràgils i amenaçats, d’interès comunitari o de major interès natural.</t>
        </is>
      </c>
      <c r="M62" s="11" t="inlineStr">
        <is>
          <t>Vetllar pel manteniment dels cabals ecològics i la bona qualitat dels cursos fluvials de l'ENP de forma coordinada amb l'administració competent</t>
        </is>
      </c>
      <c r="N62" s="11" t="inlineStr">
        <is>
          <t>Específic</t>
        </is>
      </c>
      <c r="O62" s="11" t="inlineStr">
        <is>
          <t>Optatiu</t>
        </is>
      </c>
      <c r="P62" s="11" t="inlineStr">
        <is>
          <t>No</t>
        </is>
      </c>
      <c r="Q62" s="11" t="inlineStr">
        <is>
          <t>03.3.3 · Participació, de forma coordinada amb l'administració competent, en l'avaluació i control d'actuacions dins els límits de l'ENP. — Número informes precepetius</t>
        </is>
      </c>
    </row>
    <row r="63">
      <c r="A63" s="11" t="inlineStr">
        <is>
          <t>1. Natura</t>
        </is>
      </c>
      <c r="B63" s="11" t="inlineStr">
        <is>
          <t>03.3.3</t>
        </is>
      </c>
      <c r="C63" s="11" t="inlineStr">
        <is>
          <t>Avaluar i controlar les actuacions que produeixin drenatges, captacions o que puguin impedir l’arribada d’aigua tant superficial com freàtica</t>
        </is>
      </c>
      <c r="D63" s="11" t="inlineStr">
        <is>
          <t>Avaluar i controlar les actuacions que produeixin drenatges, captacions o que puguin impedir l’arribada d’aigua tant superficial com freàtica</t>
        </is>
      </c>
      <c r="E63" s="11" t="inlineStr">
        <is>
          <t>Impuls del control per incompliment de la normativa i el seu trasllat cap a l'administració competent</t>
        </is>
      </c>
      <c r="F63" s="11" t="inlineStr">
        <is>
          <t>Número d'informes per incompliment tramesos al CAR i/o ACA i/o CHE</t>
        </is>
      </c>
      <c r="G63" s="11" t="n">
        <v>0</v>
      </c>
      <c r="H63" s="11" t="inlineStr">
        <is>
          <t>Tots els que es detectin</t>
        </is>
      </c>
      <c r="I63" s="11" t="inlineStr">
        <is>
          <t>ALTA</t>
        </is>
      </c>
      <c r="J63" s="11" t="inlineStr">
        <is>
          <t>Direccio</t>
        </is>
      </c>
      <c r="K63" s="11" t="inlineStr">
        <is>
          <t>Marc</t>
        </is>
      </c>
      <c r="L63" s="11" t="inlineStr">
        <is>
          <t>PROTEGIR LA BIODIVERSITAT, i especialment els elements fràgils i amenaçats, d’interès comunitari o de major interès natural.</t>
        </is>
      </c>
      <c r="M63" s="11" t="inlineStr">
        <is>
          <t>Vetllar pel manteniment dels cabals ecològics i la bona qualitat dels cursos fluvials de l'ENP de forma coordinada amb l'administració competent</t>
        </is>
      </c>
      <c r="N63" s="11" t="inlineStr">
        <is>
          <t>Específic</t>
        </is>
      </c>
      <c r="O63" s="11" t="inlineStr">
        <is>
          <t>Optatiu</t>
        </is>
      </c>
      <c r="P63" s="11" t="inlineStr">
        <is>
          <t>No</t>
        </is>
      </c>
      <c r="Q63" s="11" t="inlineStr">
        <is>
          <t>03.3.3 · Impuls del control per incompliment de la normativa i el seu trasllat cap a l'administració competent — Número d'informes per incompliment tramesos al CAR i/o ACA i/o CHE</t>
        </is>
      </c>
    </row>
    <row r="64">
      <c r="A64" s="11" t="inlineStr">
        <is>
          <t>1. Natura</t>
        </is>
      </c>
      <c r="B64" s="11" t="inlineStr">
        <is>
          <t>03.3.4</t>
        </is>
      </c>
      <c r="C64" s="11" t="inlineStr">
        <is>
          <t>Vetllar pel compliment de la normativa de depuració dels efluents agroramaders, urbans i industrials que s'aboquen als cursos fluvials</t>
        </is>
      </c>
      <c r="D64" s="11" t="inlineStr">
        <is>
          <t>Vetllar pel compliment de la normativa de depuració dels efluents agroramaders, urbans i industrials que s'aboquen als cursos fluvials</t>
        </is>
      </c>
      <c r="E64" s="11" t="inlineStr">
        <is>
          <t>Impuls del control per incompliment de la normativa i el seu trasllat cap a l'administració competent</t>
        </is>
      </c>
      <c r="F64" s="11" t="inlineStr">
        <is>
          <t>Número d'informes per incompliment tramesos al CAR i/o ACA i/o CHE</t>
        </is>
      </c>
      <c r="G64" s="11" t="n">
        <v>0</v>
      </c>
      <c r="H64" s="11" t="inlineStr">
        <is>
          <t>Tots els que es detectin</t>
        </is>
      </c>
      <c r="I64" s="11" t="inlineStr">
        <is>
          <t>ALTA</t>
        </is>
      </c>
      <c r="J64" s="11" t="inlineStr">
        <is>
          <t>Direccio</t>
        </is>
      </c>
      <c r="K64" s="11" t="inlineStr">
        <is>
          <t>Marc</t>
        </is>
      </c>
      <c r="L64" s="11" t="inlineStr">
        <is>
          <t>PROTEGIR LA BIODIVERSITAT, i especialment els elements fràgils i amenaçats, d’interès comunitari o de major interès natural.</t>
        </is>
      </c>
      <c r="M64" s="11" t="inlineStr">
        <is>
          <t>Vetllar pel manteniment dels cabals ecològics i la bona qualitat dels cursos fluvials de l'ENP de forma coordinada amb l'administració competent</t>
        </is>
      </c>
      <c r="N64" s="11" t="inlineStr">
        <is>
          <t>Específic</t>
        </is>
      </c>
      <c r="O64" s="11" t="inlineStr">
        <is>
          <t>Optatiu</t>
        </is>
      </c>
      <c r="P64" s="11" t="inlineStr">
        <is>
          <t>No</t>
        </is>
      </c>
      <c r="Q64" s="11" t="inlineStr">
        <is>
          <t>03.3.4 · Impuls del control per incompliment de la normativa i el seu trasllat cap a l'administració competent — Número d'informes per incompliment tramesos al CAR i/o ACA i/o CHE</t>
        </is>
      </c>
    </row>
    <row r="65">
      <c r="A65" s="11" t="inlineStr">
        <is>
          <t>1. Natura</t>
        </is>
      </c>
      <c r="B65" s="11" t="inlineStr">
        <is>
          <t>03.4.1</t>
        </is>
      </c>
      <c r="C65" s="11" t="inlineStr">
        <is>
          <t>Identificar espais prioritaris per a la compra de terrenys de més valor dins l'ENP</t>
        </is>
      </c>
      <c r="D65" s="11" t="inlineStr">
        <is>
          <t>Identificar espais prioritaris per a la compra de terrenys de més valor dins l'ENP</t>
        </is>
      </c>
      <c r="E65" s="11" t="inlineStr">
        <is>
          <t>Participació en la identificació de finques prioritàries en base als criteris indicats</t>
        </is>
      </c>
      <c r="F65" s="11" t="inlineStr">
        <is>
          <t>Número de finques identificades</t>
        </is>
      </c>
      <c r="G65" s="11" t="n">
        <v>1</v>
      </c>
      <c r="H65" s="11" t="n">
        <v>5</v>
      </c>
      <c r="I65" s="11" t="inlineStr">
        <is>
          <t>ALTA</t>
        </is>
      </c>
      <c r="J65" s="11" t="inlineStr">
        <is>
          <t>Direccio</t>
        </is>
      </c>
      <c r="K65" s="11" t="inlineStr">
        <is>
          <t>Marc</t>
        </is>
      </c>
      <c r="L65" s="11" t="inlineStr">
        <is>
          <t>PROTEGIR LA BIODIVERSITAT, i especialment els elements fràgils i amenaçats, d’interès comunitari o de major interès natural.</t>
        </is>
      </c>
      <c r="M65" s="11" t="inlineStr">
        <is>
          <t>Incrementar el patrimoni públic destinat a la conservació i millora del patrimoni natural</t>
        </is>
      </c>
      <c r="N65" s="11" t="inlineStr">
        <is>
          <t>Comú</t>
        </is>
      </c>
      <c r="O65" s="11" t="inlineStr">
        <is>
          <t>Optatiu</t>
        </is>
      </c>
      <c r="P65" s="11" t="inlineStr">
        <is>
          <t>Si</t>
        </is>
      </c>
      <c r="Q65" s="11" t="inlineStr">
        <is>
          <t>03.4.1 · Participació en la identificació de finques prioritàries en base als criteris indicats — Número de finques identificades</t>
        </is>
      </c>
    </row>
    <row r="66">
      <c r="A66" s="11" t="inlineStr">
        <is>
          <t>1. Natura</t>
        </is>
      </c>
      <c r="B66" s="11" t="inlineStr">
        <is>
          <t>03.4.2</t>
        </is>
      </c>
      <c r="C66" s="11" t="inlineStr">
        <is>
          <t>Identificar espais prioritaris per a la gestió directa</t>
        </is>
      </c>
      <c r="D66" s="11" t="inlineStr">
        <is>
          <t>Identificar espais prioritaris per a la gestió directa</t>
        </is>
      </c>
      <c r="E66" s="11" t="inlineStr">
        <is>
          <t>Participació en la identificació de finques prioritàries en base als criteris indicats</t>
        </is>
      </c>
      <c r="F66" s="11" t="inlineStr">
        <is>
          <t>Número de finques identificades</t>
        </is>
      </c>
      <c r="G66" s="11" t="n">
        <v>5</v>
      </c>
      <c r="H66" s="11" t="n">
        <v>8</v>
      </c>
      <c r="I66" s="11" t="inlineStr">
        <is>
          <t>ALTA</t>
        </is>
      </c>
      <c r="J66" s="11" t="inlineStr">
        <is>
          <t>Direccio</t>
        </is>
      </c>
      <c r="K66" s="11" t="inlineStr">
        <is>
          <t>Marc</t>
        </is>
      </c>
      <c r="L66" s="11" t="inlineStr">
        <is>
          <t>PROTEGIR LA BIODIVERSITAT, i especialment els elements fràgils i amenaçats, d’interès comunitari o de major interès natural.</t>
        </is>
      </c>
      <c r="M66" s="11" t="inlineStr">
        <is>
          <t>Incrementar el patrimoni públic destinat a la conservació i millora del patrimoni natural</t>
        </is>
      </c>
      <c r="N66" s="11" t="inlineStr">
        <is>
          <t>Comú</t>
        </is>
      </c>
      <c r="O66" s="11" t="inlineStr">
        <is>
          <t>Optatiu</t>
        </is>
      </c>
      <c r="P66" s="11" t="inlineStr">
        <is>
          <t>Si</t>
        </is>
      </c>
      <c r="Q66" s="11" t="inlineStr">
        <is>
          <t>03.4.2 · Participació en la identificació de finques prioritàries en base als criteris indicats — Número de finques identificades</t>
        </is>
      </c>
    </row>
    <row r="67">
      <c r="A67" s="11" t="inlineStr">
        <is>
          <t>1. Natura</t>
        </is>
      </c>
      <c r="B67" s="11" t="inlineStr">
        <is>
          <t>03.4.2</t>
        </is>
      </c>
      <c r="C67" s="11" t="inlineStr">
        <is>
          <t>Identificar espais prioritaris per a la gestió directa</t>
        </is>
      </c>
      <c r="D67" s="11" t="inlineStr">
        <is>
          <t>Identificar espais prioritaris per a la gestió directa</t>
        </is>
      </c>
      <c r="E67" s="11" t="inlineStr">
        <is>
          <t>Participació i foment de la compra o adquisició de drets d’aprofitament</t>
        </is>
      </c>
      <c r="F67" s="11" t="inlineStr">
        <is>
          <t>Número d'expedients de compra o adquisició de drets tramesos</t>
        </is>
      </c>
      <c r="G67" s="11" t="n">
        <v>1</v>
      </c>
      <c r="H67" s="11" t="n">
        <v>5</v>
      </c>
      <c r="I67" s="11" t="inlineStr">
        <is>
          <t>ALTA</t>
        </is>
      </c>
      <c r="J67" s="11" t="inlineStr">
        <is>
          <t>Direccio</t>
        </is>
      </c>
      <c r="K67" s="11" t="inlineStr">
        <is>
          <t>Marc</t>
        </is>
      </c>
      <c r="L67" s="11" t="inlineStr">
        <is>
          <t>PROTEGIR LA BIODIVERSITAT, i especialment els elements fràgils i amenaçats, d’interès comunitari o de major interès natural.</t>
        </is>
      </c>
      <c r="M67" s="11" t="inlineStr">
        <is>
          <t>Incrementar el patrimoni públic destinat a la conservació i millora del patrimoni natural</t>
        </is>
      </c>
      <c r="N67" s="11" t="inlineStr">
        <is>
          <t>Comú</t>
        </is>
      </c>
      <c r="O67" s="11" t="inlineStr">
        <is>
          <t>Optatiu</t>
        </is>
      </c>
      <c r="P67" s="11" t="inlineStr">
        <is>
          <t>Si</t>
        </is>
      </c>
      <c r="Q67" s="11" t="inlineStr">
        <is>
          <t>03.4.2 · Participació i foment de la compra o adquisició de drets d’aprofitament — Número d'expedients de compra o adquisició de drets tramesos</t>
        </is>
      </c>
    </row>
    <row r="68">
      <c r="A68" s="11" t="inlineStr">
        <is>
          <t>2. Cultura</t>
        </is>
      </c>
      <c r="B68" s="11" t="inlineStr">
        <is>
          <t>04.1.1</t>
        </is>
      </c>
      <c r="C68" s="11" t="inlineStr">
        <is>
          <t>Elaborar l'inventari i cartografia de patrimoni cultural de l'ENP, que també inclogui el patrimoni etnològic i immaterial</t>
        </is>
      </c>
      <c r="D68" s="11" t="inlineStr">
        <is>
          <t>Elaborar l'inventari i cartografia de patrimoni cultural de l'ENP, que també inclogui el patrimoni etnològic i immaterial</t>
        </is>
      </c>
      <c r="E68" s="11" t="inlineStr">
        <is>
          <t>Actualització i georeferenciació dels inventaris del patrimoni arquitectònic i arqueològic existents del Parc</t>
        </is>
      </c>
      <c r="F68" s="11" t="inlineStr">
        <is>
          <t>Número d'elements actualitzats</t>
        </is>
      </c>
      <c r="G68" s="11" t="n">
        <v>10</v>
      </c>
      <c r="H68" s="11" t="n">
        <v>50</v>
      </c>
      <c r="I68" s="11" t="inlineStr">
        <is>
          <t>MITJANA</t>
        </is>
      </c>
      <c r="J68" s="11" t="inlineStr">
        <is>
          <t>Direccio</t>
        </is>
      </c>
      <c r="K68" s="11" t="inlineStr">
        <is>
          <t>Marc</t>
        </is>
      </c>
      <c r="L68" s="11" t="inlineStr">
        <is>
          <t>CONSERVAR ELS ELEMENTS CULTURALS materials i immaterials vinculats a la natura</t>
        </is>
      </c>
      <c r="M68" s="11" t="inlineStr">
        <is>
          <t>Millorar el coneixement disponible sobre el patrimoni arquitectònic i cultural (material i immaterial) vinculat al patrimoni natural, el seu estat de conservació i els estils propis dels territoris de l'ENP</t>
        </is>
      </c>
      <c r="N68" s="11" t="inlineStr">
        <is>
          <t>Comú</t>
        </is>
      </c>
      <c r="O68" s="11" t="inlineStr">
        <is>
          <t>Optatiu</t>
        </is>
      </c>
      <c r="P68" s="11" t="inlineStr">
        <is>
          <t>Si</t>
        </is>
      </c>
      <c r="Q68" s="11" t="inlineStr">
        <is>
          <t>04.1.1 · Actualització i georeferenciació dels inventaris del patrimoni arquitectònic i arqueològic existents del Parc — Número d'elements actualitzats</t>
        </is>
      </c>
    </row>
    <row r="69">
      <c r="A69" s="11" t="inlineStr">
        <is>
          <t>2. Cultura</t>
        </is>
      </c>
      <c r="B69" s="11" t="inlineStr">
        <is>
          <t>04.1.1</t>
        </is>
      </c>
      <c r="C69" s="11" t="inlineStr">
        <is>
          <t>Elaborar l'inventari i cartografia de patrimoni cultural de l'ENP, que també inclogui el patrimoni etnològic i immaterial</t>
        </is>
      </c>
      <c r="D69" s="11" t="inlineStr">
        <is>
          <t>Elaborar l'inventari i cartografia de patrimoni cultural de l'ENP, que també inclogui el patrimoni etnològic i immaterial</t>
        </is>
      </c>
      <c r="E69" s="11" t="inlineStr">
        <is>
          <t>Prospecció arqueològica de zones alpines del Parc: massís Marimanha, Vall d'Unarre, Vall de Tavascan i capçalera de la Vall Ferrera</t>
        </is>
      </c>
      <c r="F69" s="11" t="inlineStr">
        <is>
          <t>Número d'elements prospectats</t>
        </is>
      </c>
      <c r="G69" s="11" t="n">
        <v>20</v>
      </c>
      <c r="H69" s="11" t="n">
        <v>100</v>
      </c>
      <c r="I69" s="11" t="inlineStr">
        <is>
          <t>MITJANA</t>
        </is>
      </c>
      <c r="J69" s="11" t="inlineStr">
        <is>
          <t>Direccio</t>
        </is>
      </c>
      <c r="K69" s="11" t="inlineStr">
        <is>
          <t>Marc</t>
        </is>
      </c>
      <c r="L69" s="11" t="inlineStr">
        <is>
          <t>CONSERVAR ELS ELEMENTS CULTURALS materials i immaterials vinculats a la natura</t>
        </is>
      </c>
      <c r="M69" s="11" t="inlineStr">
        <is>
          <t>Millorar el coneixement disponible sobre el patrimoni arquitectònic i cultural (material i immaterial) vinculat al patrimoni natural, el seu estat de conservació i els estils propis dels territoris de l'ENP</t>
        </is>
      </c>
      <c r="N69" s="11" t="inlineStr">
        <is>
          <t>Comú</t>
        </is>
      </c>
      <c r="O69" s="11" t="inlineStr">
        <is>
          <t>Optatiu</t>
        </is>
      </c>
      <c r="P69" s="11" t="inlineStr">
        <is>
          <t>Si</t>
        </is>
      </c>
      <c r="Q69" s="11" t="inlineStr">
        <is>
          <t>04.1.1 · Prospecció arqueològica de zones alpines del Parc: massís Marimanha, Vall d'Unarre, Vall de Tavascan i capçalera de la Vall Ferrera — Número d'elements prospectats</t>
        </is>
      </c>
    </row>
    <row r="70">
      <c r="A70" s="11" t="inlineStr">
        <is>
          <t>2. Cultura</t>
        </is>
      </c>
      <c r="B70" s="11" t="inlineStr">
        <is>
          <t>04.1.1</t>
        </is>
      </c>
      <c r="C70" s="11" t="inlineStr">
        <is>
          <t>Elaborar l'inventari i cartografia de patrimoni cultural de l'ENP, que també inclogui el patrimoni etnològic i immaterial</t>
        </is>
      </c>
      <c r="D70" s="11" t="inlineStr">
        <is>
          <t>Elaborar l'inventari i cartografia de patrimoni cultural de l'ENP, que també inclogui el patrimoni etnològic i immaterial</t>
        </is>
      </c>
      <c r="E70" s="11" t="inlineStr">
        <is>
          <t>Continuar les excavacions arqueològiques de l'explotació siderúrgica de Virós, Cova de l'Home Mort, Santa Creu de Llagunes, i iniciar l'excavació de Sant Martí del Pui i Sant Joan de l’Erm vell, i accions de conservació i divulgació d’aquests jaciments</t>
        </is>
      </c>
      <c r="F70" s="11" t="inlineStr">
        <is>
          <t>Número de campanyes d'excavació realitzades</t>
        </is>
      </c>
      <c r="G70" s="11" t="n">
        <v>3</v>
      </c>
      <c r="H70" s="11" t="n">
        <v>10</v>
      </c>
      <c r="I70" s="11" t="inlineStr">
        <is>
          <t>ALTA</t>
        </is>
      </c>
      <c r="J70" s="11" t="inlineStr">
        <is>
          <t>Direccio</t>
        </is>
      </c>
      <c r="K70" s="11" t="inlineStr">
        <is>
          <t>Marc</t>
        </is>
      </c>
      <c r="L70" s="11" t="inlineStr">
        <is>
          <t>CONSERVAR ELS ELEMENTS CULTURALS materials i immaterials vinculats a la natura</t>
        </is>
      </c>
      <c r="M70" s="11" t="inlineStr">
        <is>
          <t>Millorar el coneixement disponible sobre el patrimoni arquitectònic i cultural (material i immaterial) vinculat al patrimoni natural, el seu estat de conservació i els estils propis dels territoris de l'ENP</t>
        </is>
      </c>
      <c r="N70" s="11" t="inlineStr">
        <is>
          <t>Comú</t>
        </is>
      </c>
      <c r="O70" s="11" t="inlineStr">
        <is>
          <t>Optatiu</t>
        </is>
      </c>
      <c r="P70" s="11" t="inlineStr">
        <is>
          <t>Si</t>
        </is>
      </c>
      <c r="Q70" s="11" t="inlineStr">
        <is>
          <t>04.1.1 · Continuar les excavacions arqueològiques de l'explotació siderúrgica de Virós, Cova de l'Home Mort, Santa Creu de Llagunes, i iniciar l'excavació de S — Número de campanyes d'excavació realitzades</t>
        </is>
      </c>
    </row>
    <row r="71">
      <c r="A71" s="11" t="inlineStr">
        <is>
          <t>2. Cultura</t>
        </is>
      </c>
      <c r="B71" s="11" t="inlineStr">
        <is>
          <t>04.1.1</t>
        </is>
      </c>
      <c r="C71" s="11" t="inlineStr">
        <is>
          <t>Elaborar l'inventari i cartografia de patrimoni cultural de l'ENP, que també inclogui el patrimoni etnològic i immaterial</t>
        </is>
      </c>
      <c r="D71" s="11" t="inlineStr">
        <is>
          <t>Elaborar l'inventari i cartografia de patrimoni cultural de l'ENP, que també inclogui el patrimoni etnològic i immaterial</t>
        </is>
      </c>
      <c r="E71" s="11" t="inlineStr">
        <is>
          <t>Actualització de l'inventari de les infraestructures agroramaderes històriques del Parc</t>
        </is>
      </c>
      <c r="F71" s="11" t="inlineStr">
        <is>
          <t>Número d'infraestructures inventariades i/o actualitzades</t>
        </is>
      </c>
      <c r="G71" s="11" t="n">
        <v>10</v>
      </c>
      <c r="H71" s="11" t="n">
        <v>50</v>
      </c>
      <c r="I71" s="11" t="inlineStr">
        <is>
          <t>BAIXA</t>
        </is>
      </c>
      <c r="J71" s="11" t="inlineStr">
        <is>
          <t>Direccio</t>
        </is>
      </c>
      <c r="K71" s="11" t="inlineStr">
        <is>
          <t>Marc</t>
        </is>
      </c>
      <c r="L71" s="11" t="inlineStr">
        <is>
          <t>CONSERVAR ELS ELEMENTS CULTURALS materials i immaterials vinculats a la natura</t>
        </is>
      </c>
      <c r="M71" s="11" t="inlineStr">
        <is>
          <t>Millorar el coneixement disponible sobre el patrimoni arquitectònic i cultural (material i immaterial) vinculat al patrimoni natural, el seu estat de conservació i els estils propis dels territoris de l'ENP</t>
        </is>
      </c>
      <c r="N71" s="11" t="inlineStr">
        <is>
          <t>Comú</t>
        </is>
      </c>
      <c r="O71" s="11" t="inlineStr">
        <is>
          <t>Optatiu</t>
        </is>
      </c>
      <c r="P71" s="11" t="inlineStr">
        <is>
          <t>Si</t>
        </is>
      </c>
      <c r="Q71" s="11" t="inlineStr">
        <is>
          <t>04.1.1 · Actualització de l'inventari de les infraestructures agroramaderes històriques del Parc — Número d'infraestructures inventariades i/o actualitzades</t>
        </is>
      </c>
    </row>
    <row r="72">
      <c r="A72" s="11" t="inlineStr">
        <is>
          <t>2. Cultura</t>
        </is>
      </c>
      <c r="B72" s="11" t="inlineStr">
        <is>
          <t>04.1.1</t>
        </is>
      </c>
      <c r="C72" s="11" t="inlineStr">
        <is>
          <t>Elaborar l'inventari i cartografia de patrimoni cultural de l'ENP, que també inclogui el patrimoni etnològic i immaterial</t>
        </is>
      </c>
      <c r="D72" s="11" t="inlineStr">
        <is>
          <t>Elaborar l'inventari i cartografia de patrimoni cultural de l'ENP, que també inclogui el patrimoni etnològic i immaterial</t>
        </is>
      </c>
      <c r="E72" s="11" t="inlineStr">
        <is>
          <t>Inventari del llegat cultural de la zona "Wild Rivers" del curs alt del Noguera Pallaresa</t>
        </is>
      </c>
      <c r="F72" s="11" t="inlineStr">
        <is>
          <t>Número d'elements inventariats</t>
        </is>
      </c>
      <c r="G72" s="11" t="n">
        <v>5</v>
      </c>
      <c r="H72" s="11" t="n">
        <v>20</v>
      </c>
      <c r="I72" s="11" t="inlineStr">
        <is>
          <t>MITJANA</t>
        </is>
      </c>
      <c r="J72" s="11" t="inlineStr">
        <is>
          <t>Direccio</t>
        </is>
      </c>
      <c r="K72" s="11" t="inlineStr">
        <is>
          <t>Febrer</t>
        </is>
      </c>
      <c r="L72" s="11" t="inlineStr">
        <is>
          <t>CONSERVAR ELS ELEMENTS CULTURALS materials i immaterials vinculats a la natura</t>
        </is>
      </c>
      <c r="M72" s="11" t="inlineStr">
        <is>
          <t>Millorar el coneixement disponible sobre el patrimoni arquitectònic i cultural (material i immaterial) vinculat al patrimoni natural, el seu estat de conservació i els estils propis dels territoris de l'ENP</t>
        </is>
      </c>
      <c r="N72" s="11" t="inlineStr">
        <is>
          <t>Comú</t>
        </is>
      </c>
      <c r="O72" s="11" t="inlineStr">
        <is>
          <t>Optatiu</t>
        </is>
      </c>
      <c r="P72" s="11" t="inlineStr">
        <is>
          <t>Si</t>
        </is>
      </c>
      <c r="Q72" s="11" t="inlineStr">
        <is>
          <t>04.1.1 · Inventari del llegat cultural de la zona "Wild Rivers" del curs alt del Noguera Pallaresa — Número d'elements inventariats</t>
        </is>
      </c>
    </row>
    <row r="73">
      <c r="A73" s="11" t="inlineStr">
        <is>
          <t>2. Cultura</t>
        </is>
      </c>
      <c r="B73" s="11" t="inlineStr">
        <is>
          <t>04.1.1</t>
        </is>
      </c>
      <c r="C73" s="11" t="inlineStr">
        <is>
          <t>Elaborar l'inventari i cartografia de patrimoni cultural de l'ENP, que també inclogui el patrimoni etnològic i immaterial</t>
        </is>
      </c>
      <c r="D73" s="11" t="inlineStr">
        <is>
          <t>Elaborar l'inventari i cartografia de patrimoni cultural de l'ENP, que també inclogui el patrimoni etnològic i immaterial</t>
        </is>
      </c>
      <c r="E73" s="11" t="inlineStr">
        <is>
          <t>Elaborar un registre del patrimoni etnogràfic i immaterial no georeferenciable</t>
        </is>
      </c>
      <c r="F73" s="11" t="inlineStr">
        <is>
          <t>Número d'elements registrats</t>
        </is>
      </c>
      <c r="G73" s="11" t="n">
        <v>5</v>
      </c>
      <c r="H73" s="11" t="n">
        <v>30</v>
      </c>
      <c r="I73" s="11" t="inlineStr">
        <is>
          <t>MITJANA</t>
        </is>
      </c>
      <c r="J73" s="11" t="inlineStr"/>
      <c r="K73" s="11" t="inlineStr"/>
      <c r="L73" s="11" t="inlineStr">
        <is>
          <t>CONSERVAR ELS ELEMENTS CULTURALS materials i immaterials vinculats a la natura</t>
        </is>
      </c>
      <c r="M73" s="11" t="inlineStr">
        <is>
          <t>Millorar el coneixement disponible sobre el patrimoni arquitectònic i cultural (material i immaterial) vinculat al patrimoni natural, el seu estat de conservació i els estils propis dels territoris de l'ENP</t>
        </is>
      </c>
      <c r="N73" s="11" t="inlineStr">
        <is>
          <t>Comú</t>
        </is>
      </c>
      <c r="O73" s="11" t="inlineStr">
        <is>
          <t>Optatiu</t>
        </is>
      </c>
      <c r="P73" s="11" t="inlineStr">
        <is>
          <t>Si</t>
        </is>
      </c>
      <c r="Q73" s="11" t="inlineStr">
        <is>
          <t>04.1.1 · Elaborar un registre del patrimoni etnogràfic i immaterial no georeferenciable — Número d'elements registrats</t>
        </is>
      </c>
    </row>
    <row r="74">
      <c r="A74" s="11" t="inlineStr">
        <is>
          <t>2. Cultura</t>
        </is>
      </c>
      <c r="B74" s="11" t="inlineStr">
        <is>
          <t>04.1.2</t>
        </is>
      </c>
      <c r="C74" s="11" t="inlineStr">
        <is>
          <t>Elaborar el catàleg lingüístic (localismes) de patrimoni natural, geografia popular, festes i activitats tradicionals de l'ENP</t>
        </is>
      </c>
      <c r="D74" s="11" t="inlineStr">
        <is>
          <t>Elaborar el catàleg lingüístic (localismes) de patrimoni natural, geografia popular, festes i activitats tradicionals de l'ENP</t>
        </is>
      </c>
      <c r="E74" s="11" t="inlineStr">
        <is>
          <t>Recopilació i georeferenciació de toponimia popular del Parc no present o errònia de la cartografia ICGC en base a la memòria oral amb col·laboració amb les entitats locals</t>
        </is>
      </c>
      <c r="F74" s="11" t="inlineStr">
        <is>
          <t>Número de topònims recopilats</t>
        </is>
      </c>
      <c r="G74" s="11" t="n">
        <v>25</v>
      </c>
      <c r="H74" s="11" t="n">
        <v>200</v>
      </c>
      <c r="I74" s="11" t="inlineStr">
        <is>
          <t>MÀXIMA</t>
        </is>
      </c>
      <c r="J74" s="11" t="inlineStr">
        <is>
          <t>Direccio</t>
        </is>
      </c>
      <c r="K74" s="11" t="inlineStr">
        <is>
          <t>Marc</t>
        </is>
      </c>
      <c r="L74" s="11" t="inlineStr">
        <is>
          <t>CONSERVAR ELS ELEMENTS CULTURALS materials i immaterials vinculats a la natura</t>
        </is>
      </c>
      <c r="M74" s="11" t="inlineStr">
        <is>
          <t>Millorar el coneixement disponible sobre el patrimoni arquitectònic i cultural (material i immaterial) vinculat al patrimoni natural, el seu estat de conservació i els estils propis dels territoris de l'ENP</t>
        </is>
      </c>
      <c r="N74" s="11" t="inlineStr">
        <is>
          <t>Comú</t>
        </is>
      </c>
      <c r="O74" s="11" t="inlineStr">
        <is>
          <t>Optatiu</t>
        </is>
      </c>
      <c r="P74" s="11" t="inlineStr">
        <is>
          <t>Si</t>
        </is>
      </c>
      <c r="Q74" s="11" t="inlineStr">
        <is>
          <t>04.1.2 · Recopilació i georeferenciació de toponimia popular del Parc no present o errònia de la cartografia ICGC en base a la memòria oral amb col·laboració a — Número de topònims recopilats</t>
        </is>
      </c>
    </row>
    <row r="75">
      <c r="A75" s="11" t="inlineStr">
        <is>
          <t>2. Cultura</t>
        </is>
      </c>
      <c r="B75" s="11" t="inlineStr">
        <is>
          <t>04.1.2</t>
        </is>
      </c>
      <c r="C75" s="11" t="inlineStr">
        <is>
          <t>Elaborar el catàleg lingüístic (localismes) de patrimoni natural, geografia popular, festes i activitats tradicionals de l'ENP</t>
        </is>
      </c>
      <c r="D75" s="11" t="inlineStr">
        <is>
          <t>Elaborar el catàleg lingüístic (localismes) de patrimoni natural, geografia popular, festes i activitats tradicionals de l'ENP</t>
        </is>
      </c>
      <c r="E75" s="11" t="inlineStr">
        <is>
          <t>Donar suport a les iniciatives i publicacions dedicades a recuperar la parla pallaresa</t>
        </is>
      </c>
      <c r="F75" s="11" t="inlineStr">
        <is>
          <t>Número d’accions de suport</t>
        </is>
      </c>
      <c r="G75" s="11" t="n">
        <v>1</v>
      </c>
      <c r="H75" s="11" t="n">
        <v>5</v>
      </c>
      <c r="I75" s="11" t="inlineStr">
        <is>
          <t>MITJANA</t>
        </is>
      </c>
      <c r="J75" s="11" t="inlineStr"/>
      <c r="K75" s="11" t="inlineStr"/>
      <c r="L75" s="11" t="inlineStr">
        <is>
          <t>CONSERVAR ELS ELEMENTS CULTURALS materials i immaterials vinculats a la natura</t>
        </is>
      </c>
      <c r="M75" s="11" t="inlineStr">
        <is>
          <t>Millorar el coneixement disponible sobre el patrimoni arquitectònic i cultural (material i immaterial) vinculat al patrimoni natural, el seu estat de conservació i els estils propis dels territoris de l'ENP</t>
        </is>
      </c>
      <c r="N75" s="11" t="inlineStr">
        <is>
          <t>Comú</t>
        </is>
      </c>
      <c r="O75" s="11" t="inlineStr">
        <is>
          <t>Optatiu</t>
        </is>
      </c>
      <c r="P75" s="11" t="inlineStr">
        <is>
          <t>Si</t>
        </is>
      </c>
      <c r="Q75" s="11" t="inlineStr">
        <is>
          <t>04.1.2 · Donar suport a les iniciatives i publicacions dedicades a recuperar la parla pallaresa — Número d’accions de suport</t>
        </is>
      </c>
    </row>
    <row r="76">
      <c r="A76" s="11" t="inlineStr">
        <is>
          <t>2. Cultura</t>
        </is>
      </c>
      <c r="B76" s="11" t="inlineStr">
        <is>
          <t>04.1.3</t>
        </is>
      </c>
      <c r="C76" s="11" t="inlineStr">
        <is>
          <t>Elaborar la cartografia de la xarxa de camins ramaders i senders tradicionals de l'ENP</t>
        </is>
      </c>
      <c r="D76" s="11" t="inlineStr">
        <is>
          <t>Elaborar la cartografia de la xarxa de camins ramaders i senders tradicionals de l'ENP</t>
        </is>
      </c>
      <c r="E76" s="11" t="inlineStr">
        <is>
          <t>Actualització i millora de la precisió del traçat de l'inventari de camins ramaders i històrics del Parc (en base a l'inventari del 1999 del CCPS) junt amb els ens locals</t>
        </is>
      </c>
      <c r="F76" s="11" t="inlineStr">
        <is>
          <t>Número de camins actualitzats</t>
        </is>
      </c>
      <c r="G76" s="11" t="n">
        <v>20</v>
      </c>
      <c r="H76" s="11" t="n">
        <v>150</v>
      </c>
      <c r="I76" s="11" t="inlineStr">
        <is>
          <t>ALTA</t>
        </is>
      </c>
      <c r="J76" s="11" t="inlineStr">
        <is>
          <t>Direccio</t>
        </is>
      </c>
      <c r="K76" s="11" t="inlineStr">
        <is>
          <t>Marc</t>
        </is>
      </c>
      <c r="L76" s="11" t="inlineStr">
        <is>
          <t>CONSERVAR ELS ELEMENTS CULTURALS materials i immaterials vinculats a la natura</t>
        </is>
      </c>
      <c r="M76" s="11" t="inlineStr">
        <is>
          <t>Millorar el coneixement disponible sobre el patrimoni arquitectònic i cultural (material i immaterial) vinculat al patrimoni natural, el seu estat de conservació i els estils propis dels territoris de l'ENP</t>
        </is>
      </c>
      <c r="N76" s="11" t="inlineStr">
        <is>
          <t>Comú</t>
        </is>
      </c>
      <c r="O76" s="11" t="inlineStr">
        <is>
          <t>Optatiu</t>
        </is>
      </c>
      <c r="P76" s="11" t="inlineStr">
        <is>
          <t>Si</t>
        </is>
      </c>
      <c r="Q76" s="11" t="inlineStr">
        <is>
          <t>04.1.3 · Actualització i millora de la precisió del traçat de l'inventari de camins ramaders i històrics del Parc (en base a l'inventari del 1999 del CCPS) jun — Número de camins actualitzats</t>
        </is>
      </c>
    </row>
    <row r="77">
      <c r="A77" s="11" t="inlineStr">
        <is>
          <t>2. Cultura</t>
        </is>
      </c>
      <c r="B77" s="11" t="inlineStr">
        <is>
          <t>04.2.1</t>
        </is>
      </c>
      <c r="C77" s="11" t="inlineStr">
        <is>
          <t>Identificar els ens de referència en patrimoni cultural (entitats, associacions, museus i ecomuseus, etc.) en l'àmbit de l'ENP</t>
        </is>
      </c>
      <c r="D77" s="11" t="inlineStr">
        <is>
          <t>Identificar els ens de referència en patrimoni cultural (entitats, associacions, museus i ecomuseus, etc.) en l'àmbit de l'ENP</t>
        </is>
      </c>
      <c r="E77" s="11" t="inlineStr">
        <is>
          <t>Actualització del mapa d'entitats, associacions, museus, ecomuseus, OPEI (Observatori del Patrimoni Etnològic i Immaterial), etc.</t>
        </is>
      </c>
      <c r="F77" s="11" t="inlineStr">
        <is>
          <t>Número d'ens actualitzats</t>
        </is>
      </c>
      <c r="G77" s="11" t="n">
        <v>5</v>
      </c>
      <c r="H77" s="11" t="n">
        <v>20</v>
      </c>
      <c r="I77" s="11" t="inlineStr">
        <is>
          <t>MITJANA</t>
        </is>
      </c>
      <c r="J77" s="11" t="inlineStr">
        <is>
          <t>Direccio</t>
        </is>
      </c>
      <c r="K77" s="11" t="inlineStr">
        <is>
          <t>Marc</t>
        </is>
      </c>
      <c r="L77" s="11" t="inlineStr">
        <is>
          <t>CONSERVAR ELS ELEMENTS CULTURALS materials i immaterials vinculats a la natura</t>
        </is>
      </c>
      <c r="M77" s="11" t="inlineStr">
        <is>
          <t>Conservar i gestionar el patrimoni cultural de l'ENP de forma coordinada amb els agents responsables i entitats de referència</t>
        </is>
      </c>
      <c r="N77" s="11" t="inlineStr">
        <is>
          <t>Comú</t>
        </is>
      </c>
      <c r="O77" s="11" t="inlineStr">
        <is>
          <t>Obligatori</t>
        </is>
      </c>
      <c r="P77" s="11" t="inlineStr">
        <is>
          <t>No</t>
        </is>
      </c>
      <c r="Q77" s="11" t="inlineStr">
        <is>
          <t>04.2.1 · Actualització del mapa d'entitats, associacions, museus, ecomuseus, OPEI (Observatori del Patrimoni Etnològic i Immaterial), etc. — Número d'ens actualitzats</t>
        </is>
      </c>
    </row>
    <row r="78">
      <c r="A78" s="11" t="inlineStr">
        <is>
          <t>2. Cultura</t>
        </is>
      </c>
      <c r="B78" s="11" t="inlineStr">
        <is>
          <t>04.2.2</t>
        </is>
      </c>
      <c r="C78" s="11" t="inlineStr">
        <is>
          <t>Articular treballs conjunts entre l'ENP i representants, gestors o custodis del patrimoni cultural per a la seva protecció i millora</t>
        </is>
      </c>
      <c r="D78" s="11" t="inlineStr">
        <is>
          <t>Articular treballs conjunts entre l'ENP i representants, gestors o custodis del patrimoni cultural per a la seva protecció i millora</t>
        </is>
      </c>
      <c r="E78" s="11" t="inlineStr">
        <is>
          <t>Continuar impulsant el projecte de parcs i museus junt amb l'Ecomuseu de les Vals d'Àneu</t>
        </is>
      </c>
      <c r="F78" s="11" t="inlineStr">
        <is>
          <t>Número d'accions realitzades vinculades al projecte</t>
        </is>
      </c>
      <c r="G78" s="11" t="n">
        <v>4</v>
      </c>
      <c r="H78" s="11" t="n">
        <v>8</v>
      </c>
      <c r="I78" s="11" t="inlineStr">
        <is>
          <t>ALTA</t>
        </is>
      </c>
      <c r="J78" s="11" t="inlineStr">
        <is>
          <t>Direccio</t>
        </is>
      </c>
      <c r="K78" s="11" t="inlineStr">
        <is>
          <t>Marc</t>
        </is>
      </c>
      <c r="L78" s="11" t="inlineStr">
        <is>
          <t>CONSERVAR ELS ELEMENTS CULTURALS materials i immaterials vinculats a la natura</t>
        </is>
      </c>
      <c r="M78" s="11" t="inlineStr">
        <is>
          <t>Conservar i gestionar el patrimoni cultural de l'ENP de forma coordinada amb els agents responsables i entitats de referència</t>
        </is>
      </c>
      <c r="N78" s="11" t="inlineStr">
        <is>
          <t>Comú</t>
        </is>
      </c>
      <c r="O78" s="11" t="inlineStr">
        <is>
          <t>Optatiu</t>
        </is>
      </c>
      <c r="P78" s="11" t="inlineStr">
        <is>
          <t>Si</t>
        </is>
      </c>
      <c r="Q78" s="11" t="inlineStr">
        <is>
          <t>04.2.2 · Continuar impulsant el projecte de parcs i museus junt amb l'Ecomuseu de les Vals d'Àneu — Número d'accions realitzades vinculades al projecte</t>
        </is>
      </c>
    </row>
    <row r="79">
      <c r="A79" s="11" t="inlineStr">
        <is>
          <t>2. Cultura</t>
        </is>
      </c>
      <c r="B79" s="11" t="inlineStr">
        <is>
          <t>04.2.2</t>
        </is>
      </c>
      <c r="C79" s="11" t="inlineStr">
        <is>
          <t>Articular treballs conjunts entre l'ENP i representants, gestors o custodis del patrimoni cultural per a la seva protecció i millora</t>
        </is>
      </c>
      <c r="D79" s="11" t="inlineStr">
        <is>
          <t>Articular treballs conjunts entre l'ENP i representants, gestors o custodis del patrimoni cultural per a la seva protecció i millora</t>
        </is>
      </c>
      <c r="E79" s="11" t="inlineStr">
        <is>
          <t>Impulsar la bona cooperació, i si s'escau, establir convenis de col·laboració amb els equipaments culturals de l'àmbit del Parc, conjuntament amb el grup de treball de cultura de la CETS (acció 32): Ecomuseu de les Valls d'Àneu (principal), Espai Ermengol de la Seu, Museu Diocesà de la Seu, Centre d'Interpretació de l'Aigua de Tavascan, Molí de Casa Bellera de Rialp, Museu de les Papalllones, Museu de la Fusta d'Àreu (MNAC), Era d'Ortega de Peramea, Museu del Despoblat de Sta Creu de Llagunes, Museu de Camins, Presó Museu del Camí de la llibertat, Museu de la Sal (MNAC), Ecomuseu de Casa Sintet, Casa Cerdà d'Àreu, Casa de l'Os Bru dels Pirineus, Cente d'Interpretació de les Viles Closes d'Escaló, el Centre de Descoberta de les Ciències de la Terra, l’espai Puiolo de Pujalt, el Romànic visitable a través del Bisbat d’Urgell i altres entitats, ruta de les esglésies barroques de la Vall de Cardós i altres es puguin afegir o inaugurar properament. Alguns d’aquests convenis s’estudiarà la possible integració com equipament propi del Parc, com seria la Casa de l’Os Bru, el Centre de Descoberta de ciències de la Terra o ús compartit com l’espai Puiolo de Pujalt</t>
        </is>
      </c>
      <c r="F79" s="11" t="inlineStr">
        <is>
          <t>Número d'acords o convenis realitzats</t>
        </is>
      </c>
      <c r="G79" s="11" t="n">
        <v>1</v>
      </c>
      <c r="H79" s="11" t="n">
        <v>17</v>
      </c>
      <c r="I79" s="11" t="inlineStr">
        <is>
          <t>ALTA</t>
        </is>
      </c>
      <c r="J79" s="11" t="inlineStr">
        <is>
          <t>Direccio</t>
        </is>
      </c>
      <c r="K79" s="11" t="inlineStr">
        <is>
          <t>Marc</t>
        </is>
      </c>
      <c r="L79" s="11" t="inlineStr">
        <is>
          <t>CONSERVAR ELS ELEMENTS CULTURALS materials i immaterials vinculats a la natura</t>
        </is>
      </c>
      <c r="M79" s="11" t="inlineStr">
        <is>
          <t>Conservar i gestionar el patrimoni cultural de l'ENP de forma coordinada amb els agents responsables i entitats de referència</t>
        </is>
      </c>
      <c r="N79" s="11" t="inlineStr">
        <is>
          <t>Comú</t>
        </is>
      </c>
      <c r="O79" s="11" t="inlineStr">
        <is>
          <t>Optatiu</t>
        </is>
      </c>
      <c r="P79" s="11" t="inlineStr">
        <is>
          <t>Si</t>
        </is>
      </c>
      <c r="Q79" s="11" t="inlineStr">
        <is>
          <t>04.2.2 · Impulsar la bona cooperació, i si s'escau, establir convenis de col·laboració amb els equipaments culturals de l'àmbit del Parc, conjuntament amb el g — Número d'acords o convenis realitzats</t>
        </is>
      </c>
    </row>
    <row r="80">
      <c r="A80" s="11" t="inlineStr">
        <is>
          <t>2. Cultura</t>
        </is>
      </c>
      <c r="B80" s="11" t="inlineStr">
        <is>
          <t>04.2.2</t>
        </is>
      </c>
      <c r="C80" s="11" t="inlineStr">
        <is>
          <t>Articular treballs conjunts entre l'ENP i representants, gestors o custodis del patrimoni cultural per a la seva protecció i millora</t>
        </is>
      </c>
      <c r="D80" s="11" t="inlineStr">
        <is>
          <t>Articular treballs conjunts entre l'ENP i representants, gestors o custodis del patrimoni cultural per a la seva protecció i millora</t>
        </is>
      </c>
      <c r="E80" s="11" t="inlineStr">
        <is>
          <t>Fomentar la cooperació tècnica del gestors del PNAP amb els gestors de l'Ecomuseu de les Valls d'Àneu com a centre estructrual de gestió del Parc en l'àmbit cultural</t>
        </is>
      </c>
      <c r="F80" s="11" t="inlineStr">
        <is>
          <t>Número d'accions realitzades conjuntament</t>
        </is>
      </c>
      <c r="G80" s="11" t="n">
        <v>4</v>
      </c>
      <c r="H80" s="11" t="n">
        <v>12</v>
      </c>
      <c r="I80" s="11" t="inlineStr">
        <is>
          <t>MÀXIMA</t>
        </is>
      </c>
      <c r="J80" s="11" t="inlineStr">
        <is>
          <t>Direccio</t>
        </is>
      </c>
      <c r="K80" s="11" t="inlineStr">
        <is>
          <t>Marc</t>
        </is>
      </c>
      <c r="L80" s="11" t="inlineStr">
        <is>
          <t>CONSERVAR ELS ELEMENTS CULTURALS materials i immaterials vinculats a la natura</t>
        </is>
      </c>
      <c r="M80" s="11" t="inlineStr">
        <is>
          <t>Conservar i gestionar el patrimoni cultural de l'ENP de forma coordinada amb els agents responsables i entitats de referència</t>
        </is>
      </c>
      <c r="N80" s="11" t="inlineStr">
        <is>
          <t>Comú</t>
        </is>
      </c>
      <c r="O80" s="11" t="inlineStr">
        <is>
          <t>Optatiu</t>
        </is>
      </c>
      <c r="P80" s="11" t="inlineStr">
        <is>
          <t>Si</t>
        </is>
      </c>
      <c r="Q80" s="11" t="inlineStr">
        <is>
          <t>04.2.2 · Fomentar la cooperació tècnica del gestors del PNAP amb els gestors de l'Ecomuseu de les Valls d'Àneu com a centre estructrual de gestió del Parc en l — Número d'accions realitzades conjuntament</t>
        </is>
      </c>
    </row>
    <row r="81">
      <c r="A81" s="11" t="inlineStr">
        <is>
          <t>2. Cultura</t>
        </is>
      </c>
      <c r="B81" s="11" t="inlineStr">
        <is>
          <t>04.2.3</t>
        </is>
      </c>
      <c r="C81" s="11" t="inlineStr">
        <is>
          <t>Coordinar i participar dels treballs de restauració arquitectònica i del patrimoni cultural</t>
        </is>
      </c>
      <c r="D81" s="11" t="inlineStr">
        <is>
          <t>Coordinar i participar dels treballs de restauració arquitectònica i del patrimoni cultural</t>
        </is>
      </c>
      <c r="E81" s="11" t="inlineStr">
        <is>
          <t>Coordinació i participació de l'equip tècnic (propi) i servei de manteniment amb els responsables pertinents en els treballs de restauració arquitectònica i del patrimoni cultural</t>
        </is>
      </c>
      <c r="F81" s="11" t="inlineStr">
        <is>
          <t>Número d'accions realitzades</t>
        </is>
      </c>
      <c r="G81" s="11" t="n">
        <v>2</v>
      </c>
      <c r="H81" s="11" t="n">
        <v>8</v>
      </c>
      <c r="I81" s="11" t="inlineStr">
        <is>
          <t>MITJANA</t>
        </is>
      </c>
      <c r="J81" s="11" t="inlineStr">
        <is>
          <t>Direccio</t>
        </is>
      </c>
      <c r="K81" s="11" t="inlineStr">
        <is>
          <t>Marc</t>
        </is>
      </c>
      <c r="L81" s="11" t="inlineStr">
        <is>
          <t>CONSERVAR ELS ELEMENTS CULTURALS materials i immaterials vinculats a la natura</t>
        </is>
      </c>
      <c r="M81" s="11" t="inlineStr">
        <is>
          <t>Conservar i gestionar el patrimoni cultural de l'ENP de forma coordinada amb els agents responsables i entitats de referència</t>
        </is>
      </c>
      <c r="N81" s="11" t="inlineStr">
        <is>
          <t>Comú</t>
        </is>
      </c>
      <c r="O81" s="11" t="inlineStr">
        <is>
          <t>Optatiu</t>
        </is>
      </c>
      <c r="P81" s="11" t="inlineStr">
        <is>
          <t>Si</t>
        </is>
      </c>
      <c r="Q81" s="11" t="inlineStr">
        <is>
          <t>04.2.3 · Coordinació i participació de l'equip tècnic (propi) i servei de manteniment amb els responsables pertinents en els treballs de restauració arquitectò — Número d'accions realitzades</t>
        </is>
      </c>
    </row>
    <row r="82">
      <c r="A82" s="11" t="inlineStr">
        <is>
          <t>2. Cultura</t>
        </is>
      </c>
      <c r="B82" s="11" t="inlineStr">
        <is>
          <t>04.2.4</t>
        </is>
      </c>
      <c r="C82" s="11" t="inlineStr">
        <is>
          <t>Disposar de personal especialitzat en patrimoni cultural</t>
        </is>
      </c>
      <c r="D82" s="11" t="inlineStr">
        <is>
          <t>Disposar de personal especialitzat en patrimoni cultural</t>
        </is>
      </c>
      <c r="E82" s="11" t="inlineStr">
        <is>
          <t>Formació del personal tècnic de l'ENP i entitats col·laboradores en la gestió i conservació dels valors culturals de l'ENP</t>
        </is>
      </c>
      <c r="F82" s="11" t="inlineStr">
        <is>
          <t>Número d'activitats formatives realitzades</t>
        </is>
      </c>
      <c r="G82" s="11" t="n">
        <v>2</v>
      </c>
      <c r="H82" s="11" t="n">
        <v>6</v>
      </c>
      <c r="I82" s="11" t="inlineStr">
        <is>
          <t>BAIXA</t>
        </is>
      </c>
      <c r="J82" s="11" t="inlineStr">
        <is>
          <t>Direccio</t>
        </is>
      </c>
      <c r="K82" s="11" t="inlineStr">
        <is>
          <t>Marc</t>
        </is>
      </c>
      <c r="L82" s="11" t="inlineStr">
        <is>
          <t>CONSERVAR ELS ELEMENTS CULTURALS materials i immaterials vinculats a la natura</t>
        </is>
      </c>
      <c r="M82" s="11" t="inlineStr">
        <is>
          <t>Conservar i gestionar el patrimoni cultural de l'ENP de forma coordinada amb els agents responsables i entitats de referència</t>
        </is>
      </c>
      <c r="N82" s="11" t="inlineStr">
        <is>
          <t>Comú</t>
        </is>
      </c>
      <c r="O82" s="11" t="inlineStr">
        <is>
          <t>Obligatori</t>
        </is>
      </c>
      <c r="P82" s="11" t="inlineStr">
        <is>
          <t>Si</t>
        </is>
      </c>
      <c r="Q82" s="11" t="inlineStr">
        <is>
          <t>04.2.4 · Formació del personal tècnic de l'ENP i entitats col·laboradores en la gestió i conservació dels valors culturals de l'ENP — Número d'activitats formatives realitzades</t>
        </is>
      </c>
    </row>
    <row r="83">
      <c r="A83" s="11" t="inlineStr">
        <is>
          <t>2. Cultura</t>
        </is>
      </c>
      <c r="B83" s="11" t="inlineStr">
        <is>
          <t>04.3.1</t>
        </is>
      </c>
      <c r="C83" s="11" t="inlineStr">
        <is>
          <t>Recuperar i conservar el patrimoni cultural rural immaterial associat a les activitats i aprofitaments tradicionals</t>
        </is>
      </c>
      <c r="D83" s="11" t="inlineStr">
        <is>
          <t>Recuperar i conservar el patrimoni cultural rural immaterial associat a les activitats i aprofitaments tradicionals</t>
        </is>
      </c>
      <c r="E83" s="11" t="inlineStr">
        <is>
          <t>Donar suport material i logístic a les activitats vinculades al patrimoni immaterial de l'àmbit del Parc per ajudar a conservar-les i visibilitzar-les: baixada de falles, aplecs, fira del ferro pirinenc, fires ramaderes, activitats agrícoles tradicionals, fer comú, raiers, musica popular pirinenca, bitlles pallareses, la parla pallaresa, art local, ...</t>
        </is>
      </c>
      <c r="F83" s="11" t="inlineStr">
        <is>
          <t>Número d'activitats del patrimoni immaterial del Parc a que se'ls dona suport</t>
        </is>
      </c>
      <c r="G83" s="11" t="n">
        <v>6</v>
      </c>
      <c r="H83" s="11" t="n">
        <v>18</v>
      </c>
      <c r="I83" s="11" t="inlineStr">
        <is>
          <t>MITJANA</t>
        </is>
      </c>
      <c r="J83" s="11" t="inlineStr">
        <is>
          <t>Direccio</t>
        </is>
      </c>
      <c r="K83" s="11" t="inlineStr">
        <is>
          <t>Marc</t>
        </is>
      </c>
      <c r="L83" s="11" t="inlineStr">
        <is>
          <t>CONSERVAR ELS ELEMENTS CULTURALS materials i immaterials vinculats a la natura</t>
        </is>
      </c>
      <c r="M83" s="11" t="inlineStr">
        <is>
          <t>Potenciar la conservació i recuperació del patrimoni cultural material i immaterial de l'ENP</t>
        </is>
      </c>
      <c r="N83" s="11" t="inlineStr">
        <is>
          <t>Comú</t>
        </is>
      </c>
      <c r="O83" s="11" t="inlineStr">
        <is>
          <t>Obligatori</t>
        </is>
      </c>
      <c r="P83" s="11" t="inlineStr">
        <is>
          <t>Si</t>
        </is>
      </c>
      <c r="Q83" s="11" t="inlineStr">
        <is>
          <t>04.3.1 · Donar suport material i logístic a les activitats vinculades al patrimoni immaterial de l'àmbit del Parc per ajudar a conservar-les i visibilitzar-les — Número d'activitats del patrimoni immaterial del Parc a que se'ls dona suport</t>
        </is>
      </c>
    </row>
    <row r="84">
      <c r="A84" s="11" t="inlineStr">
        <is>
          <t>2. Cultura</t>
        </is>
      </c>
      <c r="B84" s="11" t="inlineStr">
        <is>
          <t>04.3.1</t>
        </is>
      </c>
      <c r="C84" s="11" t="inlineStr">
        <is>
          <t>Recuperar i conservar el patrimoni cultural rural immaterial associat a les activitats i aprofitaments tradicionals</t>
        </is>
      </c>
      <c r="D84" s="11" t="inlineStr">
        <is>
          <t>Recuperar i conservar el patrimoni cultural rural immaterial associat a les activitats i aprofitaments tradicionals</t>
        </is>
      </c>
      <c r="E84" s="11" t="inlineStr">
        <is>
          <t>Iniciar noves recerques sobre l’àmbit etnològic i immaterial del Parc. Incorporant elements vinculats amb el món de les creences, mitologia, espiritualitat, rondallística, etc...</t>
        </is>
      </c>
      <c r="F84" s="11" t="inlineStr">
        <is>
          <t>Número de recerques efectuades</t>
        </is>
      </c>
      <c r="G84" s="11" t="n">
        <v>1</v>
      </c>
      <c r="H84" s="11" t="n">
        <v>4</v>
      </c>
      <c r="I84" s="11" t="inlineStr">
        <is>
          <t>BAIXA</t>
        </is>
      </c>
      <c r="J84" s="11" t="inlineStr">
        <is>
          <t>Direccio</t>
        </is>
      </c>
      <c r="K84" s="11" t="inlineStr">
        <is>
          <t>Marc</t>
        </is>
      </c>
      <c r="L84" s="11" t="inlineStr">
        <is>
          <t>CONSERVAR ELS ELEMENTS CULTURALS materials i immaterials vinculats a la natura</t>
        </is>
      </c>
      <c r="M84" s="11" t="inlineStr">
        <is>
          <t>Potenciar la conservació i recuperació del patrimoni cultural material i immaterial de l'ENP</t>
        </is>
      </c>
      <c r="N84" s="11" t="inlineStr">
        <is>
          <t>Comú</t>
        </is>
      </c>
      <c r="O84" s="11" t="inlineStr">
        <is>
          <t>Obligatori</t>
        </is>
      </c>
      <c r="P84" s="11" t="inlineStr">
        <is>
          <t>Si</t>
        </is>
      </c>
      <c r="Q84" s="11" t="inlineStr">
        <is>
          <t>04.3.1 · Iniciar noves recerques sobre l’àmbit etnològic i immaterial del Parc. Incorporant elements vinculats amb el món de les creences, mitologia, espiritua — Número de recerques efectuades</t>
        </is>
      </c>
    </row>
    <row r="85">
      <c r="A85" s="11" t="inlineStr">
        <is>
          <t>2. Cultura</t>
        </is>
      </c>
      <c r="B85" s="11" t="inlineStr">
        <is>
          <t>04.3.1</t>
        </is>
      </c>
      <c r="C85" s="11" t="inlineStr">
        <is>
          <t>Recuperar i conservar el patrimoni cultural rural immaterial associat a les activitats i aprofitaments tradicionals</t>
        </is>
      </c>
      <c r="D85" s="11" t="inlineStr">
        <is>
          <t>Recuperar i conservar el patrimoni cultural rural immaterial associat a les activitats i aprofitaments tradicionals</t>
        </is>
      </c>
      <c r="E85" s="11" t="inlineStr">
        <is>
          <t>Donar suport a activitats i accions que divulguen la mitologia popular Pirinenca (festivals, rutes,...)</t>
        </is>
      </c>
      <c r="F85" s="11" t="inlineStr">
        <is>
          <t>Número d'accions realitzades</t>
        </is>
      </c>
      <c r="G85" s="11" t="n">
        <v>4</v>
      </c>
      <c r="H85" s="11" t="n">
        <v>10</v>
      </c>
      <c r="I85" s="11" t="inlineStr">
        <is>
          <t>MITJANA</t>
        </is>
      </c>
      <c r="J85" s="11" t="inlineStr">
        <is>
          <t>Direccio</t>
        </is>
      </c>
      <c r="K85" s="11" t="inlineStr">
        <is>
          <t>Marc</t>
        </is>
      </c>
      <c r="L85" s="11" t="inlineStr">
        <is>
          <t>CONSERVAR ELS ELEMENTS CULTURALS materials i immaterials vinculats a la natura</t>
        </is>
      </c>
      <c r="M85" s="11" t="inlineStr">
        <is>
          <t>Potenciar la conservació i recuperació del patrimoni cultural material i immaterial de l'ENP</t>
        </is>
      </c>
      <c r="N85" s="11" t="inlineStr">
        <is>
          <t>Comú</t>
        </is>
      </c>
      <c r="O85" s="11" t="inlineStr">
        <is>
          <t>Obligatori</t>
        </is>
      </c>
      <c r="P85" s="11" t="inlineStr">
        <is>
          <t>Si</t>
        </is>
      </c>
      <c r="Q85" s="11" t="inlineStr">
        <is>
          <t>04.3.1 · Donar suport a activitats i accions que divulguen la mitologia popular Pirinenca (festivals, rutes,...) — Número d'accions realitzades</t>
        </is>
      </c>
    </row>
    <row r="86">
      <c r="A86" s="11" t="inlineStr">
        <is>
          <t>2. Cultura</t>
        </is>
      </c>
      <c r="B86" s="11" t="inlineStr">
        <is>
          <t>04.3.1</t>
        </is>
      </c>
      <c r="C86" s="11" t="inlineStr">
        <is>
          <t>Recuperar i conservar el patrimoni cultural rural immaterial associat a les activitats i aprofitaments tradicionals</t>
        </is>
      </c>
      <c r="D86" s="11" t="inlineStr">
        <is>
          <t>Recuperar i conservar el patrimoni cultural rural immaterial associat a les activitats i aprofitaments tradicionals</t>
        </is>
      </c>
      <c r="E86" s="11" t="inlineStr">
        <is>
          <t>Fomentar la recerca en l'àmbit del patrimoni artesà de l'Alt Pirineu (fusta, ferro, tèxtil, terrissa, pintura, etc.), la seva relació amb la natura i la seva divulgació a través del Festival Terra Roia i altres activitats</t>
        </is>
      </c>
      <c r="F86" s="11" t="inlineStr">
        <is>
          <t>Número de recerques efectuades</t>
        </is>
      </c>
      <c r="G86" s="11" t="n">
        <v>1</v>
      </c>
      <c r="H86" s="11" t="n">
        <v>4</v>
      </c>
      <c r="I86" s="11" t="inlineStr">
        <is>
          <t>MITJANA</t>
        </is>
      </c>
      <c r="J86" s="11" t="inlineStr">
        <is>
          <t>Direccio</t>
        </is>
      </c>
      <c r="K86" s="11" t="inlineStr">
        <is>
          <t>Marc</t>
        </is>
      </c>
      <c r="L86" s="11" t="inlineStr">
        <is>
          <t>CONSERVAR ELS ELEMENTS CULTURALS materials i immaterials vinculats a la natura</t>
        </is>
      </c>
      <c r="M86" s="11" t="inlineStr">
        <is>
          <t>Potenciar la conservació i recuperació del patrimoni cultural material i immaterial de l'ENP</t>
        </is>
      </c>
      <c r="N86" s="11" t="inlineStr">
        <is>
          <t>Comú</t>
        </is>
      </c>
      <c r="O86" s="11" t="inlineStr">
        <is>
          <t>Obligatori</t>
        </is>
      </c>
      <c r="P86" s="11" t="inlineStr">
        <is>
          <t>Si</t>
        </is>
      </c>
      <c r="Q86" s="11" t="inlineStr">
        <is>
          <t>04.3.1 · Fomentar la recerca en l'àmbit del patrimoni artesà de l'Alt Pirineu (fusta, ferro, tèxtil, terrissa, pintura, etc.), la seva relació amb la natura i  — Número de recerques efectuades</t>
        </is>
      </c>
    </row>
    <row r="87">
      <c r="A87" s="11" t="inlineStr">
        <is>
          <t>2. Cultura</t>
        </is>
      </c>
      <c r="B87" s="11" t="inlineStr">
        <is>
          <t>04.3.1</t>
        </is>
      </c>
      <c r="C87" s="11" t="inlineStr">
        <is>
          <t>Recuperar i conservar el patrimoni cultural rural immaterial associat a les activitats i aprofitaments tradicionals</t>
        </is>
      </c>
      <c r="D87" s="11" t="inlineStr">
        <is>
          <t>Recuperar i conservar el patrimoni cultural rural immaterial associat a les activitats i aprofitaments tradicionals</t>
        </is>
      </c>
      <c r="E87" s="11" t="inlineStr">
        <is>
          <t>Tramitar un conveni de col·laboració estable per l’organització del Festival Terra Roia de Vilamur i els intercanvis amb festivals d’art agermanats del Parc Pirinenc de les Tres Nacions de divulgació del patrimoni artesà i artístic de l’Alt Pirineu</t>
        </is>
      </c>
      <c r="F87" s="11" t="inlineStr">
        <is>
          <t>Conveni</t>
        </is>
      </c>
      <c r="G87" s="11" t="inlineStr">
        <is>
          <t>Tramitat</t>
        </is>
      </c>
      <c r="H87" s="11" t="inlineStr">
        <is>
          <t>Aprovat i executat</t>
        </is>
      </c>
      <c r="I87" s="11" t="inlineStr">
        <is>
          <t>MITJANA</t>
        </is>
      </c>
      <c r="J87" s="11" t="inlineStr">
        <is>
          <t>Direccio</t>
        </is>
      </c>
      <c r="K87" s="11" t="inlineStr">
        <is>
          <t>Marc</t>
        </is>
      </c>
      <c r="L87" s="11" t="inlineStr">
        <is>
          <t>CONSERVAR ELS ELEMENTS CULTURALS materials i immaterials vinculats a la natura</t>
        </is>
      </c>
      <c r="M87" s="11" t="inlineStr">
        <is>
          <t>Potenciar la conservació i recuperació del patrimoni cultural material i immaterial de l'ENP</t>
        </is>
      </c>
      <c r="N87" s="11" t="inlineStr">
        <is>
          <t>Comú</t>
        </is>
      </c>
      <c r="O87" s="11" t="inlineStr">
        <is>
          <t>Obligatori</t>
        </is>
      </c>
      <c r="P87" s="11" t="inlineStr">
        <is>
          <t>Si</t>
        </is>
      </c>
      <c r="Q87" s="11" t="inlineStr">
        <is>
          <t>04.3.1 · Tramitar un conveni de col·laboració estable per l’organització del Festival Terra Roia de Vilamur i els intercanvis amb festivals d’art agermanats de — Conveni</t>
        </is>
      </c>
    </row>
    <row r="88">
      <c r="A88" s="11" t="inlineStr">
        <is>
          <t>2. Cultura</t>
        </is>
      </c>
      <c r="B88" s="11" t="inlineStr">
        <is>
          <t>04.3.1</t>
        </is>
      </c>
      <c r="C88" s="11" t="inlineStr">
        <is>
          <t>Recuperar i conservar el patrimoni cultural rural immaterial associat a les activitats i aprofitaments tradicionals</t>
        </is>
      </c>
      <c r="D88" s="11" t="inlineStr">
        <is>
          <t>Recuperar i conservar el patrimoni cultural rural immaterial associat a les activitats i aprofitaments tradicionals</t>
        </is>
      </c>
      <c r="E88" s="11" t="inlineStr">
        <is>
          <t>Fomentar la recerca en memòria oral de les activitats tradicionals de l'àmbit del Parc i la seva divulgació</t>
        </is>
      </c>
      <c r="F88" s="11" t="inlineStr">
        <is>
          <t>Número de recerques efectuades</t>
        </is>
      </c>
      <c r="G88" s="11" t="n">
        <v>2</v>
      </c>
      <c r="H88" s="11" t="n">
        <v>8</v>
      </c>
      <c r="I88" s="11" t="inlineStr">
        <is>
          <t>ALTA</t>
        </is>
      </c>
      <c r="J88" s="11" t="inlineStr">
        <is>
          <t>Direccio</t>
        </is>
      </c>
      <c r="K88" s="11" t="inlineStr">
        <is>
          <t>Marc</t>
        </is>
      </c>
      <c r="L88" s="11" t="inlineStr">
        <is>
          <t>CONSERVAR ELS ELEMENTS CULTURALS materials i immaterials vinculats a la natura</t>
        </is>
      </c>
      <c r="M88" s="11" t="inlineStr">
        <is>
          <t>Potenciar la conservació i recuperació del patrimoni cultural material i immaterial de l'ENP</t>
        </is>
      </c>
      <c r="N88" s="11" t="inlineStr">
        <is>
          <t>Comú</t>
        </is>
      </c>
      <c r="O88" s="11" t="inlineStr">
        <is>
          <t>Obligatori</t>
        </is>
      </c>
      <c r="P88" s="11" t="inlineStr">
        <is>
          <t>Si</t>
        </is>
      </c>
      <c r="Q88" s="11" t="inlineStr">
        <is>
          <t>04.3.1 · Fomentar la recerca en memòria oral de les activitats tradicionals de l'àmbit del Parc i la seva divulgació — Número de recerques efectuades</t>
        </is>
      </c>
    </row>
    <row r="89">
      <c r="A89" s="11" t="inlineStr">
        <is>
          <t>2. Cultura</t>
        </is>
      </c>
      <c r="B89" s="11" t="inlineStr">
        <is>
          <t>04.3.2</t>
        </is>
      </c>
      <c r="C89" s="11" t="inlineStr">
        <is>
          <t>Recuperar i conservar el patrimoni cultural rural vinculat específicament a construccions de pedra en sec</t>
        </is>
      </c>
      <c r="D89" s="11" t="inlineStr">
        <is>
          <t>Recuperar i conservar el patrimoni cultural rural vinculat específicament a construccions de pedra en sec</t>
        </is>
      </c>
      <c r="E89" s="11" t="inlineStr">
        <is>
          <t>Continuar realitzant activitats formatives de la tècnica de pedra en sec (murs, empedrats, cabanes, ..)</t>
        </is>
      </c>
      <c r="F89" s="11" t="inlineStr">
        <is>
          <t>Número d'activitats formatives de pedra seca realitzades</t>
        </is>
      </c>
      <c r="G89" s="11" t="n">
        <v>6</v>
      </c>
      <c r="H89" s="11" t="n">
        <v>12</v>
      </c>
      <c r="I89" s="11" t="inlineStr">
        <is>
          <t>ALTA</t>
        </is>
      </c>
      <c r="J89" s="11" t="inlineStr">
        <is>
          <t>Millora rural</t>
        </is>
      </c>
      <c r="K89" s="11" t="inlineStr">
        <is>
          <t>Natàlia</t>
        </is>
      </c>
      <c r="L89" s="11" t="inlineStr">
        <is>
          <t>CONSERVAR ELS ELEMENTS CULTURALS materials i immaterials vinculats a la natura</t>
        </is>
      </c>
      <c r="M89" s="11" t="inlineStr">
        <is>
          <t>Potenciar la conservació i recuperació del patrimoni cultural material i immaterial de l'ENP</t>
        </is>
      </c>
      <c r="N89" s="11" t="inlineStr">
        <is>
          <t>Específic</t>
        </is>
      </c>
      <c r="O89" s="11" t="inlineStr">
        <is>
          <t>Obligatori</t>
        </is>
      </c>
      <c r="P89" s="11" t="inlineStr">
        <is>
          <t>Si</t>
        </is>
      </c>
      <c r="Q89" s="11" t="inlineStr">
        <is>
          <t>04.3.2 · Continuar realitzant activitats formatives de la tècnica de pedra en sec (murs, empedrats, cabanes, ..) — Número d'activitats formatives de pedra seca realitzades</t>
        </is>
      </c>
    </row>
    <row r="90">
      <c r="A90" s="11" t="inlineStr">
        <is>
          <t>2. Cultura</t>
        </is>
      </c>
      <c r="B90" s="11" t="inlineStr">
        <is>
          <t>04.3.2</t>
        </is>
      </c>
      <c r="C90" s="11" t="inlineStr">
        <is>
          <t>Recuperar i conservar el patrimoni cultural rural vinculat específicament a construccions de pedra en sec</t>
        </is>
      </c>
      <c r="D90" s="11" t="inlineStr">
        <is>
          <t>Recuperar i conservar el patrimoni cultural rural vinculat específicament a construccions de pedra en sec</t>
        </is>
      </c>
      <c r="E90" s="11" t="inlineStr">
        <is>
          <t>Creació d'un Parc Arqueològic d'Alta Muntanya de la pedra seca (possiblement el Pla de Sartari)</t>
        </is>
      </c>
      <c r="F90" s="11" t="inlineStr">
        <is>
          <t>Creació del Parc Arqueològic</t>
        </is>
      </c>
      <c r="G90" s="11" t="inlineStr">
        <is>
          <t>no</t>
        </is>
      </c>
      <c r="H90" s="11" t="inlineStr">
        <is>
          <t>si</t>
        </is>
      </c>
      <c r="I90" s="11" t="inlineStr">
        <is>
          <t>MITJANA</t>
        </is>
      </c>
      <c r="J90" s="11" t="inlineStr">
        <is>
          <t>Direccio</t>
        </is>
      </c>
      <c r="K90" s="11" t="inlineStr">
        <is>
          <t>Marc</t>
        </is>
      </c>
      <c r="L90" s="11" t="inlineStr">
        <is>
          <t>CONSERVAR ELS ELEMENTS CULTURALS materials i immaterials vinculats a la natura</t>
        </is>
      </c>
      <c r="M90" s="11" t="inlineStr">
        <is>
          <t>Potenciar la conservació i recuperació del patrimoni cultural material i immaterial de l'ENP</t>
        </is>
      </c>
      <c r="N90" s="11" t="inlineStr">
        <is>
          <t>Específic</t>
        </is>
      </c>
      <c r="O90" s="11" t="inlineStr">
        <is>
          <t>Obligatori</t>
        </is>
      </c>
      <c r="P90" s="11" t="inlineStr">
        <is>
          <t>Si</t>
        </is>
      </c>
      <c r="Q90" s="11" t="inlineStr">
        <is>
          <t>04.3.2 · Creació d'un Parc Arqueològic d'Alta Muntanya de la pedra seca (possiblement el Pla de Sartari) — Creació del Parc Arqueològic</t>
        </is>
      </c>
    </row>
    <row r="91">
      <c r="A91" s="11" t="inlineStr">
        <is>
          <t>2. Cultura</t>
        </is>
      </c>
      <c r="B91" s="11" t="inlineStr">
        <is>
          <t>04.3.3</t>
        </is>
      </c>
      <c r="C91" s="11" t="inlineStr">
        <is>
          <t>Fomentar la recuperació i conservació de l'arquitectura tradicional d'intrès de les edificacions i construccions</t>
        </is>
      </c>
      <c r="D91" s="11" t="inlineStr">
        <is>
          <t>Fomentar la recuperació i conservació de l'arquitectura tradicional d'intrès de les edificacions i construccions</t>
        </is>
      </c>
      <c r="E91" s="11" t="inlineStr">
        <is>
          <t>Divulgació i foment de l'aplicació del nou manual de bones pràctiques per la rehabilitació de construccions rurals aïllades del Parc</t>
        </is>
      </c>
      <c r="F91" s="11" t="inlineStr">
        <is>
          <t>Número de construccions en que s'ha aplicat el manual</t>
        </is>
      </c>
      <c r="G91" s="11" t="n">
        <v>3</v>
      </c>
      <c r="H91" s="11" t="n">
        <v>10</v>
      </c>
      <c r="I91" s="11" t="inlineStr">
        <is>
          <t>ALTA</t>
        </is>
      </c>
      <c r="J91" s="11" t="inlineStr">
        <is>
          <t>Direccio</t>
        </is>
      </c>
      <c r="K91" s="11" t="inlineStr">
        <is>
          <t>Marc</t>
        </is>
      </c>
      <c r="L91" s="11" t="inlineStr">
        <is>
          <t>CONSERVAR ELS ELEMENTS CULTURALS materials i immaterials vinculats a la natura</t>
        </is>
      </c>
      <c r="M91" s="11" t="inlineStr">
        <is>
          <t>Potenciar la conservació i recuperació del patrimoni cultural material i immaterial de l'ENP</t>
        </is>
      </c>
      <c r="N91" s="11" t="inlineStr">
        <is>
          <t>Comú</t>
        </is>
      </c>
      <c r="O91" s="11" t="inlineStr">
        <is>
          <t>Optatiu</t>
        </is>
      </c>
      <c r="P91" s="11" t="inlineStr">
        <is>
          <t>Si</t>
        </is>
      </c>
      <c r="Q91" s="11" t="inlineStr">
        <is>
          <t>04.3.3 · Divulgació i foment de l'aplicació del nou manual de bones pràctiques per la rehabilitació de construccions rurals aïllades del Parc — Número de construccions en que s'ha aplicat el manual</t>
        </is>
      </c>
    </row>
    <row r="92">
      <c r="A92" s="11" t="inlineStr">
        <is>
          <t>2. Cultura</t>
        </is>
      </c>
      <c r="B92" s="11" t="inlineStr">
        <is>
          <t>04.3.3</t>
        </is>
      </c>
      <c r="C92" s="11" t="inlineStr">
        <is>
          <t>Fomentar la recuperació i conservació de l'arquitectura tradicional d'intrès de les edificacions i construccions</t>
        </is>
      </c>
      <c r="D92" s="11" t="inlineStr">
        <is>
          <t>Fomentar la recuperació i conservació de l'arquitectura tradicional d'intrès de les edificacions i construccions</t>
        </is>
      </c>
      <c r="E92" s="11" t="inlineStr">
        <is>
          <t>Continuar les recerques i investigacions iniciades sobre arquitectura tradicional, tant d’interior com d’exterior, vinculada amb agricultura i ramaderia, patrimoni preindustrial (molins, serradores, batans, etc...), esglésies, capelles i ermites, en tot l’àmbit del Parc. Cal fer una menció específica a l’interès que desperta l’antiga explotació fustera La Matussiere a Bonabé, a partir de la qual es poden desenvolupar interessants relats patrimonials com la frontera, la gestió del bosc, etc...</t>
        </is>
      </c>
      <c r="F92" s="11" t="inlineStr">
        <is>
          <t>Número d'accions realitzades</t>
        </is>
      </c>
      <c r="G92" s="11" t="n">
        <v>2</v>
      </c>
      <c r="H92" s="11" t="n">
        <v>8</v>
      </c>
      <c r="I92" s="11" t="inlineStr">
        <is>
          <t>ALTA</t>
        </is>
      </c>
      <c r="J92" s="11" t="inlineStr">
        <is>
          <t>Direccio</t>
        </is>
      </c>
      <c r="K92" s="11" t="inlineStr">
        <is>
          <t>Marc</t>
        </is>
      </c>
      <c r="L92" s="11" t="inlineStr">
        <is>
          <t>CONSERVAR ELS ELEMENTS CULTURALS materials i immaterials vinculats a la natura</t>
        </is>
      </c>
      <c r="M92" s="11" t="inlineStr">
        <is>
          <t>Potenciar la conservació i recuperació del patrimoni cultural material i immaterial de l'ENP</t>
        </is>
      </c>
      <c r="N92" s="11" t="inlineStr">
        <is>
          <t>Comú</t>
        </is>
      </c>
      <c r="O92" s="11" t="inlineStr">
        <is>
          <t>Optatiu</t>
        </is>
      </c>
      <c r="P92" s="11" t="inlineStr">
        <is>
          <t>Si</t>
        </is>
      </c>
      <c r="Q92" s="11" t="inlineStr">
        <is>
          <t>04.3.3 · Continuar les recerques i investigacions iniciades sobre arquitectura tradicional, tant d’interior com d’exterior, vinculada amb agricultura i ramader — Número d'accions realitzades</t>
        </is>
      </c>
    </row>
    <row r="93">
      <c r="A93" s="11" t="inlineStr">
        <is>
          <t>2. Cultura</t>
        </is>
      </c>
      <c r="B93" s="11" t="inlineStr">
        <is>
          <t>04.3.3</t>
        </is>
      </c>
      <c r="C93" s="11" t="inlineStr">
        <is>
          <t>Fomentar la recuperació i conservació de l'arquitectura tradicional d'intrès de les edificacions i construccions</t>
        </is>
      </c>
      <c r="D93" s="11" t="inlineStr">
        <is>
          <t>Fomentar la recuperació i conservació de l'arquitectura tradicional d'intrès de les edificacions i construccions</t>
        </is>
      </c>
      <c r="E93" s="11" t="inlineStr">
        <is>
          <t>Continuar donant ajuts, i realitzar campanyes de difusió i informació, per a la rehabilitació de bordes, cabanes i altres construccions rurals aïllades del Parc d'ús agroramader o patrimonial (moles, serradores,..), valorant incloure la redacció dels projectes tècnics i estudis ambientals</t>
        </is>
      </c>
      <c r="F93" s="11" t="inlineStr">
        <is>
          <t>Número d'ajuts concedits i campanyes d’informació realitzades</t>
        </is>
      </c>
      <c r="G93" s="11" t="n">
        <v>4</v>
      </c>
      <c r="H93" s="11" t="n">
        <v>12</v>
      </c>
      <c r="I93" s="11" t="inlineStr">
        <is>
          <t>ALTA</t>
        </is>
      </c>
      <c r="J93" s="11" t="inlineStr">
        <is>
          <t>Direccio</t>
        </is>
      </c>
      <c r="K93" s="11" t="inlineStr">
        <is>
          <t>Marc</t>
        </is>
      </c>
      <c r="L93" s="11" t="inlineStr">
        <is>
          <t>CONSERVAR ELS ELEMENTS CULTURALS materials i immaterials vinculats a la natura</t>
        </is>
      </c>
      <c r="M93" s="11" t="inlineStr">
        <is>
          <t>Potenciar la conservació i recuperació del patrimoni cultural material i immaterial de l'ENP</t>
        </is>
      </c>
      <c r="N93" s="11" t="inlineStr">
        <is>
          <t>Comú</t>
        </is>
      </c>
      <c r="O93" s="11" t="inlineStr">
        <is>
          <t>Optatiu</t>
        </is>
      </c>
      <c r="P93" s="11" t="inlineStr">
        <is>
          <t>Si</t>
        </is>
      </c>
      <c r="Q93" s="11" t="inlineStr">
        <is>
          <t>04.3.3 · Continuar donant ajuts, i realitzar campanyes de difusió i informació, per a la rehabilitació de bordes, cabanes i altres construccions rurals aïllade — Número d'ajuts concedits i campanyes d’informació realitzades</t>
        </is>
      </c>
    </row>
    <row r="94">
      <c r="A94" s="11" t="inlineStr">
        <is>
          <t>2. Cultura</t>
        </is>
      </c>
      <c r="B94" s="11" t="inlineStr">
        <is>
          <t>04.3.3</t>
        </is>
      </c>
      <c r="C94" s="11" t="inlineStr">
        <is>
          <t>Fomentar la recuperació i conservació de l'arquitectura tradicional d'intrès de les edificacions i construccions</t>
        </is>
      </c>
      <c r="D94" s="11" t="inlineStr">
        <is>
          <t>Fomentar la recuperació i conservació de l'arquitectura tradicional d'intrès de les edificacions i construccions</t>
        </is>
      </c>
      <c r="E94" s="11" t="inlineStr">
        <is>
          <t>Continuar en la restauració del patrimoni moble de Casa Bringué de Ginestarre</t>
        </is>
      </c>
      <c r="F94" s="11" t="inlineStr">
        <is>
          <t>Número de mobles restaurats</t>
        </is>
      </c>
      <c r="G94" s="11" t="n">
        <v>4</v>
      </c>
      <c r="H94" s="11" t="n">
        <v>10</v>
      </c>
      <c r="I94" s="11" t="inlineStr">
        <is>
          <t>MITJANA</t>
        </is>
      </c>
      <c r="J94" s="11" t="inlineStr">
        <is>
          <t>Direccio</t>
        </is>
      </c>
      <c r="K94" s="11" t="inlineStr">
        <is>
          <t>Marc</t>
        </is>
      </c>
      <c r="L94" s="11" t="inlineStr">
        <is>
          <t>CONSERVAR ELS ELEMENTS CULTURALS materials i immaterials vinculats a la natura</t>
        </is>
      </c>
      <c r="M94" s="11" t="inlineStr">
        <is>
          <t>Potenciar la conservació i recuperació del patrimoni cultural material i immaterial de l'ENP</t>
        </is>
      </c>
      <c r="N94" s="11" t="inlineStr">
        <is>
          <t>Comú</t>
        </is>
      </c>
      <c r="O94" s="11" t="inlineStr">
        <is>
          <t>Optatiu</t>
        </is>
      </c>
      <c r="P94" s="11" t="inlineStr">
        <is>
          <t>Si</t>
        </is>
      </c>
      <c r="Q94" s="11" t="inlineStr">
        <is>
          <t>04.3.3 · Continuar en la restauració del patrimoni moble de Casa Bringué de Ginestarre — Número de mobles restaurats</t>
        </is>
      </c>
    </row>
    <row r="95">
      <c r="A95" s="11" t="inlineStr">
        <is>
          <t>2. Cultura</t>
        </is>
      </c>
      <c r="B95" s="11" t="inlineStr">
        <is>
          <t>04.3.3</t>
        </is>
      </c>
      <c r="C95" s="11" t="inlineStr">
        <is>
          <t>Fomentar la recuperació i conservació de l'arquitectura tradicional d'intrès de les edificacions i construccions</t>
        </is>
      </c>
      <c r="D95" s="11" t="inlineStr">
        <is>
          <t>Fomentar la recuperació i conservació de l'arquitectura tradicional d'intrès de les edificacions i construccions</t>
        </is>
      </c>
      <c r="E95" s="11" t="inlineStr">
        <is>
          <t>Executar el projecte de rehabilització de Casa Bringué de Ginestarre com espai museistic, formatiu i alberg de joventut</t>
        </is>
      </c>
      <c r="F95" s="11" t="inlineStr">
        <is>
          <t>Execució del projecte</t>
        </is>
      </c>
      <c r="G95" s="11" t="inlineStr">
        <is>
          <t>no</t>
        </is>
      </c>
      <c r="H95" s="11" t="inlineStr">
        <is>
          <t>si</t>
        </is>
      </c>
      <c r="I95" s="11" t="inlineStr">
        <is>
          <t>MÀXIMA</t>
        </is>
      </c>
      <c r="J95" s="11" t="inlineStr">
        <is>
          <t>Direccio</t>
        </is>
      </c>
      <c r="K95" s="11" t="inlineStr">
        <is>
          <t>Marc</t>
        </is>
      </c>
      <c r="L95" s="11" t="inlineStr">
        <is>
          <t>CONSERVAR ELS ELEMENTS CULTURALS materials i immaterials vinculats a la natura</t>
        </is>
      </c>
      <c r="M95" s="11" t="inlineStr">
        <is>
          <t>Potenciar la conservació i recuperació del patrimoni cultural material i immaterial de l'ENP</t>
        </is>
      </c>
      <c r="N95" s="11" t="inlineStr">
        <is>
          <t>Comú</t>
        </is>
      </c>
      <c r="O95" s="11" t="inlineStr">
        <is>
          <t>Optatiu</t>
        </is>
      </c>
      <c r="P95" s="11" t="inlineStr">
        <is>
          <t>Si</t>
        </is>
      </c>
      <c r="Q95" s="11" t="inlineStr">
        <is>
          <t>04.3.3 · Executar el projecte de rehabilització de Casa Bringué de Ginestarre com espai museistic, formatiu i alberg de joventut — Execució del projecte</t>
        </is>
      </c>
    </row>
    <row r="96">
      <c r="A96" s="11" t="inlineStr">
        <is>
          <t>2. Cultura</t>
        </is>
      </c>
      <c r="B96" s="11" t="inlineStr">
        <is>
          <t>04.3.3</t>
        </is>
      </c>
      <c r="C96" s="11" t="inlineStr">
        <is>
          <t>Fomentar la recuperació i conservació de l'arquitectura tradicional d'intrès de les edificacions i construccions</t>
        </is>
      </c>
      <c r="D96" s="11" t="inlineStr">
        <is>
          <t>Fomentar la recuperació i conservació de l'arquitectura tradicional d'intrès de les edificacions i construccions</t>
        </is>
      </c>
      <c r="E96" s="11" t="inlineStr">
        <is>
          <t>Mantenir la coberta vegetal de la Borda de Llosaus</t>
        </is>
      </c>
      <c r="F96" s="11" t="inlineStr">
        <is>
          <t>Número d'acions de manteniment</t>
        </is>
      </c>
      <c r="G96" s="11" t="n">
        <v>1</v>
      </c>
      <c r="H96" s="11" t="n">
        <v>4</v>
      </c>
      <c r="I96" s="11" t="inlineStr">
        <is>
          <t>MITJANA</t>
        </is>
      </c>
      <c r="J96" s="11" t="inlineStr">
        <is>
          <t>Millora rural</t>
        </is>
      </c>
      <c r="K96" s="11" t="inlineStr">
        <is>
          <t>Natàlia</t>
        </is>
      </c>
      <c r="L96" s="11" t="inlineStr">
        <is>
          <t>CONSERVAR ELS ELEMENTS CULTURALS materials i immaterials vinculats a la natura</t>
        </is>
      </c>
      <c r="M96" s="11" t="inlineStr">
        <is>
          <t>Potenciar la conservació i recuperació del patrimoni cultural material i immaterial de l'ENP</t>
        </is>
      </c>
      <c r="N96" s="11" t="inlineStr">
        <is>
          <t>Comú</t>
        </is>
      </c>
      <c r="O96" s="11" t="inlineStr">
        <is>
          <t>Optatiu</t>
        </is>
      </c>
      <c r="P96" s="11" t="inlineStr">
        <is>
          <t>Si</t>
        </is>
      </c>
      <c r="Q96" s="11" t="inlineStr">
        <is>
          <t>04.3.3 · Mantenir la coberta vegetal de la Borda de Llosaus — Número d'acions de manteniment</t>
        </is>
      </c>
    </row>
    <row r="97">
      <c r="A97" s="11" t="inlineStr">
        <is>
          <t>2. Cultura</t>
        </is>
      </c>
      <c r="B97" s="11" t="inlineStr">
        <is>
          <t>04.3.3</t>
        </is>
      </c>
      <c r="C97" s="11" t="inlineStr">
        <is>
          <t>Fomentar la recuperació i conservació de l'arquitectura tradicional d'intrès de les edificacions i construccions</t>
        </is>
      </c>
      <c r="D97" s="11" t="inlineStr">
        <is>
          <t>Fomentar la recuperació i conservació de l'arquitectura tradicional d'intrès de les edificacions i construccions</t>
        </is>
      </c>
      <c r="E97" s="11" t="inlineStr">
        <is>
          <t>Redacció projecte i rehabilitació de les cases forestals patrimonials de Mas Llavaners, Borda de l’Orient i el Soi destinats a l’educació ambiental i conservació de la biodiversitat</t>
        </is>
      </c>
      <c r="F97" s="11" t="inlineStr">
        <is>
          <t>Acció realitzada</t>
        </is>
      </c>
      <c r="G97" s="11" t="inlineStr">
        <is>
          <t>Redacció del projecte</t>
        </is>
      </c>
      <c r="H97" s="11" t="inlineStr">
        <is>
          <t>Redacció i rehabilitació</t>
        </is>
      </c>
      <c r="I97" s="11" t="inlineStr">
        <is>
          <t>MITJANA</t>
        </is>
      </c>
      <c r="J97" s="11" t="inlineStr"/>
      <c r="K97" s="11" t="inlineStr"/>
      <c r="L97" s="11" t="inlineStr">
        <is>
          <t>CONSERVAR ELS ELEMENTS CULTURALS materials i immaterials vinculats a la natura</t>
        </is>
      </c>
      <c r="M97" s="11" t="inlineStr">
        <is>
          <t>Potenciar la conservació i recuperació del patrimoni cultural material i immaterial de l'ENP</t>
        </is>
      </c>
      <c r="N97" s="11" t="inlineStr">
        <is>
          <t>Comú</t>
        </is>
      </c>
      <c r="O97" s="11" t="inlineStr">
        <is>
          <t>Optatiu</t>
        </is>
      </c>
      <c r="P97" s="11" t="inlineStr">
        <is>
          <t>Si</t>
        </is>
      </c>
      <c r="Q97" s="11" t="inlineStr">
        <is>
          <t>04.3.3 · Redacció projecte i rehabilitació de les cases forestals patrimonials de Mas Llavaners, Borda de l’Orient i el Soi destinats a l’educació ambiental i  — Acció realitzada</t>
        </is>
      </c>
    </row>
    <row r="98">
      <c r="A98" s="11" t="inlineStr">
        <is>
          <t>2. Cultura</t>
        </is>
      </c>
      <c r="B98" s="11" t="inlineStr">
        <is>
          <t>04.3.3</t>
        </is>
      </c>
      <c r="C98" s="11" t="inlineStr">
        <is>
          <t>Fomentar la recuperació i conservació de l'arquitectura tradicional d'intrès de les edificacions i construccions</t>
        </is>
      </c>
      <c r="D98" s="11" t="inlineStr">
        <is>
          <t>Fomentar la recuperació i conservació de l'arquitectura tradicional d'intrès de les edificacions i construccions</t>
        </is>
      </c>
      <c r="E98" s="11" t="inlineStr">
        <is>
          <t>Realització d'accions de conservació del patrimoni arquitectònic públic del Parc a través del servei de manteniment, obres o ajuts</t>
        </is>
      </c>
      <c r="F98" s="11" t="inlineStr">
        <is>
          <t>Número d'accions de conservació</t>
        </is>
      </c>
      <c r="G98" s="11" t="n">
        <v>5</v>
      </c>
      <c r="H98" s="11" t="n">
        <v>25</v>
      </c>
      <c r="I98" s="11" t="inlineStr">
        <is>
          <t>MITJANA</t>
        </is>
      </c>
      <c r="J98" s="11" t="inlineStr">
        <is>
          <t>Millora rural</t>
        </is>
      </c>
      <c r="K98" s="11" t="inlineStr">
        <is>
          <t>Natàlia</t>
        </is>
      </c>
      <c r="L98" s="11" t="inlineStr">
        <is>
          <t>CONSERVAR ELS ELEMENTS CULTURALS materials i immaterials vinculats a la natura</t>
        </is>
      </c>
      <c r="M98" s="11" t="inlineStr">
        <is>
          <t>Potenciar la conservació i recuperació del patrimoni cultural material i immaterial de l'ENP</t>
        </is>
      </c>
      <c r="N98" s="11" t="inlineStr">
        <is>
          <t>Comú</t>
        </is>
      </c>
      <c r="O98" s="11" t="inlineStr">
        <is>
          <t>Optatiu</t>
        </is>
      </c>
      <c r="P98" s="11" t="inlineStr">
        <is>
          <t>Si</t>
        </is>
      </c>
      <c r="Q98" s="11" t="inlineStr">
        <is>
          <t>04.3.3 · Realització d'accions de conservació del patrimoni arquitectònic públic del Parc a través del servei de manteniment, obres o ajuts — Número d'accions de conservació</t>
        </is>
      </c>
    </row>
    <row r="99">
      <c r="A99" s="11" t="inlineStr">
        <is>
          <t>2. Cultura</t>
        </is>
      </c>
      <c r="B99" s="11" t="inlineStr">
        <is>
          <t>04.3.4</t>
        </is>
      </c>
      <c r="C99" s="11" t="inlineStr">
        <is>
          <t>Identificar i conservar la diversitat domesticada de varietats agrícoles i ramaderes locals</t>
        </is>
      </c>
      <c r="D99" s="11" t="inlineStr">
        <is>
          <t>Identificar i conservar la diversitat domesticada de varietats agrícoles i ramaderes locals</t>
        </is>
      </c>
      <c r="E99" s="11" t="inlineStr">
        <is>
          <t>Donar suport a les entitats que ajuden a identificar, conservar, multiplicar i fomentar l'ús del banc de llavors de les varietats agrícoles i ornamentals de l'Alt Pirineu, incloent les seves activitats formatives</t>
        </is>
      </c>
      <c r="F99" s="11" t="inlineStr">
        <is>
          <t>Número d'accions de suport realitzades</t>
        </is>
      </c>
      <c r="G99" s="11" t="n">
        <v>4</v>
      </c>
      <c r="H99" s="11" t="n">
        <v>10</v>
      </c>
      <c r="I99" s="11" t="inlineStr">
        <is>
          <t>MITJANA</t>
        </is>
      </c>
      <c r="J99" s="11" t="inlineStr">
        <is>
          <t>Direccio</t>
        </is>
      </c>
      <c r="K99" s="11" t="inlineStr">
        <is>
          <t>Marc</t>
        </is>
      </c>
      <c r="L99" s="11" t="inlineStr">
        <is>
          <t>CONSERVAR ELS ELEMENTS CULTURALS materials i immaterials vinculats a la natura</t>
        </is>
      </c>
      <c r="M99" s="11" t="inlineStr">
        <is>
          <t>Donar a conèixer els elements culturals com a valors del paisatge de l'ENP en les activitats d'ús públic</t>
        </is>
      </c>
      <c r="N99" s="11" t="inlineStr">
        <is>
          <t>Comú</t>
        </is>
      </c>
      <c r="O99" s="11" t="inlineStr">
        <is>
          <t>Obligatori</t>
        </is>
      </c>
      <c r="P99" s="11" t="inlineStr">
        <is>
          <t>Si</t>
        </is>
      </c>
      <c r="Q99" s="11" t="inlineStr">
        <is>
          <t>04.3.4 · Donar suport a les entitats que ajuden a identificar, conservar, multiplicar i fomentar l'ús del banc de llavors de les varietats agrícoles i ornament — Número d'accions de suport realitzades</t>
        </is>
      </c>
    </row>
    <row r="100">
      <c r="A100" s="11" t="inlineStr">
        <is>
          <t>2. Cultura</t>
        </is>
      </c>
      <c r="B100" s="11" t="inlineStr">
        <is>
          <t>04.3.4</t>
        </is>
      </c>
      <c r="C100" s="11" t="inlineStr">
        <is>
          <t>Identificar i conservar la diversitat domesticada de varietats agrícoles i ramaderes locals</t>
        </is>
      </c>
      <c r="D100" s="11" t="inlineStr">
        <is>
          <t>Identificar i conservar la diversitat domesticada de varietats agrícoles i ramaderes locals</t>
        </is>
      </c>
      <c r="E100" s="11" t="inlineStr">
        <is>
          <t>Manteniment i millora dels espais de conservació i multiplicació de les varietats agrícoles i ornamentals locals: planter de Gerri, fruiterar de salvaguarda de la Deixalleria de Sort, banc de llavors del Paller d’Antonet</t>
        </is>
      </c>
      <c r="F100" s="11" t="inlineStr">
        <is>
          <t>Número d'accions realitzades</t>
        </is>
      </c>
      <c r="G100" s="11" t="n">
        <v>8</v>
      </c>
      <c r="H100" s="11" t="n">
        <v>16</v>
      </c>
      <c r="I100" s="11" t="inlineStr">
        <is>
          <t>ALTA</t>
        </is>
      </c>
      <c r="J100" s="11" t="inlineStr">
        <is>
          <t>Millora rural</t>
        </is>
      </c>
      <c r="K100" s="11" t="inlineStr">
        <is>
          <t>Natàlia</t>
        </is>
      </c>
      <c r="L100" s="11" t="inlineStr">
        <is>
          <t>CONSERVAR ELS ELEMENTS CULTURALS materials i immaterials vinculats a la natura</t>
        </is>
      </c>
      <c r="M100" s="11" t="inlineStr">
        <is>
          <t>Donar a conèixer els elements culturals com a valors del paisatge de l'ENP en les activitats d'ús públic</t>
        </is>
      </c>
      <c r="N100" s="11" t="inlineStr">
        <is>
          <t>Comú</t>
        </is>
      </c>
      <c r="O100" s="11" t="inlineStr">
        <is>
          <t>Obligatori</t>
        </is>
      </c>
      <c r="P100" s="11" t="inlineStr">
        <is>
          <t>Si</t>
        </is>
      </c>
      <c r="Q100" s="11" t="inlineStr">
        <is>
          <t>04.3.4 · Manteniment i millora dels espais de conservació i multiplicació de les varietats agrícoles i ornamentals locals: planter de Gerri, fruiterar de salva — Número d'accions realitzades</t>
        </is>
      </c>
    </row>
    <row r="101">
      <c r="A101" s="11" t="inlineStr">
        <is>
          <t>2. Cultura</t>
        </is>
      </c>
      <c r="B101" s="11" t="inlineStr">
        <is>
          <t>04.3.4</t>
        </is>
      </c>
      <c r="C101" s="11" t="inlineStr">
        <is>
          <t>Identificar i conservar la diversitat domesticada de varietats agrícoles i ramaderes locals</t>
        </is>
      </c>
      <c r="D101" s="11" t="inlineStr">
        <is>
          <t>Identificar i conservar la diversitat domesticada de varietats agrícoles i ramaderes locals</t>
        </is>
      </c>
      <c r="E101" s="11" t="inlineStr">
        <is>
          <t>Difondre el coneixement de les varietats locals, incentivar la producció de planter i fomentar el seu ús en fires, cultius, tastos, visites a horts, activitats inclusives i de salut, etc.</t>
        </is>
      </c>
      <c r="F101" s="11" t="inlineStr">
        <is>
          <t>Número d’activitats realitzades</t>
        </is>
      </c>
      <c r="G101" s="11" t="n">
        <v>5</v>
      </c>
      <c r="H101" s="11" t="n">
        <v>20</v>
      </c>
      <c r="I101" s="11" t="inlineStr">
        <is>
          <t>MITJANA</t>
        </is>
      </c>
      <c r="J101" s="11" t="inlineStr"/>
      <c r="K101" s="11" t="inlineStr"/>
      <c r="L101" s="11" t="inlineStr">
        <is>
          <t>CONSERVAR ELS ELEMENTS CULTURALS materials i immaterials vinculats a la natura</t>
        </is>
      </c>
      <c r="M101" s="11" t="inlineStr">
        <is>
          <t>Donar a conèixer els elements culturals com a valors del paisatge de l'ENP en les activitats d'ús públic</t>
        </is>
      </c>
      <c r="N101" s="11" t="inlineStr">
        <is>
          <t>Comú</t>
        </is>
      </c>
      <c r="O101" s="11" t="inlineStr">
        <is>
          <t>Obligatori</t>
        </is>
      </c>
      <c r="P101" s="11" t="inlineStr">
        <is>
          <t>Si</t>
        </is>
      </c>
      <c r="Q101" s="11" t="inlineStr">
        <is>
          <t>04.3.4 · Difondre el coneixement de les varietats locals, incentivar la producció de planter i fomentar el seu ús en fires, cultius, tastos, visites a horts, a — Número d’activitats realitzades</t>
        </is>
      </c>
    </row>
    <row r="102">
      <c r="A102" s="11" t="inlineStr">
        <is>
          <t>2. Cultura</t>
        </is>
      </c>
      <c r="B102" s="11" t="inlineStr">
        <is>
          <t>04.3.4</t>
        </is>
      </c>
      <c r="C102" s="11" t="inlineStr">
        <is>
          <t>Identificar i conservar la diversitat domesticada de varietats agrícoles i ramaderes locals</t>
        </is>
      </c>
      <c r="D102" s="11" t="inlineStr">
        <is>
          <t>Identificar i conservar la diversitat domesticada de varietats agrícoles i ramaderes locals</t>
        </is>
      </c>
      <c r="E102" s="11" t="inlineStr">
        <is>
          <t>Donar suport a la conservació de les races locals de bestiar del Parc a través de les fires i concursos de raça</t>
        </is>
      </c>
      <c r="F102" s="11" t="inlineStr">
        <is>
          <t>Número d'accions de suport en fires i concursos</t>
        </is>
      </c>
      <c r="G102" s="11" t="n">
        <v>16</v>
      </c>
      <c r="H102" s="11" t="n">
        <v>24</v>
      </c>
      <c r="I102" s="11" t="inlineStr">
        <is>
          <t>ALTA</t>
        </is>
      </c>
      <c r="J102" s="11" t="inlineStr">
        <is>
          <t>Millora rural</t>
        </is>
      </c>
      <c r="K102" s="11" t="inlineStr">
        <is>
          <t>Natàlia</t>
        </is>
      </c>
      <c r="L102" s="11" t="inlineStr">
        <is>
          <t>CONSERVAR ELS ELEMENTS CULTURALS materials i immaterials vinculats a la natura</t>
        </is>
      </c>
      <c r="M102" s="11" t="inlineStr">
        <is>
          <t>Donar a conèixer els elements culturals com a valors del paisatge de l'ENP en les activitats d'ús públic</t>
        </is>
      </c>
      <c r="N102" s="11" t="inlineStr">
        <is>
          <t>Comú</t>
        </is>
      </c>
      <c r="O102" s="11" t="inlineStr">
        <is>
          <t>Obligatori</t>
        </is>
      </c>
      <c r="P102" s="11" t="inlineStr">
        <is>
          <t>Si</t>
        </is>
      </c>
      <c r="Q102" s="11" t="inlineStr">
        <is>
          <t>04.3.4 · Donar suport a la conservació de les races locals de bestiar del Parc a través de les fires i concursos de raça — Número d'accions de suport en fires i concursos</t>
        </is>
      </c>
    </row>
    <row r="103">
      <c r="A103" s="11" t="inlineStr">
        <is>
          <t>2. Cultura</t>
        </is>
      </c>
      <c r="B103" s="11" t="inlineStr">
        <is>
          <t>04.3.4</t>
        </is>
      </c>
      <c r="C103" s="11" t="inlineStr">
        <is>
          <t>Identificar i conservar la diversitat domesticada de varietats agrícoles i ramaderes locals</t>
        </is>
      </c>
      <c r="D103" s="11" t="inlineStr">
        <is>
          <t>Identificar i conservar la diversitat domesticada de varietats agrícoles i ramaderes locals</t>
        </is>
      </c>
      <c r="E103" s="11" t="inlineStr">
        <is>
          <t>Divulgar i donar a conèixer les races locals de bestiar del Parc a través de diferents mitjans</t>
        </is>
      </c>
      <c r="F103" s="11" t="inlineStr">
        <is>
          <t>Número d'accions de divulgació</t>
        </is>
      </c>
      <c r="G103" s="11" t="n">
        <v>2</v>
      </c>
      <c r="H103" s="11" t="n">
        <v>8</v>
      </c>
      <c r="I103" s="11" t="inlineStr">
        <is>
          <t>MITJANA</t>
        </is>
      </c>
      <c r="J103" s="11" t="inlineStr">
        <is>
          <t>Us Public</t>
        </is>
      </c>
      <c r="K103" s="11" t="inlineStr">
        <is>
          <t>Moi</t>
        </is>
      </c>
      <c r="L103" s="11" t="inlineStr">
        <is>
          <t>CONSERVAR ELS ELEMENTS CULTURALS materials i immaterials vinculats a la natura</t>
        </is>
      </c>
      <c r="M103" s="11" t="inlineStr">
        <is>
          <t>Donar a conèixer els elements culturals com a valors del paisatge de l'ENP en les activitats d'ús públic</t>
        </is>
      </c>
      <c r="N103" s="11" t="inlineStr">
        <is>
          <t>Comú</t>
        </is>
      </c>
      <c r="O103" s="11" t="inlineStr">
        <is>
          <t>Obligatori</t>
        </is>
      </c>
      <c r="P103" s="11" t="inlineStr">
        <is>
          <t>Si</t>
        </is>
      </c>
      <c r="Q103" s="11" t="inlineStr">
        <is>
          <t>04.3.4 · Divulgar i donar a conèixer les races locals de bestiar del Parc a través de diferents mitjans — Número d'accions de divulgació</t>
        </is>
      </c>
    </row>
    <row r="104">
      <c r="A104" s="11" t="inlineStr">
        <is>
          <t>2. Cultura</t>
        </is>
      </c>
      <c r="B104" s="11" t="inlineStr">
        <is>
          <t>04.4.1</t>
        </is>
      </c>
      <c r="C104" s="11" t="inlineStr">
        <is>
          <t>Integrar el patrimoni cultural als itineraris i cartelleria de l'ENP.</t>
        </is>
      </c>
      <c r="D104" s="11" t="inlineStr">
        <is>
          <t>Integrar el patrimoni cultural als itineraris, cartelleria i exposicions itinerants de l'ENP</t>
        </is>
      </c>
      <c r="E104" s="11" t="inlineStr">
        <is>
          <t>Integrar el patrimoni cultural en la senyalització informativa i interpretativa, especialment el reconegut per la UNESCO</t>
        </is>
      </c>
      <c r="F104" s="11" t="inlineStr">
        <is>
          <t>Número de noves senyals en que s'ha integrat el patrimoni cultural</t>
        </is>
      </c>
      <c r="G104" s="11" t="n">
        <v>4</v>
      </c>
      <c r="H104" s="11" t="n">
        <v>20</v>
      </c>
      <c r="I104" s="11" t="inlineStr">
        <is>
          <t>MITJANA</t>
        </is>
      </c>
      <c r="J104" s="11" t="inlineStr">
        <is>
          <t>Millora rural</t>
        </is>
      </c>
      <c r="K104" s="11" t="inlineStr">
        <is>
          <t>Natàlia</t>
        </is>
      </c>
      <c r="L104" s="11" t="inlineStr">
        <is>
          <t>CONSERVAR ELS ELEMENTS CULTURALS materials i immaterials vinculats a la natura</t>
        </is>
      </c>
      <c r="M104" s="11" t="inlineStr">
        <is>
          <t>Donar a conèixer els elements culturals com a valors del paisatge de l'ENP en les activitats d'ús públic</t>
        </is>
      </c>
      <c r="N104" s="11" t="inlineStr">
        <is>
          <t>Comú</t>
        </is>
      </c>
      <c r="O104" s="11" t="inlineStr">
        <is>
          <t>Obligatori</t>
        </is>
      </c>
      <c r="P104" s="11" t="inlineStr">
        <is>
          <t>Si</t>
        </is>
      </c>
      <c r="Q104" s="11" t="inlineStr">
        <is>
          <t>04.4.1 · Integrar el patrimoni cultural en la senyalització informativa i interpretativa, especialment el reconegut per la UNESCO — Número de noves senyals en que s'ha integrat el patrimoni cultural</t>
        </is>
      </c>
    </row>
    <row r="105">
      <c r="A105" s="11" t="inlineStr">
        <is>
          <t>2. Cultura</t>
        </is>
      </c>
      <c r="B105" s="11" t="inlineStr">
        <is>
          <t>04.4.2</t>
        </is>
      </c>
      <c r="C105" s="11" t="inlineStr">
        <is>
          <t>Incorporar el patrimoni cultural en els plans d’ús públic i educació ambiental per fomentar-ne la seva conservació i divulgació.</t>
        </is>
      </c>
      <c r="D105" s="11" t="inlineStr">
        <is>
          <t>Incorporar el patrimoni cultural en els plans d’ús públic i educació ambiental per fomentar-ne la seva conservació i divulgació.</t>
        </is>
      </c>
      <c r="E105" s="11" t="inlineStr">
        <is>
          <t>Fomentar i divulgar les activitats de guiatge interpretatiu i educatives i xerrades que incorporen el patrimoni cultural, especialment el reconegut per la UNESCO</t>
        </is>
      </c>
      <c r="F105" s="11" t="inlineStr">
        <is>
          <t>Número d'activitats divulgades</t>
        </is>
      </c>
      <c r="G105" s="11" t="n">
        <v>12</v>
      </c>
      <c r="H105" s="11" t="n">
        <v>40</v>
      </c>
      <c r="I105" s="11" t="inlineStr">
        <is>
          <t>ALTA</t>
        </is>
      </c>
      <c r="J105" s="11" t="inlineStr">
        <is>
          <t>Us Public</t>
        </is>
      </c>
      <c r="K105" s="11" t="inlineStr">
        <is>
          <t>Moi</t>
        </is>
      </c>
      <c r="L105" s="11" t="inlineStr">
        <is>
          <t>CONSERVAR ELS ELEMENTS CULTURALS materials i immaterials vinculats a la natura</t>
        </is>
      </c>
      <c r="M105" s="11" t="inlineStr">
        <is>
          <t>Donar a conèixer els elements culturals com a valors del paisatge de l'ENP en les activitats d'ús públic</t>
        </is>
      </c>
      <c r="N105" s="11" t="inlineStr">
        <is>
          <t>Comú</t>
        </is>
      </c>
      <c r="O105" s="11" t="inlineStr">
        <is>
          <t>Obligatori</t>
        </is>
      </c>
      <c r="P105" s="11" t="inlineStr">
        <is>
          <t>Si</t>
        </is>
      </c>
      <c r="Q105" s="11" t="inlineStr">
        <is>
          <t>04.4.2 · Fomentar i divulgar les activitats de guiatge interpretatiu i educatives i xerrades que incorporen el patrimoni cultural, especialment el reconegut pe — Número d'activitats divulgades</t>
        </is>
      </c>
    </row>
    <row r="106">
      <c r="A106" s="11" t="inlineStr">
        <is>
          <t>2. Cultura</t>
        </is>
      </c>
      <c r="B106" s="11" t="inlineStr">
        <is>
          <t>04.4.2</t>
        </is>
      </c>
      <c r="C106" s="11" t="inlineStr">
        <is>
          <t>Incorporar el patrimoni cultural en els plans d’ús públic i educació ambiental per fomentar-ne la seva conservació i divulgació.</t>
        </is>
      </c>
      <c r="D106" s="11" t="inlineStr">
        <is>
          <t>Incorporar el patrimoni cultural en els plans d’ús públic i educació ambiental per fomentar-ne la seva conservació i divulgació.</t>
        </is>
      </c>
      <c r="E106" s="11" t="inlineStr">
        <is>
          <t>Fomentar l’accessibilitat als monuments i edificis històrics als guies intèrprets acreditats, sota la seva responsabilitat, per tal de garantir als guies-intèrprets la programació de les activitats amb comoditat i antelació davant de la imprevisibilitat del sector turístic</t>
        </is>
      </c>
      <c r="F106" s="11" t="inlineStr">
        <is>
          <t>Número edificis i/o monuments en que s’ha aconseguit</t>
        </is>
      </c>
      <c r="G106" s="11" t="n">
        <v>2</v>
      </c>
      <c r="H106" s="11" t="n">
        <v>10</v>
      </c>
      <c r="I106" s="11" t="inlineStr">
        <is>
          <t>MITJANA</t>
        </is>
      </c>
      <c r="J106" s="11" t="inlineStr"/>
      <c r="K106" s="11" t="inlineStr"/>
      <c r="L106" s="11" t="inlineStr">
        <is>
          <t>CONSERVAR ELS ELEMENTS CULTURALS materials i immaterials vinculats a la natura</t>
        </is>
      </c>
      <c r="M106" s="11" t="inlineStr">
        <is>
          <t>Donar a conèixer els elements culturals com a valors del paisatge de l'ENP en les activitats d'ús públic</t>
        </is>
      </c>
      <c r="N106" s="11" t="inlineStr">
        <is>
          <t>Comú</t>
        </is>
      </c>
      <c r="O106" s="11" t="inlineStr">
        <is>
          <t>Obligatori</t>
        </is>
      </c>
      <c r="P106" s="11" t="inlineStr">
        <is>
          <t>Si</t>
        </is>
      </c>
      <c r="Q106" s="11" t="inlineStr">
        <is>
          <t>04.4.2 · Fomentar l’accessibilitat als monuments i edificis històrics als guies intèrprets acreditats, sota la seva responsabilitat, per tal de garantir als gu — Número edificis i/o monuments en que s’ha aconseguit</t>
        </is>
      </c>
    </row>
    <row r="107">
      <c r="A107" s="11" t="inlineStr">
        <is>
          <t>2. Cultura</t>
        </is>
      </c>
      <c r="B107" s="11" t="inlineStr">
        <is>
          <t>04.4.3</t>
        </is>
      </c>
      <c r="C107" s="11" t="inlineStr">
        <is>
          <t>Formar el personal dels punts d’informació en els valors culturals de l'ENP</t>
        </is>
      </c>
      <c r="D107" s="11" t="inlineStr">
        <is>
          <t>Formar el personal dels punts d’informació en els valors culturals de l'ENP</t>
        </is>
      </c>
      <c r="E107" s="11" t="inlineStr">
        <is>
          <t>Realitzar activitats de formació en valor culturals al personal d'informació del Parc, especialment el reconegut per la UNESCO</t>
        </is>
      </c>
      <c r="F107" s="11" t="inlineStr">
        <is>
          <t>Número d'activitats formatives realitzades</t>
        </is>
      </c>
      <c r="G107" s="11" t="n">
        <v>1</v>
      </c>
      <c r="H107" s="11" t="n">
        <v>4</v>
      </c>
      <c r="I107" s="11" t="inlineStr">
        <is>
          <t>BAIXA</t>
        </is>
      </c>
      <c r="J107" s="11" t="inlineStr">
        <is>
          <t>Us Public</t>
        </is>
      </c>
      <c r="K107" s="11" t="inlineStr">
        <is>
          <t>Moi</t>
        </is>
      </c>
      <c r="L107" s="11" t="inlineStr">
        <is>
          <t>CONSERVAR ELS ELEMENTS CULTURALS materials i immaterials vinculats a la natura</t>
        </is>
      </c>
      <c r="M107" s="11" t="inlineStr">
        <is>
          <t>Donar a conèixer els elements culturals com a valors del paisatge de l'ENP en les activitats d'ús públic</t>
        </is>
      </c>
      <c r="N107" s="11" t="inlineStr">
        <is>
          <t>Comú</t>
        </is>
      </c>
      <c r="O107" s="11" t="inlineStr">
        <is>
          <t>Obligatori</t>
        </is>
      </c>
      <c r="P107" s="11" t="inlineStr">
        <is>
          <t>Si</t>
        </is>
      </c>
      <c r="Q107" s="11" t="inlineStr">
        <is>
          <t>04.4.3 · Realitzar activitats de formació en valor culturals al personal d'informació del Parc, especialment el reconegut per la UNESCO — Número d'activitats formatives realitzades</t>
        </is>
      </c>
    </row>
    <row r="108">
      <c r="A108" s="11" t="inlineStr">
        <is>
          <t>2. Cultura</t>
        </is>
      </c>
      <c r="B108" s="11" t="inlineStr">
        <is>
          <t>05.1.1</t>
        </is>
      </c>
      <c r="C108" s="11" t="inlineStr">
        <is>
          <t>Elaborar un inventari d'elements d'interès paisatgístic de l'ENP d'acord amb el Catàleg de paisatge de la zona</t>
        </is>
      </c>
      <c r="D108" s="11" t="inlineStr">
        <is>
          <t>Elaborar un inventari d'elements d'interès paisatgístic de l'ENP d'acord amb el Catàleg de paisatge de la zona</t>
        </is>
      </c>
      <c r="E108" s="11" t="inlineStr">
        <is>
          <t>Actualitzar l'inventari d'elements paisatgístics del Parc</t>
        </is>
      </c>
      <c r="F108" s="11" t="inlineStr">
        <is>
          <t>Actualització de l'inventari</t>
        </is>
      </c>
      <c r="G108" s="11" t="inlineStr">
        <is>
          <t>no</t>
        </is>
      </c>
      <c r="H108" s="11" t="inlineStr">
        <is>
          <t>si</t>
        </is>
      </c>
      <c r="I108" s="11" t="inlineStr">
        <is>
          <t>BAIXA</t>
        </is>
      </c>
      <c r="J108" s="11" t="inlineStr">
        <is>
          <t>Observatori</t>
        </is>
      </c>
      <c r="K108" s="11" t="inlineStr">
        <is>
          <t>Oriol</t>
        </is>
      </c>
      <c r="L108" s="11" t="inlineStr">
        <is>
          <t>PROTEGIR EL PAISATGE i la qualitat de l'ambient visual, sonor i lumínic.</t>
        </is>
      </c>
      <c r="M108" s="11" t="inlineStr">
        <is>
          <t>Identificar els elements d'interès paisatgístic de l'espai</t>
        </is>
      </c>
      <c r="N108" s="11" t="inlineStr">
        <is>
          <t>Comú</t>
        </is>
      </c>
      <c r="O108" s="11" t="inlineStr">
        <is>
          <t>Optatiu</t>
        </is>
      </c>
      <c r="P108" s="11" t="inlineStr">
        <is>
          <t>Si</t>
        </is>
      </c>
      <c r="Q108" s="11" t="inlineStr">
        <is>
          <t>05.1.1 · Actualitzar l'inventari d'elements paisatgístics del Parc — Actualització de l'inventari</t>
        </is>
      </c>
    </row>
    <row r="109">
      <c r="A109" s="11" t="inlineStr">
        <is>
          <t>2. Cultura</t>
        </is>
      </c>
      <c r="B109" s="11" t="inlineStr">
        <is>
          <t>05.2.1</t>
        </is>
      </c>
      <c r="C109" s="11" t="inlineStr">
        <is>
          <t>Desplegar actuacions de restauració dels elements d'interès paisatgístic degradats</t>
        </is>
      </c>
      <c r="D109" s="11" t="inlineStr">
        <is>
          <t>Desplegar actuacions de restauració dels elements d'interès paisatgístic degradats</t>
        </is>
      </c>
      <c r="E109" s="11" t="inlineStr">
        <is>
          <t>Realitzar o donar suport amb ajuts a actuacions de restauració dels elements del paisatge degradats</t>
        </is>
      </c>
      <c r="F109" s="11" t="inlineStr">
        <is>
          <t>Número d'accions de restauració</t>
        </is>
      </c>
      <c r="G109" s="11" t="n">
        <v>4</v>
      </c>
      <c r="H109" s="11" t="n">
        <v>10</v>
      </c>
      <c r="I109" s="11" t="inlineStr">
        <is>
          <t>MITJANA</t>
        </is>
      </c>
      <c r="J109" s="11" t="inlineStr">
        <is>
          <t>Millora rural</t>
        </is>
      </c>
      <c r="K109" s="11" t="inlineStr">
        <is>
          <t>Natàlia</t>
        </is>
      </c>
      <c r="L109" s="11" t="inlineStr">
        <is>
          <t>PROTEGIR EL PAISATGE i la qualitat de l'ambient visual, sonor i lumínic.</t>
        </is>
      </c>
      <c r="M109" s="11" t="inlineStr">
        <is>
          <t>Millorar la qualitat paisatgística</t>
        </is>
      </c>
      <c r="N109" s="11" t="inlineStr">
        <is>
          <t>Comú</t>
        </is>
      </c>
      <c r="O109" s="11" t="inlineStr">
        <is>
          <t>Optatiu</t>
        </is>
      </c>
      <c r="P109" s="11" t="inlineStr">
        <is>
          <t>Si</t>
        </is>
      </c>
      <c r="Q109" s="11" t="inlineStr">
        <is>
          <t>05.2.1 · Realitzar o donar suport amb ajuts a actuacions de restauració dels elements del paisatge degradats — Número d'accions de restauració</t>
        </is>
      </c>
    </row>
    <row r="110">
      <c r="A110" s="11" t="inlineStr">
        <is>
          <t>2. Cultura</t>
        </is>
      </c>
      <c r="B110" s="11" t="inlineStr">
        <is>
          <t>05.2.1</t>
        </is>
      </c>
      <c r="C110" s="11" t="inlineStr">
        <is>
          <t>Desplegar actuacions de restauració dels elements d'interès paisatgístic degradats</t>
        </is>
      </c>
      <c r="D110" s="11" t="inlineStr">
        <is>
          <t>Desplegar actuacions de restauració dels elements d'interès paisatgístic degradats</t>
        </is>
      </c>
      <c r="E110" s="11" t="inlineStr">
        <is>
          <t>Realització de murals de divulgació dels valors naturals i culturals del Parc en parets d’elements paisatgístics degradats</t>
        </is>
      </c>
      <c r="F110" s="11" t="inlineStr">
        <is>
          <t>Número de murals realitzats</t>
        </is>
      </c>
      <c r="G110" s="11" t="n">
        <v>4</v>
      </c>
      <c r="H110" s="11" t="n">
        <v>12</v>
      </c>
      <c r="I110" s="11" t="inlineStr">
        <is>
          <t>MITJANA</t>
        </is>
      </c>
      <c r="J110" s="11" t="inlineStr"/>
      <c r="K110" s="11" t="inlineStr"/>
      <c r="L110" s="11" t="inlineStr">
        <is>
          <t>PROTEGIR EL PAISATGE i la qualitat de l'ambient visual, sonor i lumínic.</t>
        </is>
      </c>
      <c r="M110" s="11" t="inlineStr">
        <is>
          <t>Millorar la qualitat paisatgística</t>
        </is>
      </c>
      <c r="N110" s="11" t="inlineStr">
        <is>
          <t>Comú</t>
        </is>
      </c>
      <c r="O110" s="11" t="inlineStr">
        <is>
          <t>Optatiu</t>
        </is>
      </c>
      <c r="P110" s="11" t="inlineStr">
        <is>
          <t>Si</t>
        </is>
      </c>
      <c r="Q110" s="11" t="inlineStr">
        <is>
          <t>05.2.1 · Realització de murals de divulgació dels valors naturals i culturals del Parc en parets d’elements paisatgístics degradats — Número de murals realitzats</t>
        </is>
      </c>
    </row>
    <row r="111">
      <c r="A111" s="11" t="inlineStr">
        <is>
          <t>2. Cultura</t>
        </is>
      </c>
      <c r="B111" s="11" t="inlineStr">
        <is>
          <t>05.2.2</t>
        </is>
      </c>
      <c r="C111" s="11" t="inlineStr">
        <is>
          <t>Gestionar l'abandonament i eventual desmantellament d'infraestructures i instal·lacions amb impactes sobre els valors de l'espai</t>
        </is>
      </c>
      <c r="D111" s="11" t="inlineStr">
        <is>
          <t>Gestionar l'abandonament i eventual desmantellament d'infraestructures i instal·lacions amb impactes sobre els valors de l'espai</t>
        </is>
      </c>
      <c r="E111" s="11" t="inlineStr">
        <is>
          <t>Restauració del paisatge a través de l'eliminació d'infrasstructures obsoletes via servei de manteniment, voluntariat o ajuts</t>
        </is>
      </c>
      <c r="F111" s="11" t="inlineStr">
        <is>
          <t>Número d'infraestructures retirades</t>
        </is>
      </c>
      <c r="G111" s="11" t="n">
        <v>8</v>
      </c>
      <c r="H111" s="11" t="n">
        <v>30</v>
      </c>
      <c r="I111" s="11" t="inlineStr">
        <is>
          <t>ALTA</t>
        </is>
      </c>
      <c r="J111" s="11" t="inlineStr">
        <is>
          <t>Millora rural</t>
        </is>
      </c>
      <c r="K111" s="11" t="inlineStr">
        <is>
          <t>Natàlia</t>
        </is>
      </c>
      <c r="L111" s="11" t="inlineStr">
        <is>
          <t>PROTEGIR EL PAISATGE i la qualitat de l'ambient visual, sonor i lumínic.</t>
        </is>
      </c>
      <c r="M111" s="11" t="inlineStr">
        <is>
          <t>Millorar la qualitat paisatgística</t>
        </is>
      </c>
      <c r="N111" s="11" t="inlineStr">
        <is>
          <t>Comú</t>
        </is>
      </c>
      <c r="O111" s="11" t="inlineStr">
        <is>
          <t>Optatiu</t>
        </is>
      </c>
      <c r="P111" s="11" t="inlineStr">
        <is>
          <t>Si</t>
        </is>
      </c>
      <c r="Q111" s="11" t="inlineStr">
        <is>
          <t>05.2.2 · Restauració del paisatge a través de l'eliminació d'infrasstructures obsoletes via servei de manteniment, voluntariat o ajuts — Número d'infraestructures retirades</t>
        </is>
      </c>
    </row>
    <row r="112">
      <c r="A112" s="11" t="inlineStr">
        <is>
          <t>2. Cultura</t>
        </is>
      </c>
      <c r="B112" s="11" t="inlineStr">
        <is>
          <t>05.2.2</t>
        </is>
      </c>
      <c r="C112" s="11" t="inlineStr">
        <is>
          <t>Gestionar l'abandonament i eventual desmantellament d'infraestructures i instal·lacions amb impactes sobre els valors de l'espai</t>
        </is>
      </c>
      <c r="D112" s="11" t="inlineStr">
        <is>
          <t>Gestionar l'abandonament i eventual desmantellament d'infraestructures i instal·lacions amb impactes sobre els valors de l'espai</t>
        </is>
      </c>
      <c r="E112" s="11" t="inlineStr">
        <is>
          <t>Tramitar i retirar vehicles abandonats a l'interior del Parc</t>
        </is>
      </c>
      <c r="F112" s="11" t="inlineStr">
        <is>
          <t>Número de vehicles retirats</t>
        </is>
      </c>
      <c r="G112" s="11" t="n">
        <v>1</v>
      </c>
      <c r="H112" s="11" t="n">
        <v>6</v>
      </c>
      <c r="I112" s="11" t="inlineStr">
        <is>
          <t>ALTA</t>
        </is>
      </c>
      <c r="J112" s="11" t="inlineStr">
        <is>
          <t>Millora rural</t>
        </is>
      </c>
      <c r="K112" s="11" t="inlineStr">
        <is>
          <t>Natàlia</t>
        </is>
      </c>
      <c r="L112" s="11" t="inlineStr">
        <is>
          <t>PROTEGIR EL PAISATGE i la qualitat de l'ambient visual, sonor i lumínic.</t>
        </is>
      </c>
      <c r="M112" s="11" t="inlineStr">
        <is>
          <t>Millorar la qualitat paisatgística</t>
        </is>
      </c>
      <c r="N112" s="11" t="inlineStr">
        <is>
          <t>Comú</t>
        </is>
      </c>
      <c r="O112" s="11" t="inlineStr">
        <is>
          <t>Optatiu</t>
        </is>
      </c>
      <c r="P112" s="11" t="inlineStr">
        <is>
          <t>Si</t>
        </is>
      </c>
      <c r="Q112" s="11" t="inlineStr">
        <is>
          <t>05.2.2 · Tramitar i retirar vehicles abandonats a l'interior del Parc — Número de vehicles retirats</t>
        </is>
      </c>
    </row>
    <row r="113">
      <c r="A113" s="11" t="inlineStr">
        <is>
          <t>2. Cultura</t>
        </is>
      </c>
      <c r="B113" s="11" t="inlineStr">
        <is>
          <t>05.2.3</t>
        </is>
      </c>
      <c r="C113" s="11" t="inlineStr">
        <is>
          <t>Minimitzar la brutícia, deixalles, vandalisme i males praxis dins l'ENP</t>
        </is>
      </c>
      <c r="D113" s="11" t="inlineStr">
        <is>
          <t>Minimitzar la brutícia, deixalles, vandalisme i males praxis dins l'ENP</t>
        </is>
      </c>
      <c r="E113" s="11" t="inlineStr">
        <is>
          <t>Retirar deixalles acumulades a l'interior del Parc a través del servei de manteniment, prioritzant els espais més freqüentats i integrar-ho als plans periòdics de manteniment de la brigada</t>
        </is>
      </c>
      <c r="F113" s="11" t="inlineStr">
        <is>
          <t>Número de dipósits de deixalles retirats</t>
        </is>
      </c>
      <c r="G113" s="11" t="n">
        <v>10</v>
      </c>
      <c r="H113" s="11" t="n">
        <v>40</v>
      </c>
      <c r="I113" s="11" t="inlineStr">
        <is>
          <t>ALTA</t>
        </is>
      </c>
      <c r="J113" s="11" t="inlineStr">
        <is>
          <t>Millora rural</t>
        </is>
      </c>
      <c r="K113" s="11" t="inlineStr">
        <is>
          <t>Natàlia</t>
        </is>
      </c>
      <c r="L113" s="11" t="inlineStr">
        <is>
          <t>PROTEGIR EL PAISATGE i la qualitat de l'ambient visual, sonor i lumínic.</t>
        </is>
      </c>
      <c r="M113" s="11" t="inlineStr">
        <is>
          <t>Protegir la qualitat acústica i lumínica de l'ENP</t>
        </is>
      </c>
      <c r="N113" s="11" t="inlineStr">
        <is>
          <t>Comú</t>
        </is>
      </c>
      <c r="O113" s="11" t="inlineStr">
        <is>
          <t>Obligatori</t>
        </is>
      </c>
      <c r="P113" s="11" t="inlineStr">
        <is>
          <t>Si</t>
        </is>
      </c>
      <c r="Q113" s="11" t="inlineStr">
        <is>
          <t>05.2.3 · Retirar deixalles acumulades a l'interior del Parc a través del servei de manteniment, prioritzant els espais més freqüentats i integrar-ho als plans  — Número de dipósits de deixalles retirats</t>
        </is>
      </c>
    </row>
    <row r="114">
      <c r="A114" s="11" t="inlineStr">
        <is>
          <t>2. Cultura</t>
        </is>
      </c>
      <c r="B114" s="11" t="inlineStr">
        <is>
          <t>05.2.3</t>
        </is>
      </c>
      <c r="C114" s="11" t="inlineStr">
        <is>
          <t>Minimitzar la brutícia, deixalles, vandalisme i males praxis dins l'ENP</t>
        </is>
      </c>
      <c r="D114" s="11" t="inlineStr">
        <is>
          <t>Minimitzar la brutícia, deixalles, vandalisme i males praxis dins l'ENP</t>
        </is>
      </c>
      <c r="E114" s="11" t="inlineStr">
        <is>
          <t>Donar suport a activitats de voluntariat de retirada de deialles</t>
        </is>
      </c>
      <c r="F114" s="11" t="inlineStr">
        <is>
          <t>Número d'activitats a que s'ha donat suport</t>
        </is>
      </c>
      <c r="G114" s="11" t="n">
        <v>4</v>
      </c>
      <c r="H114" s="11" t="n">
        <v>12</v>
      </c>
      <c r="I114" s="11" t="inlineStr">
        <is>
          <t>ALTA</t>
        </is>
      </c>
      <c r="J114" s="11" t="inlineStr">
        <is>
          <t>Us Public</t>
        </is>
      </c>
      <c r="K114" s="11" t="inlineStr">
        <is>
          <t>Moi</t>
        </is>
      </c>
      <c r="L114" s="11" t="inlineStr">
        <is>
          <t>PROTEGIR EL PAISATGE i la qualitat de l'ambient visual, sonor i lumínic.</t>
        </is>
      </c>
      <c r="M114" s="11" t="inlineStr">
        <is>
          <t>Protegir la qualitat acústica i lumínica de l'ENP</t>
        </is>
      </c>
      <c r="N114" s="11" t="inlineStr">
        <is>
          <t>Comú</t>
        </is>
      </c>
      <c r="O114" s="11" t="inlineStr">
        <is>
          <t>Obligatori</t>
        </is>
      </c>
      <c r="P114" s="11" t="inlineStr">
        <is>
          <t>Si</t>
        </is>
      </c>
      <c r="Q114" s="11" t="inlineStr">
        <is>
          <t>05.2.3 · Donar suport a activitats de voluntariat de retirada de deialles — Número d'activitats a que s'ha donat suport</t>
        </is>
      </c>
    </row>
    <row r="115">
      <c r="A115" s="11" t="inlineStr">
        <is>
          <t>2. Cultura</t>
        </is>
      </c>
      <c r="B115" s="11" t="inlineStr">
        <is>
          <t>05.2.3</t>
        </is>
      </c>
      <c r="C115" s="11" t="inlineStr">
        <is>
          <t>Minimitzar la brutícia, deixalles, vandalisme i males praxis dins l'ENP</t>
        </is>
      </c>
      <c r="D115" s="11" t="inlineStr">
        <is>
          <t>Minimitzar la brutícia, deixalles, vandalisme i males praxis dins l'ENP</t>
        </is>
      </c>
      <c r="E115" s="11" t="inlineStr">
        <is>
          <t>Instal·lació de senyalització divulgativa d'emportar-se i no llençar deixalles i respectar l'entorn</t>
        </is>
      </c>
      <c r="F115" s="11" t="inlineStr">
        <is>
          <t>Número de senyals instal·lades</t>
        </is>
      </c>
      <c r="G115" s="11" t="n">
        <v>8</v>
      </c>
      <c r="H115" s="11" t="n">
        <v>16</v>
      </c>
      <c r="I115" s="11" t="inlineStr">
        <is>
          <t>MITJANA</t>
        </is>
      </c>
      <c r="J115" s="11" t="inlineStr">
        <is>
          <t>Millora rural</t>
        </is>
      </c>
      <c r="K115" s="11" t="inlineStr">
        <is>
          <t>Natàlia</t>
        </is>
      </c>
      <c r="L115" s="11" t="inlineStr">
        <is>
          <t>PROTEGIR EL PAISATGE i la qualitat de l'ambient visual, sonor i lumínic.</t>
        </is>
      </c>
      <c r="M115" s="11" t="inlineStr">
        <is>
          <t>Protegir la qualitat acústica i lumínica de l'ENP</t>
        </is>
      </c>
      <c r="N115" s="11" t="inlineStr">
        <is>
          <t>Comú</t>
        </is>
      </c>
      <c r="O115" s="11" t="inlineStr">
        <is>
          <t>Obligatori</t>
        </is>
      </c>
      <c r="P115" s="11" t="inlineStr">
        <is>
          <t>Si</t>
        </is>
      </c>
      <c r="Q115" s="11" t="inlineStr">
        <is>
          <t>05.2.3 · Instal·lació de senyalització divulgativa d'emportar-se i no llençar deixalles i respectar l'entorn — Número de senyals instal·lades</t>
        </is>
      </c>
    </row>
    <row r="116">
      <c r="A116" s="11" t="inlineStr">
        <is>
          <t>2. Cultura</t>
        </is>
      </c>
      <c r="B116" s="11" t="inlineStr">
        <is>
          <t>05.2.3</t>
        </is>
      </c>
      <c r="C116" s="11" t="inlineStr">
        <is>
          <t>Minimitzar la brutícia, deixalles, vandalisme i males praxis dins l'ENP</t>
        </is>
      </c>
      <c r="D116" s="11" t="inlineStr">
        <is>
          <t>Minimitzar la brutícia, deixalles, vandalisme i males praxis dins l'ENP</t>
        </is>
      </c>
      <c r="E116" s="11" t="inlineStr">
        <is>
          <t>Fomentar el reciclatge i la minimització de generació de residus a les empreses i equipaments del Parc a través de la seva acreditació per la CETS (Fase 2)</t>
        </is>
      </c>
      <c r="F116" s="11" t="inlineStr">
        <is>
          <t>Número d'empreses i equipaments acreditats per la CETS</t>
        </is>
      </c>
      <c r="G116" s="11" t="n">
        <v>20</v>
      </c>
      <c r="H116" s="11" t="n">
        <v>45</v>
      </c>
      <c r="I116" s="11" t="inlineStr">
        <is>
          <t>ALTA</t>
        </is>
      </c>
      <c r="J116" s="11" t="inlineStr">
        <is>
          <t>Us Public</t>
        </is>
      </c>
      <c r="K116" s="11" t="inlineStr">
        <is>
          <t>Núria</t>
        </is>
      </c>
      <c r="L116" s="11" t="inlineStr">
        <is>
          <t>PROTEGIR EL PAISATGE i la qualitat de l'ambient visual, sonor i lumínic.</t>
        </is>
      </c>
      <c r="M116" s="11" t="inlineStr">
        <is>
          <t>Protegir la qualitat acústica i lumínica de l'ENP</t>
        </is>
      </c>
      <c r="N116" s="11" t="inlineStr">
        <is>
          <t>Comú</t>
        </is>
      </c>
      <c r="O116" s="11" t="inlineStr">
        <is>
          <t>Obligatori</t>
        </is>
      </c>
      <c r="P116" s="11" t="inlineStr">
        <is>
          <t>Si</t>
        </is>
      </c>
      <c r="Q116" s="11" t="inlineStr">
        <is>
          <t>05.2.3 · Fomentar el reciclatge i la minimització de generació de residus a les empreses i equipaments del Parc a través de la seva acreditació per la CETS (Fa — Número d'empreses i equipaments acreditats per la CETS</t>
        </is>
      </c>
    </row>
    <row r="117">
      <c r="A117" s="11" t="inlineStr">
        <is>
          <t>2. Cultura</t>
        </is>
      </c>
      <c r="B117" s="11" t="inlineStr">
        <is>
          <t>05.3.1</t>
        </is>
      </c>
      <c r="C117" s="11" t="inlineStr">
        <is>
          <t>Promoure la certificació de qualitat del cel nocturn</t>
        </is>
      </c>
      <c r="D117" s="11" t="inlineStr">
        <is>
          <t>Promoure la certificació de qualitat del cel nocturn</t>
        </is>
      </c>
      <c r="E117" s="11" t="inlineStr">
        <is>
          <t>Implementar les accions previstes al Pla d'Acció del Punt de Referencia de la Qualitat Lumínica del Parc</t>
        </is>
      </c>
      <c r="F117" s="11" t="inlineStr">
        <is>
          <t>Número d'accions implementades</t>
        </is>
      </c>
      <c r="G117" s="11" t="n">
        <v>4</v>
      </c>
      <c r="H117" s="11" t="n">
        <v>15</v>
      </c>
      <c r="I117" s="11" t="inlineStr">
        <is>
          <t>ALTA</t>
        </is>
      </c>
      <c r="J117" s="11" t="inlineStr">
        <is>
          <t>Direcció</t>
        </is>
      </c>
      <c r="K117" s="11" t="inlineStr">
        <is>
          <t>Marc</t>
        </is>
      </c>
      <c r="L117" s="11" t="inlineStr">
        <is>
          <t>PROTEGIR EL PAISATGE i la qualitat de l'ambient visual, sonor i lumínic.</t>
        </is>
      </c>
      <c r="M117" s="11" t="inlineStr">
        <is>
          <t>Protegir la qualitat acústica i lumínica de l'ENP</t>
        </is>
      </c>
      <c r="N117" s="11" t="inlineStr">
        <is>
          <t>Específic</t>
        </is>
      </c>
      <c r="O117" s="11" t="inlineStr">
        <is>
          <t>Optatiu</t>
        </is>
      </c>
      <c r="P117" s="11" t="inlineStr">
        <is>
          <t>Si</t>
        </is>
      </c>
      <c r="Q117" s="11" t="inlineStr">
        <is>
          <t>05.3.1 · Implementar les accions previstes al Pla d'Acció del Punt de Referencia de la Qualitat Lumínica del Parc — Número d'accions implementades</t>
        </is>
      </c>
    </row>
    <row r="118">
      <c r="A118" s="11" t="inlineStr">
        <is>
          <t>2. Cultura</t>
        </is>
      </c>
      <c r="B118" s="11" t="inlineStr">
        <is>
          <t>05.3.1</t>
        </is>
      </c>
      <c r="C118" s="11" t="inlineStr">
        <is>
          <t>Promoure la certificació de qualitat del cel nocturn</t>
        </is>
      </c>
      <c r="D118" s="11" t="inlineStr">
        <is>
          <t>Promoure la certificació de qualitat del cel nocturn</t>
        </is>
      </c>
      <c r="E118" s="11" t="inlineStr">
        <is>
          <t>Impulsar i obtenir una certificació de qualitat del cel nocturn internacional (Starlight, Darksky,..)</t>
        </is>
      </c>
      <c r="F118" s="11" t="inlineStr">
        <is>
          <t>Obtenció de la certificació</t>
        </is>
      </c>
      <c r="G118" s="11" t="inlineStr">
        <is>
          <t>no</t>
        </is>
      </c>
      <c r="H118" s="11" t="inlineStr">
        <is>
          <t>si</t>
        </is>
      </c>
      <c r="I118" s="11" t="inlineStr">
        <is>
          <t>MITJANA</t>
        </is>
      </c>
      <c r="J118" s="11" t="inlineStr">
        <is>
          <t>Direcció</t>
        </is>
      </c>
      <c r="K118" s="11" t="inlineStr">
        <is>
          <t>Marc</t>
        </is>
      </c>
      <c r="L118" s="11" t="inlineStr">
        <is>
          <t>PROTEGIR EL PAISATGE i la qualitat de l'ambient visual, sonor i lumínic.</t>
        </is>
      </c>
      <c r="M118" s="11" t="inlineStr">
        <is>
          <t>Protegir la qualitat acústica i lumínica de l'ENP</t>
        </is>
      </c>
      <c r="N118" s="11" t="inlineStr">
        <is>
          <t>Específic</t>
        </is>
      </c>
      <c r="O118" s="11" t="inlineStr">
        <is>
          <t>Optatiu</t>
        </is>
      </c>
      <c r="P118" s="11" t="inlineStr">
        <is>
          <t>Si</t>
        </is>
      </c>
      <c r="Q118" s="11" t="inlineStr">
        <is>
          <t>05.3.1 · Impulsar i obtenir una certificació de qualitat del cel nocturn internacional (Starlight, Darksky,..) — Obtenció de la certificació</t>
        </is>
      </c>
    </row>
    <row r="119">
      <c r="A119" s="11" t="inlineStr">
        <is>
          <t>2. Cultura</t>
        </is>
      </c>
      <c r="B119" s="11" t="inlineStr">
        <is>
          <t>05.3.1</t>
        </is>
      </c>
      <c r="C119" s="11" t="inlineStr">
        <is>
          <t>Promoure la certificació de qualitat del cel nocturn</t>
        </is>
      </c>
      <c r="D119" s="11" t="inlineStr">
        <is>
          <t>Promoure la certificació de qualitat del cel nocturn</t>
        </is>
      </c>
      <c r="E119" s="11" t="inlineStr">
        <is>
          <t>Realitzar activitats divulgatives i educatives de la importància de conservar la qualitat del cel nocturn i reduir la contaminació lumínica</t>
        </is>
      </c>
      <c r="F119" s="11" t="inlineStr">
        <is>
          <t>Número d'activitats realitzades</t>
        </is>
      </c>
      <c r="G119" s="11" t="n">
        <v>8</v>
      </c>
      <c r="H119" s="11" t="n">
        <v>20</v>
      </c>
      <c r="I119" s="11" t="inlineStr">
        <is>
          <t>MITJANA</t>
        </is>
      </c>
      <c r="J119" s="11" t="inlineStr">
        <is>
          <t>Us Public</t>
        </is>
      </c>
      <c r="K119" s="11" t="inlineStr">
        <is>
          <t>Moi</t>
        </is>
      </c>
      <c r="L119" s="11" t="inlineStr">
        <is>
          <t>PROTEGIR EL PAISATGE i la qualitat de l'ambient visual, sonor i lumínic.</t>
        </is>
      </c>
      <c r="M119" s="11" t="inlineStr">
        <is>
          <t>Protegir la qualitat acústica i lumínica de l'ENP</t>
        </is>
      </c>
      <c r="N119" s="11" t="inlineStr">
        <is>
          <t>Específic</t>
        </is>
      </c>
      <c r="O119" s="11" t="inlineStr">
        <is>
          <t>Optatiu</t>
        </is>
      </c>
      <c r="P119" s="11" t="inlineStr">
        <is>
          <t>Si</t>
        </is>
      </c>
      <c r="Q119" s="11" t="inlineStr">
        <is>
          <t>05.3.1 · Realitzar activitats divulgatives i educatives de la importància de conservar la qualitat del cel nocturn i reduir la contaminació lumínica — Número d'activitats realitzades</t>
        </is>
      </c>
    </row>
    <row r="120">
      <c r="A120" s="11" t="inlineStr">
        <is>
          <t>2. Cultura</t>
        </is>
      </c>
      <c r="B120" s="11" t="inlineStr">
        <is>
          <t>05.3.1</t>
        </is>
      </c>
      <c r="C120" s="11" t="inlineStr">
        <is>
          <t>Promoure la certificació de qualitat del cel nocturn</t>
        </is>
      </c>
      <c r="D120" s="11" t="inlineStr">
        <is>
          <t>Promoure la certificació de qualitat del cel nocturn</t>
        </is>
      </c>
      <c r="E120" s="11" t="inlineStr">
        <is>
          <t>Fomentar l'adaptació de la il·luminació exterior a LED PC ambre a través dels ajuts convoca la DGQA</t>
        </is>
      </c>
      <c r="F120" s="11" t="inlineStr">
        <is>
          <t>Número de pobles i empreses que han adaptat la il·luminació exterior</t>
        </is>
      </c>
      <c r="G120" s="11" t="n">
        <v>6</v>
      </c>
      <c r="H120" s="11" t="n">
        <v>18</v>
      </c>
      <c r="I120" s="11" t="inlineStr">
        <is>
          <t>ALTA</t>
        </is>
      </c>
      <c r="J120" s="11" t="inlineStr">
        <is>
          <t>Direcció</t>
        </is>
      </c>
      <c r="K120" s="11" t="inlineStr">
        <is>
          <t>Marc</t>
        </is>
      </c>
      <c r="L120" s="11" t="inlineStr">
        <is>
          <t>PROTEGIR EL PAISATGE i la qualitat de l'ambient visual, sonor i lumínic.</t>
        </is>
      </c>
      <c r="M120" s="11" t="inlineStr">
        <is>
          <t>Protegir la qualitat acústica i lumínica de l'ENP</t>
        </is>
      </c>
      <c r="N120" s="11" t="inlineStr">
        <is>
          <t>Específic</t>
        </is>
      </c>
      <c r="O120" s="11" t="inlineStr">
        <is>
          <t>Optatiu</t>
        </is>
      </c>
      <c r="P120" s="11" t="inlineStr">
        <is>
          <t>Si</t>
        </is>
      </c>
      <c r="Q120" s="11" t="inlineStr">
        <is>
          <t>05.3.1 · Fomentar l'adaptació de la il·luminació exterior a LED PC ambre a través dels ajuts convoca la DGQA — Número de pobles i empreses que han adaptat la il·luminació exterior</t>
        </is>
      </c>
    </row>
    <row r="121">
      <c r="A121" s="11" t="inlineStr">
        <is>
          <t>2. Cultura</t>
        </is>
      </c>
      <c r="B121" s="11" t="inlineStr">
        <is>
          <t>05.3.2</t>
        </is>
      </c>
      <c r="C121" s="11" t="inlineStr">
        <is>
          <t>Promoure la certificació de zones d'especial protecció de la qualitat acústica</t>
        </is>
      </c>
      <c r="D121" s="11" t="inlineStr">
        <is>
          <t>Promoure la certificació de zones d'especial protecció de la qualitat acústica</t>
        </is>
      </c>
      <c r="E121" s="11" t="inlineStr">
        <is>
          <t>Implementar les accions previstes al Pla d'Acció de la ZEPQA del Parc als tres municipis acreditats</t>
        </is>
      </c>
      <c r="F121" s="11" t="inlineStr">
        <is>
          <t>Número d'accions implementades</t>
        </is>
      </c>
      <c r="G121" s="11" t="n">
        <v>3</v>
      </c>
      <c r="H121" s="11" t="n">
        <v>10</v>
      </c>
      <c r="I121" s="11" t="inlineStr">
        <is>
          <t>ALTA</t>
        </is>
      </c>
      <c r="J121" s="11" t="inlineStr">
        <is>
          <t>Direcció</t>
        </is>
      </c>
      <c r="K121" s="11" t="inlineStr">
        <is>
          <t>Marc</t>
        </is>
      </c>
      <c r="L121" s="11" t="inlineStr">
        <is>
          <t>PROTEGIR EL PAISATGE i la qualitat de l'ambient visual, sonor i lumínic.</t>
        </is>
      </c>
      <c r="M121" s="11" t="inlineStr">
        <is>
          <t>Protegir la qualitat acústica i lumínica de l'ENP</t>
        </is>
      </c>
      <c r="N121" s="11" t="inlineStr">
        <is>
          <t>Específic</t>
        </is>
      </c>
      <c r="O121" s="11" t="inlineStr">
        <is>
          <t>Optatiu</t>
        </is>
      </c>
      <c r="P121" s="11" t="inlineStr">
        <is>
          <t>Si</t>
        </is>
      </c>
      <c r="Q121" s="11" t="inlineStr">
        <is>
          <t>05.3.2 · Implementar les accions previstes al Pla d'Acció de la ZEPQA del Parc als tres municipis acreditats — Número d'accions implementades</t>
        </is>
      </c>
    </row>
    <row r="122">
      <c r="A122" s="11" t="inlineStr">
        <is>
          <t>2. Cultura</t>
        </is>
      </c>
      <c r="B122" s="11" t="inlineStr">
        <is>
          <t>05.3.2</t>
        </is>
      </c>
      <c r="C122" s="11" t="inlineStr">
        <is>
          <t>Promoure la certificació de zones d'especial protecció de la qualitat acústica</t>
        </is>
      </c>
      <c r="D122" s="11" t="inlineStr">
        <is>
          <t>Promoure la certificació de zones d'especial protecció de la qualitat acústica</t>
        </is>
      </c>
      <c r="E122" s="11" t="inlineStr">
        <is>
          <t>Ampliar la ZEPQA a altres municipis del Parc</t>
        </is>
      </c>
      <c r="F122" s="11" t="inlineStr">
        <is>
          <t>Número de municipis que s'ha ampliat la ZEPQA</t>
        </is>
      </c>
      <c r="G122" s="11" t="n">
        <v>1</v>
      </c>
      <c r="H122" s="11" t="n">
        <v>12</v>
      </c>
      <c r="I122" s="11" t="inlineStr">
        <is>
          <t>BAIXA</t>
        </is>
      </c>
      <c r="J122" s="11" t="inlineStr">
        <is>
          <t>Direcció</t>
        </is>
      </c>
      <c r="K122" s="11" t="inlineStr">
        <is>
          <t>Marc</t>
        </is>
      </c>
      <c r="L122" s="11" t="inlineStr">
        <is>
          <t>PROTEGIR EL PAISATGE i la qualitat de l'ambient visual, sonor i lumínic.</t>
        </is>
      </c>
      <c r="M122" s="11" t="inlineStr">
        <is>
          <t>Protegir la qualitat acústica i lumínica de l'ENP</t>
        </is>
      </c>
      <c r="N122" s="11" t="inlineStr">
        <is>
          <t>Específic</t>
        </is>
      </c>
      <c r="O122" s="11" t="inlineStr">
        <is>
          <t>Optatiu</t>
        </is>
      </c>
      <c r="P122" s="11" t="inlineStr">
        <is>
          <t>Si</t>
        </is>
      </c>
      <c r="Q122" s="11" t="inlineStr">
        <is>
          <t>05.3.2 · Ampliar la ZEPQA a altres municipis del Parc — Número de municipis que s'ha ampliat la ZEPQA</t>
        </is>
      </c>
    </row>
    <row r="123">
      <c r="A123" s="11" t="inlineStr">
        <is>
          <t>3. Coneixement</t>
        </is>
      </c>
      <c r="B123" s="11" t="inlineStr">
        <is>
          <t>06.1.1</t>
        </is>
      </c>
      <c r="C123" s="11" t="inlineStr">
        <is>
          <t>Identificar i prioritzar els elements clau i d'interès per la gestió de la biodiversitat i geodiversitat de Catalunya es troben dins l'ENP (especies amenaçades, espècies clau, espècies típiques, espècies exòtiques invasores,.. )</t>
        </is>
      </c>
      <c r="D123" s="11" t="inlineStr">
        <is>
          <t>Identificar i prioritzar els elements clau i d'interès per la gestió de la biodiversitat i geodiversitat de Catalunya es troben dins l'ENP (especies amenaçades, espècies clau, espècies típiques, espècies exòtiques invasores,.. )</t>
        </is>
      </c>
      <c r="E123" s="11" t="inlineStr">
        <is>
          <t>Participació en la definició dels objectes de conservació clau (hàbitats, espècies, processos i elements d’interès geològic) comuns a nivell de Xarxa d'ENP o clúster territorial amb el suport de la Comissió Científica</t>
        </is>
      </c>
      <c r="F123" s="11" t="inlineStr">
        <is>
          <t>Número de reunions realitzades</t>
        </is>
      </c>
      <c r="G123" s="11" t="n">
        <v>2</v>
      </c>
      <c r="H123" s="11" t="n">
        <v>8</v>
      </c>
      <c r="I123" s="11" t="inlineStr">
        <is>
          <t>MÀXIMA</t>
        </is>
      </c>
      <c r="J123" s="11" t="inlineStr">
        <is>
          <t>Patrimoni</t>
        </is>
      </c>
      <c r="K123" s="11" t="inlineStr">
        <is>
          <t>Eli</t>
        </is>
      </c>
      <c r="L123" s="11" t="inlineStr">
        <is>
          <t>MILLORAR EL CONEIXEMENT DE L'ENTORN, del patrimoni natural, cultural i social.</t>
        </is>
      </c>
      <c r="M123" s="11" t="inlineStr">
        <is>
          <t>Identificar els objectes de gestió prioritària de l'ENP en el marc dels objectius de govern</t>
        </is>
      </c>
      <c r="N123" s="11" t="inlineStr">
        <is>
          <t>Comú</t>
        </is>
      </c>
      <c r="O123" s="11" t="inlineStr">
        <is>
          <t>Obligatori</t>
        </is>
      </c>
      <c r="P123" s="11" t="inlineStr">
        <is>
          <t>Si</t>
        </is>
      </c>
      <c r="Q123" s="11" t="inlineStr">
        <is>
          <t>06.1.1 · Participació en la definició dels objectes de conservació clau (hàbitats, espècies, processos i elements d’interès geològic) comuns a nivell de Xarxa  — Número de reunions realitzades</t>
        </is>
      </c>
    </row>
    <row r="124">
      <c r="A124" s="11" t="inlineStr">
        <is>
          <t>3. Coneixement</t>
        </is>
      </c>
      <c r="B124" s="11" t="inlineStr">
        <is>
          <t>06.1.1</t>
        </is>
      </c>
      <c r="C124" s="11" t="inlineStr">
        <is>
          <t>Identificar i prioritzar els elements clau i d'interès per la gestió de la biodiversitat i geodiversitat de Catalunya es troben dins l'ENP (especies amenaçades, espècies clau, espècies típiques, espècies exòtiques invasores,.. )</t>
        </is>
      </c>
      <c r="D124" s="11" t="inlineStr">
        <is>
          <t>Identificar i prioritzar els elements clau i d'interès per la gestió de la biodiversitat i geodiversitat de Catalunya es troben dins l'ENP (especies amenaçades, espècies clau, espècies típiques, espècies exòtiques invasores,.. )</t>
        </is>
      </c>
      <c r="E124" s="11" t="inlineStr">
        <is>
          <t>Realitzar la diagnosi de l'estat de conservació les poblacions des elements d'interès del Parc</t>
        </is>
      </c>
      <c r="F124" s="11" t="inlineStr">
        <is>
          <t>Número de diagnosis realitzades</t>
        </is>
      </c>
      <c r="G124" s="11" t="n">
        <v>5</v>
      </c>
      <c r="H124" s="11" t="n">
        <v>25</v>
      </c>
      <c r="I124" s="11" t="inlineStr">
        <is>
          <t>MÀXIMA</t>
        </is>
      </c>
      <c r="J124" s="11" t="inlineStr">
        <is>
          <t>Patrimoni</t>
        </is>
      </c>
      <c r="K124" s="11" t="inlineStr">
        <is>
          <t>Eli</t>
        </is>
      </c>
      <c r="L124" s="11" t="inlineStr">
        <is>
          <t>MILLORAR EL CONEIXEMENT DE L'ENTORN, del patrimoni natural, cultural i social.</t>
        </is>
      </c>
      <c r="M124" s="11" t="inlineStr">
        <is>
          <t>Identificar els objectes de gestió prioritària de l'ENP en el marc dels objectius de govern</t>
        </is>
      </c>
      <c r="N124" s="11" t="inlineStr">
        <is>
          <t>Comú</t>
        </is>
      </c>
      <c r="O124" s="11" t="inlineStr">
        <is>
          <t>Obligatori</t>
        </is>
      </c>
      <c r="P124" s="11" t="inlineStr">
        <is>
          <t>Si</t>
        </is>
      </c>
      <c r="Q124" s="11" t="inlineStr">
        <is>
          <t>06.1.1 · Realitzar la diagnosi de l'estat de conservació les poblacions des elements d'interès del Parc — Número de diagnosis realitzades</t>
        </is>
      </c>
    </row>
    <row r="125">
      <c r="A125" s="11" t="inlineStr">
        <is>
          <t>3. Coneixement</t>
        </is>
      </c>
      <c r="B125" s="11" t="inlineStr">
        <is>
          <t>06.1.1</t>
        </is>
      </c>
      <c r="C125" s="11" t="inlineStr">
        <is>
          <t>Identificar i prioritzar els elements clau i d'interès per la gestió de la biodiversitat i geodiversitat de Catalunya es troben dins l'ENP (especies amenaçades, espècies clau, espècies típiques, espècies exòtiques invasores,.. )</t>
        </is>
      </c>
      <c r="D125" s="11" t="inlineStr">
        <is>
          <t>Identificar i prioritzar els elements clau i d'interès per la gestió de la biodiversitat i geodiversitat de Catalunya es troben dins l'ENP (especies amenaçades, espècies clau, espècies típiques, espècies exòtiques invasores,.. )</t>
        </is>
      </c>
      <c r="E125" s="11" t="inlineStr">
        <is>
          <t>Identificació i compleció dels checklists de biodiveristat del Parc</t>
        </is>
      </c>
      <c r="F125" s="11" t="inlineStr">
        <is>
          <t>Número de checklists completats</t>
        </is>
      </c>
      <c r="G125" s="11" t="n">
        <v>2</v>
      </c>
      <c r="H125" s="11" t="n">
        <v>4</v>
      </c>
      <c r="I125" s="11" t="inlineStr">
        <is>
          <t>ALTA</t>
        </is>
      </c>
      <c r="J125" s="11" t="inlineStr">
        <is>
          <t>Patrimoni</t>
        </is>
      </c>
      <c r="K125" s="11" t="inlineStr">
        <is>
          <t>Eli</t>
        </is>
      </c>
      <c r="L125" s="11" t="inlineStr">
        <is>
          <t>MILLORAR EL CONEIXEMENT DE L'ENTORN, del patrimoni natural, cultural i social.</t>
        </is>
      </c>
      <c r="M125" s="11" t="inlineStr">
        <is>
          <t>Identificar els objectes de gestió prioritària de l'ENP en el marc dels objectius de govern</t>
        </is>
      </c>
      <c r="N125" s="11" t="inlineStr">
        <is>
          <t>Comú</t>
        </is>
      </c>
      <c r="O125" s="11" t="inlineStr">
        <is>
          <t>Obligatori</t>
        </is>
      </c>
      <c r="P125" s="11" t="inlineStr">
        <is>
          <t>Si</t>
        </is>
      </c>
      <c r="Q125" s="11" t="inlineStr">
        <is>
          <t>06.1.1 · Identificació i compleció dels checklists de biodiveristat del Parc — Número de checklists completats</t>
        </is>
      </c>
    </row>
    <row r="126">
      <c r="A126" s="11" t="inlineStr">
        <is>
          <t>3. Coneixement</t>
        </is>
      </c>
      <c r="B126" s="11" t="inlineStr">
        <is>
          <t>06.1.2</t>
        </is>
      </c>
      <c r="C126" s="11" t="inlineStr">
        <is>
          <t>Definir espais fràgils i zones d'especial atenció</t>
        </is>
      </c>
      <c r="D126" s="11" t="inlineStr">
        <is>
          <t>Definir espais fràgils i zones d'especial atenció</t>
        </is>
      </c>
      <c r="E126" s="11" t="inlineStr">
        <is>
          <t>Generació d'informació per a l'inventari i cartografia d'espais fràgils (catàleg d'espais fràgils) i fer l'avaluació de la seva vulnerabilitat i proposta de solucions per revertir-ho</t>
        </is>
      </c>
      <c r="F126" s="11" t="inlineStr">
        <is>
          <t>Número d'espais fràgils identificats</t>
        </is>
      </c>
      <c r="G126" s="11" t="n">
        <v>10</v>
      </c>
      <c r="H126" s="11" t="n">
        <v>40</v>
      </c>
      <c r="I126" s="11" t="inlineStr">
        <is>
          <t>MÀXIMA</t>
        </is>
      </c>
      <c r="J126" s="11" t="inlineStr">
        <is>
          <t>Patrimoni</t>
        </is>
      </c>
      <c r="K126" s="11" t="inlineStr">
        <is>
          <t>Eli</t>
        </is>
      </c>
      <c r="L126" s="11" t="inlineStr">
        <is>
          <t>MILLORAR EL CONEIXEMENT DE L'ENTORN, del patrimoni natural, cultural i social.</t>
        </is>
      </c>
      <c r="M126" s="11" t="inlineStr">
        <is>
          <t>Identificar els objectes de gestió prioritària de l'ENP en el marc dels objectius de govern</t>
        </is>
      </c>
      <c r="N126" s="11" t="inlineStr">
        <is>
          <t>Comú</t>
        </is>
      </c>
      <c r="O126" s="11" t="inlineStr">
        <is>
          <t>Obligatori</t>
        </is>
      </c>
      <c r="P126" s="11" t="inlineStr">
        <is>
          <t>Si</t>
        </is>
      </c>
      <c r="Q126" s="11" t="inlineStr">
        <is>
          <t>06.1.2 · Generació d'informació per a l'inventari i cartografia d'espais fràgils (catàleg d'espais fràgils) i fer l'avaluació de la seva vulnerabilitat i propo — Número d'espais fràgils identificats</t>
        </is>
      </c>
    </row>
    <row r="127">
      <c r="A127" s="11" t="inlineStr">
        <is>
          <t>3. Coneixement</t>
        </is>
      </c>
      <c r="B127" s="11" t="inlineStr">
        <is>
          <t>06.1.2</t>
        </is>
      </c>
      <c r="C127" s="11" t="inlineStr">
        <is>
          <t>Definir espais fràgils i zones d'especial atenció</t>
        </is>
      </c>
      <c r="D127" s="11" t="inlineStr">
        <is>
          <t>Definir espais fràgils i zones d'especial atenció</t>
        </is>
      </c>
      <c r="E127" s="11" t="inlineStr">
        <is>
          <t>Realització aportacions a l'inventari de zones humides</t>
        </is>
      </c>
      <c r="F127" s="11" t="inlineStr">
        <is>
          <t>Número de noves zones humides catalogades</t>
        </is>
      </c>
      <c r="G127" s="11" t="n">
        <v>10</v>
      </c>
      <c r="H127" s="11" t="n">
        <v>100</v>
      </c>
      <c r="I127" s="11" t="inlineStr">
        <is>
          <t>MITJANA</t>
        </is>
      </c>
      <c r="J127" s="11" t="inlineStr">
        <is>
          <t>Observatori</t>
        </is>
      </c>
      <c r="K127" s="11" t="inlineStr">
        <is>
          <t>Oriol</t>
        </is>
      </c>
      <c r="L127" s="11" t="inlineStr">
        <is>
          <t>MILLORAR EL CONEIXEMENT DE L'ENTORN, del patrimoni natural, cultural i social.</t>
        </is>
      </c>
      <c r="M127" s="11" t="inlineStr">
        <is>
          <t>Identificar els objectes de gestió prioritària de l'ENP en el marc dels objectius de govern</t>
        </is>
      </c>
      <c r="N127" s="11" t="inlineStr">
        <is>
          <t>Comú</t>
        </is>
      </c>
      <c r="O127" s="11" t="inlineStr">
        <is>
          <t>Obligatori</t>
        </is>
      </c>
      <c r="P127" s="11" t="inlineStr">
        <is>
          <t>Si</t>
        </is>
      </c>
      <c r="Q127" s="11" t="inlineStr">
        <is>
          <t>06.1.2 · Realització aportacions a l'inventari de zones humides — Número de noves zones humides catalogades</t>
        </is>
      </c>
    </row>
    <row r="128">
      <c r="A128" s="11" t="inlineStr">
        <is>
          <t>3. Coneixement</t>
        </is>
      </c>
      <c r="B128" s="11" t="inlineStr">
        <is>
          <t>06.1.2</t>
        </is>
      </c>
      <c r="C128" s="11" t="inlineStr">
        <is>
          <t>Definir espais fràgils i zones d'especial atenció</t>
        </is>
      </c>
      <c r="D128" s="11" t="inlineStr">
        <is>
          <t>Definir espais fràgils i zones d'especial atenció</t>
        </is>
      </c>
      <c r="E128" s="11" t="inlineStr">
        <is>
          <t>Actualització de l'inventari d'espais d'interès geològic</t>
        </is>
      </c>
      <c r="F128" s="11" t="inlineStr">
        <is>
          <t>Número de nous espais d'interès geològics inventariats i/o actualitzats</t>
        </is>
      </c>
      <c r="G128" s="11" t="n">
        <v>3</v>
      </c>
      <c r="H128" s="11" t="n">
        <v>10</v>
      </c>
      <c r="I128" s="11" t="inlineStr">
        <is>
          <t>MITJANA</t>
        </is>
      </c>
      <c r="J128" s="11" t="inlineStr">
        <is>
          <t>Observatori</t>
        </is>
      </c>
      <c r="K128" s="11" t="inlineStr">
        <is>
          <t>Oriol</t>
        </is>
      </c>
      <c r="L128" s="11" t="inlineStr">
        <is>
          <t>MILLORAR EL CONEIXEMENT DE L'ENTORN, del patrimoni natural, cultural i social.</t>
        </is>
      </c>
      <c r="M128" s="11" t="inlineStr">
        <is>
          <t>Identificar els objectes de gestió prioritària de l'ENP en el marc dels objectius de govern</t>
        </is>
      </c>
      <c r="N128" s="11" t="inlineStr">
        <is>
          <t>Comú</t>
        </is>
      </c>
      <c r="O128" s="11" t="inlineStr">
        <is>
          <t>Obligatori</t>
        </is>
      </c>
      <c r="P128" s="11" t="inlineStr">
        <is>
          <t>Si</t>
        </is>
      </c>
      <c r="Q128" s="11" t="inlineStr">
        <is>
          <t>06.1.2 · Actualització de l'inventari d'espais d'interès geològic — Número de nous espais d'interès geològics inventariats i/o actualitzats</t>
        </is>
      </c>
    </row>
    <row r="129">
      <c r="A129" s="11" t="inlineStr">
        <is>
          <t>3. Coneixement</t>
        </is>
      </c>
      <c r="B129" s="11" t="inlineStr">
        <is>
          <t>06.2.1</t>
        </is>
      </c>
      <c r="C129" s="11" t="inlineStr">
        <is>
          <t>Participar en l'elaboració de la cartografia ambiental que elabora la UIC</t>
        </is>
      </c>
      <c r="D129" s="11" t="inlineStr">
        <is>
          <t>Participar en l'elaboració de la cartografia ambiental que elabora la UIC</t>
        </is>
      </c>
      <c r="E129" s="11" t="inlineStr">
        <is>
          <t>Participació en la programació de la realització de la cartografia d'hàbitats en el contracte pluriennal que existeix amb GeoVeg-UB</t>
        </is>
      </c>
      <c r="F129" s="11" t="inlineStr">
        <is>
          <t>Número de reunions realitzades</t>
        </is>
      </c>
      <c r="G129" s="11" t="n">
        <v>1</v>
      </c>
      <c r="H129" s="11" t="n">
        <v>5</v>
      </c>
      <c r="I129" s="11" t="inlineStr">
        <is>
          <t>ALTA</t>
        </is>
      </c>
      <c r="J129" s="11" t="inlineStr">
        <is>
          <t>Patrimoni</t>
        </is>
      </c>
      <c r="K129" s="11" t="inlineStr">
        <is>
          <t>Eli</t>
        </is>
      </c>
      <c r="L129" s="11" t="inlineStr">
        <is>
          <t>MILLORAR EL CONEIXEMENT DE L'ENTORN, del patrimoni natural, cultural i social.</t>
        </is>
      </c>
      <c r="M129" s="11" t="inlineStr">
        <is>
          <t>Conèixer l'estat de conservació i la seva tendència dels hàbitats, les espècies els elements de la gea i els processos ecològics com a eina per avaluar i optimitzar la gestió</t>
        </is>
      </c>
      <c r="N129" s="11" t="inlineStr">
        <is>
          <t>Comú</t>
        </is>
      </c>
      <c r="O129" s="11" t="inlineStr">
        <is>
          <t>Obligatori</t>
        </is>
      </c>
      <c r="P129" s="11" t="inlineStr">
        <is>
          <t>No</t>
        </is>
      </c>
      <c r="Q129" s="11" t="inlineStr">
        <is>
          <t>06.2.1 · Participació en la programació de la realització de la cartografia d'hàbitats en el contracte pluriennal que existeix amb GeoVeg-UB — Número de reunions realitzades</t>
        </is>
      </c>
    </row>
    <row r="130">
      <c r="A130" s="11" t="inlineStr">
        <is>
          <t>3. Coneixement</t>
        </is>
      </c>
      <c r="B130" s="11" t="inlineStr">
        <is>
          <t>06.2.1</t>
        </is>
      </c>
      <c r="C130" s="11" t="inlineStr">
        <is>
          <t>Participar en l'elaboració de la cartografia ambiental que elabora la UIC</t>
        </is>
      </c>
      <c r="D130" s="11" t="inlineStr">
        <is>
          <t>Participar en l'elaboració de la cartografia ambiental que elabora la UIC</t>
        </is>
      </c>
      <c r="E130" s="11" t="inlineStr">
        <is>
          <t>Col·laboració amb la UIC per mantenir actualitzada la cartografia dels elements de conservació del Parc</t>
        </is>
      </c>
      <c r="F130" s="11" t="inlineStr">
        <is>
          <t>Periodicitat dels traspassos</t>
        </is>
      </c>
      <c r="G130" s="11" t="inlineStr">
        <is>
          <t>Anual</t>
        </is>
      </c>
      <c r="H130" s="11" t="inlineStr">
        <is>
          <t>Semestral</t>
        </is>
      </c>
      <c r="I130" s="11" t="inlineStr">
        <is>
          <t>ALTA</t>
        </is>
      </c>
      <c r="J130" s="11" t="inlineStr"/>
      <c r="K130" s="11" t="inlineStr"/>
      <c r="L130" s="11" t="inlineStr">
        <is>
          <t>MILLORAR EL CONEIXEMENT DE L'ENTORN, del patrimoni natural, cultural i social.</t>
        </is>
      </c>
      <c r="M130" s="11" t="inlineStr">
        <is>
          <t>Conèixer l'estat de conservació i la seva tendència dels hàbitats, les espècies els elements de la gea i els processos ecològics com a eina per avaluar i optimitzar la gestió</t>
        </is>
      </c>
      <c r="N130" s="11" t="inlineStr">
        <is>
          <t>Comú</t>
        </is>
      </c>
      <c r="O130" s="11" t="inlineStr">
        <is>
          <t>Obligatori</t>
        </is>
      </c>
      <c r="P130" s="11" t="inlineStr">
        <is>
          <t>No</t>
        </is>
      </c>
      <c r="Q130" s="11" t="inlineStr">
        <is>
          <t>06.2.1 · Col·laboració amb la UIC per mantenir actualitzada la cartografia dels elements de conservació del Parc — Periodicitat dels traspassos</t>
        </is>
      </c>
    </row>
    <row r="131">
      <c r="A131" s="11" t="inlineStr">
        <is>
          <t>3. Coneixement</t>
        </is>
      </c>
      <c r="B131" s="11" t="inlineStr">
        <is>
          <t>06.2.2</t>
        </is>
      </c>
      <c r="C131" s="11" t="inlineStr">
        <is>
          <t>Conèixer i estudiar els processos naturals propis de l’espai, la seva funcionalitat, i ecologia en referència als ecosistemes</t>
        </is>
      </c>
      <c r="D131" s="11" t="inlineStr">
        <is>
          <t>Conèixer i estudiar els processos naturals propis de l’espai, la seva funcionalitat, i ecologia en referència als ecosistemes</t>
        </is>
      </c>
      <c r="E131" s="11" t="inlineStr">
        <is>
          <t>Foment i coordinació dels estudis, des de l'Observatori de Recerca del Parc, sobre ecologia del foc, el règim hidrològic, la pol·linització, la tipificació i funcionament de les cadenes tròfiques pròpies de l’espai, la maduresa dels boscos, la dinàmica de la neu i les allaus, dinàmica geomorfològica i morfodinàmica de les roques, etc. i identificació dels buits de coneixement i fer passos per omplir aquests buits</t>
        </is>
      </c>
      <c r="F131" s="11" t="inlineStr">
        <is>
          <t>Número d'estudis realitzats</t>
        </is>
      </c>
      <c r="G131" s="11" t="n">
        <v>2</v>
      </c>
      <c r="H131" s="11" t="n">
        <v>8</v>
      </c>
      <c r="I131" s="11" t="inlineStr">
        <is>
          <t>MITJANA</t>
        </is>
      </c>
      <c r="J131" s="11" t="inlineStr">
        <is>
          <t>Observatori</t>
        </is>
      </c>
      <c r="K131" s="11" t="inlineStr">
        <is>
          <t>Oriol</t>
        </is>
      </c>
      <c r="L131" s="11" t="inlineStr">
        <is>
          <t>MILLORAR EL CONEIXEMENT DE L'ENTORN, del patrimoni natural, cultural i social.</t>
        </is>
      </c>
      <c r="M131" s="11" t="inlineStr">
        <is>
          <t>Conèixer l'estat de conservació i la seva tendència dels hàbitats, les espècies els elements de la gea i els processos ecològics com a eina per avaluar i optimitzar la gestió</t>
        </is>
      </c>
      <c r="N131" s="11" t="inlineStr">
        <is>
          <t>Comú</t>
        </is>
      </c>
      <c r="O131" s="11" t="inlineStr">
        <is>
          <t>Obligatori</t>
        </is>
      </c>
      <c r="P131" s="11" t="inlineStr">
        <is>
          <t>Si</t>
        </is>
      </c>
      <c r="Q131" s="11" t="inlineStr">
        <is>
          <t>06.2.2 · Foment i coordinació dels estudis, des de l'Observatori de Recerca del Parc, sobre ecologia del foc, el règim hidrològic, la pol·linització, la tipifi — Número d'estudis realitzats</t>
        </is>
      </c>
    </row>
    <row r="132">
      <c r="A132" s="11" t="inlineStr">
        <is>
          <t>3. Coneixement</t>
        </is>
      </c>
      <c r="B132" s="11" t="inlineStr">
        <is>
          <t>06.2.3</t>
        </is>
      </c>
      <c r="C132" s="11" t="inlineStr">
        <is>
          <t>Conèixer els usos i factors de canvi rellevants en l'evolució dels elements de conservació, i avaluar els efectes que generen en l’espai (pressions i amenaces)</t>
        </is>
      </c>
      <c r="D132" s="11" t="inlineStr">
        <is>
          <t>Conèixer els usos i factors de canvi rellevants en l'evolució dels elements de conservació, i avaluar els efectes que generen en l’espai (pressions i amenaces)</t>
        </is>
      </c>
      <c r="E132" s="11" t="inlineStr">
        <is>
          <t>Foment de l'estudi, en coordinació amb l'Observatori de Recerca del Parc, de l'afectació de determinats processos naturals o activitats antròpiques (contaminació, fragmentació d'hàbitats, atropellaments, noves arts de pesca, els agrupaments de bestiar per prevenció de danys o pràctiques agrícoles de muntanya, etc.) en l’ENP (amenaces i impacte ambiental) i identificació dels buits de coneixement i fer passos per omplir aquests buits</t>
        </is>
      </c>
      <c r="F132" s="11" t="inlineStr">
        <is>
          <t>Número d'estudis realitzats</t>
        </is>
      </c>
      <c r="G132" s="11" t="n">
        <v>4</v>
      </c>
      <c r="H132" s="11" t="n">
        <v>10</v>
      </c>
      <c r="I132" s="11" t="inlineStr">
        <is>
          <t>ALTA</t>
        </is>
      </c>
      <c r="J132" s="11" t="inlineStr">
        <is>
          <t>Observatori</t>
        </is>
      </c>
      <c r="K132" s="11" t="inlineStr">
        <is>
          <t>Oriol</t>
        </is>
      </c>
      <c r="L132" s="11" t="inlineStr">
        <is>
          <t>MILLORAR EL CONEIXEMENT DE L'ENTORN, del patrimoni natural, cultural i social.</t>
        </is>
      </c>
      <c r="M132" s="11" t="inlineStr">
        <is>
          <t>Conèixer l'estat de conservació i la seva tendència dels hàbitats, les espècies els elements de la gea i els processos ecològics com a eina per avaluar i optimitzar la gestió</t>
        </is>
      </c>
      <c r="N132" s="11" t="inlineStr">
        <is>
          <t>Comú</t>
        </is>
      </c>
      <c r="O132" s="11" t="inlineStr">
        <is>
          <t>Obligatori</t>
        </is>
      </c>
      <c r="P132" s="11" t="inlineStr">
        <is>
          <t>Si</t>
        </is>
      </c>
      <c r="Q132" s="11" t="inlineStr">
        <is>
          <t>06.2.3 · Foment de l'estudi, en coordinació amb l'Observatori de Recerca del Parc, de l'afectació de determinats processos naturals o activitats antròpiques (c — Número d'estudis realitzats</t>
        </is>
      </c>
    </row>
    <row r="133">
      <c r="A133" s="11" t="inlineStr">
        <is>
          <t>3. Coneixement</t>
        </is>
      </c>
      <c r="B133" s="11" t="inlineStr">
        <is>
          <t>06.2.3</t>
        </is>
      </c>
      <c r="C133" s="11" t="inlineStr">
        <is>
          <t>Conèixer els usos i factors de canvi rellevants en l'evolució dels elements de conservació, i avaluar els efectes que generen en l’espai (pressions i amenaces)</t>
        </is>
      </c>
      <c r="D133" s="11" t="inlineStr">
        <is>
          <t>Conèixer els usos i factors de canvi rellevants en l'evolució dels elements de conservació, i avaluar els efectes que generen en l’espai (pressions i amenaces)</t>
        </is>
      </c>
      <c r="E133" s="11" t="inlineStr">
        <is>
          <t>Realització d’ estudis del món de les ciències socials, culturals, etc. per entendre la coevolució entra natura i societat, així com donar valor al llegat social i humà de l'espai natural</t>
        </is>
      </c>
      <c r="F133" s="11" t="inlineStr">
        <is>
          <t>Número d'estudis realitzats</t>
        </is>
      </c>
      <c r="G133" s="11" t="n">
        <v>1</v>
      </c>
      <c r="H133" s="11" t="n">
        <v>3</v>
      </c>
      <c r="I133" s="11" t="inlineStr">
        <is>
          <t>MITJANA</t>
        </is>
      </c>
      <c r="J133" s="11" t="inlineStr">
        <is>
          <t>Observatori</t>
        </is>
      </c>
      <c r="K133" s="11" t="inlineStr">
        <is>
          <t>Oriol</t>
        </is>
      </c>
      <c r="L133" s="11" t="inlineStr">
        <is>
          <t>MILLORAR EL CONEIXEMENT DE L'ENTORN, del patrimoni natural, cultural i social.</t>
        </is>
      </c>
      <c r="M133" s="11" t="inlineStr">
        <is>
          <t>Conèixer l'estat de conservació i la seva tendència dels hàbitats, les espècies els elements de la gea i els processos ecològics com a eina per avaluar i optimitzar la gestió</t>
        </is>
      </c>
      <c r="N133" s="11" t="inlineStr">
        <is>
          <t>Comú</t>
        </is>
      </c>
      <c r="O133" s="11" t="inlineStr">
        <is>
          <t>Obligatori</t>
        </is>
      </c>
      <c r="P133" s="11" t="inlineStr">
        <is>
          <t>Si</t>
        </is>
      </c>
      <c r="Q133" s="11" t="inlineStr">
        <is>
          <t>06.2.3 · Realització d’ estudis del món de les ciències socials, culturals, etc. per entendre la coevolució entra natura i societat, així com donar valor al ll — Número d'estudis realitzats</t>
        </is>
      </c>
    </row>
    <row r="134">
      <c r="A134" s="11" t="inlineStr">
        <is>
          <t>3. Coneixement</t>
        </is>
      </c>
      <c r="B134" s="11" t="inlineStr">
        <is>
          <t>06.2.3</t>
        </is>
      </c>
      <c r="C134" s="11" t="inlineStr">
        <is>
          <t>Conèixer els usos i factors de canvi rellevants en l'evolució dels elements de conservació, i avaluar els efectes que generen en l’espai (pressions i amenaces)</t>
        </is>
      </c>
      <c r="D134" s="11" t="inlineStr">
        <is>
          <t>Conèixer els usos i factors de canvi rellevants en l'evolució dels elements de conservació, i avaluar els efectes que generen en l’espai (pressions i amenaces)</t>
        </is>
      </c>
      <c r="E134" s="11" t="inlineStr">
        <is>
          <t>Avaluació de l'impacte del canvi climàtic i les activitats antròpiques en l'ENP i la seva capacitat d'adaptació i resiliència, a través de projectes específics (Integradapta,REPICA,..)</t>
        </is>
      </c>
      <c r="F134" s="11" t="inlineStr">
        <is>
          <t>Número de projectes realitzats</t>
        </is>
      </c>
      <c r="G134" s="11" t="n">
        <v>2</v>
      </c>
      <c r="H134" s="11" t="n">
        <v>4</v>
      </c>
      <c r="I134" s="11" t="inlineStr">
        <is>
          <t>ALTA</t>
        </is>
      </c>
      <c r="J134" s="11" t="inlineStr">
        <is>
          <t>Observatori</t>
        </is>
      </c>
      <c r="K134" s="11" t="inlineStr">
        <is>
          <t>Oriol</t>
        </is>
      </c>
      <c r="L134" s="11" t="inlineStr">
        <is>
          <t>MILLORAR EL CONEIXEMENT DE L'ENTORN, del patrimoni natural, cultural i social.</t>
        </is>
      </c>
      <c r="M134" s="11" t="inlineStr">
        <is>
          <t>Conèixer l'estat de conservació i la seva tendència dels hàbitats, les espècies els elements de la gea i els processos ecològics com a eina per avaluar i optimitzar la gestió</t>
        </is>
      </c>
      <c r="N134" s="11" t="inlineStr">
        <is>
          <t>Comú</t>
        </is>
      </c>
      <c r="O134" s="11" t="inlineStr">
        <is>
          <t>Obligatori</t>
        </is>
      </c>
      <c r="P134" s="11" t="inlineStr">
        <is>
          <t>Si</t>
        </is>
      </c>
      <c r="Q134" s="11" t="inlineStr">
        <is>
          <t>06.2.3 · Avaluació de l'impacte del canvi climàtic i les activitats antròpiques en l'ENP i la seva capacitat d'adaptació i resiliència, a través de projectes e — Número de projectes realitzats</t>
        </is>
      </c>
    </row>
    <row r="135">
      <c r="A135" s="11" t="inlineStr">
        <is>
          <t>3. Coneixement</t>
        </is>
      </c>
      <c r="B135" s="11" t="inlineStr">
        <is>
          <t>06.2.3</t>
        </is>
      </c>
      <c r="C135" s="11" t="inlineStr">
        <is>
          <t>Conèixer els usos i factors de canvi rellevants en l'evolució dels elements de conservació, i avaluar els efectes que generen en l’espai (pressions i amenaces)</t>
        </is>
      </c>
      <c r="D135" s="11" t="inlineStr">
        <is>
          <t>Conèixer els usos i factors de canvi rellevants en l'evolució dels elements de conservació, i avaluar els efectes que generen en l’espai (pressions i amenaces)</t>
        </is>
      </c>
      <c r="E135" s="11" t="inlineStr">
        <is>
          <t>Avaluació dels resultats de les estratègies de gestió aplicades en l'ENP</t>
        </is>
      </c>
      <c r="F135" s="11" t="inlineStr">
        <is>
          <t>Número d'avaluacions realitzades</t>
        </is>
      </c>
      <c r="G135" s="11" t="n">
        <v>1</v>
      </c>
      <c r="H135" s="11" t="n">
        <v>4</v>
      </c>
      <c r="I135" s="11" t="inlineStr">
        <is>
          <t>BAIXA</t>
        </is>
      </c>
      <c r="J135" s="11" t="inlineStr">
        <is>
          <t>Observatori</t>
        </is>
      </c>
      <c r="K135" s="11" t="inlineStr">
        <is>
          <t>Oriol</t>
        </is>
      </c>
      <c r="L135" s="11" t="inlineStr">
        <is>
          <t>MILLORAR EL CONEIXEMENT DE L'ENTORN, del patrimoni natural, cultural i social.</t>
        </is>
      </c>
      <c r="M135" s="11" t="inlineStr">
        <is>
          <t>Conèixer l'estat de conservació i la seva tendència dels hàbitats, les espècies els elements de la gea i els processos ecològics com a eina per avaluar i optimitzar la gestió</t>
        </is>
      </c>
      <c r="N135" s="11" t="inlineStr">
        <is>
          <t>Comú</t>
        </is>
      </c>
      <c r="O135" s="11" t="inlineStr">
        <is>
          <t>Obligatori</t>
        </is>
      </c>
      <c r="P135" s="11" t="inlineStr">
        <is>
          <t>Si</t>
        </is>
      </c>
      <c r="Q135" s="11" t="inlineStr">
        <is>
          <t>06.2.3 · Avaluació dels resultats de les estratègies de gestió aplicades en l'ENP — Número d'avaluacions realitzades</t>
        </is>
      </c>
    </row>
    <row r="136">
      <c r="A136" s="11" t="inlineStr">
        <is>
          <t>3. Coneixement</t>
        </is>
      </c>
      <c r="B136" s="11" t="inlineStr">
        <is>
          <t>06.2.3</t>
        </is>
      </c>
      <c r="C136" s="11" t="inlineStr">
        <is>
          <t>Conèixer els usos i factors de canvi rellevants en l'evolució dels elements de conservació, i avaluar els efectes que generen en l’espai (pressions i amenaces)</t>
        </is>
      </c>
      <c r="D136" s="11" t="inlineStr">
        <is>
          <t>Conèixer els usos i factors de canvi rellevants en l'evolució dels elements de conservació, i avaluar els efectes que generen en l’espai (pressions i amenaces)</t>
        </is>
      </c>
      <c r="E136" s="11" t="inlineStr">
        <is>
          <t>Col.laboració amb l'Observatori de recerca i amb l'OPNB per aportar els coneixements generats a l'ENP</t>
        </is>
      </c>
      <c r="F136" s="11" t="inlineStr">
        <is>
          <t>Número coneixements aportats a l'observatori</t>
        </is>
      </c>
      <c r="G136" s="11" t="n">
        <v>4</v>
      </c>
      <c r="H136" s="11" t="n">
        <v>12</v>
      </c>
      <c r="I136" s="11" t="inlineStr">
        <is>
          <t>MITJANA</t>
        </is>
      </c>
      <c r="J136" s="11" t="inlineStr">
        <is>
          <t>Observatori</t>
        </is>
      </c>
      <c r="K136" s="11" t="inlineStr">
        <is>
          <t>Oriol</t>
        </is>
      </c>
      <c r="L136" s="11" t="inlineStr">
        <is>
          <t>MILLORAR EL CONEIXEMENT DE L'ENTORN, del patrimoni natural, cultural i social.</t>
        </is>
      </c>
      <c r="M136" s="11" t="inlineStr">
        <is>
          <t>Conèixer l'estat de conservació i la seva tendència dels hàbitats, les espècies els elements de la gea i els processos ecològics com a eina per avaluar i optimitzar la gestió</t>
        </is>
      </c>
      <c r="N136" s="11" t="inlineStr">
        <is>
          <t>Comú</t>
        </is>
      </c>
      <c r="O136" s="11" t="inlineStr">
        <is>
          <t>Obligatori</t>
        </is>
      </c>
      <c r="P136" s="11" t="inlineStr">
        <is>
          <t>Si</t>
        </is>
      </c>
      <c r="Q136" s="11" t="inlineStr">
        <is>
          <t>06.2.3 · Col.laboració amb l'Observatori de recerca i amb l'OPNB per aportar els coneixements generats a l'ENP — Número coneixements aportats a l'observatori</t>
        </is>
      </c>
    </row>
    <row r="137">
      <c r="A137" s="11" t="inlineStr">
        <is>
          <t>3. Coneixement</t>
        </is>
      </c>
      <c r="B137" s="11" t="inlineStr">
        <is>
          <t>06.2.4</t>
        </is>
      </c>
      <c r="C137" s="11" t="inlineStr">
        <is>
          <t>Conèixer l'impacte de les gestió de l'aigua, sobre la biodiversitat.</t>
        </is>
      </c>
      <c r="D137" s="11" t="inlineStr">
        <is>
          <t>Conèixer l'impacte de les gestió de l'aigua, sobre la biodiversitat.</t>
        </is>
      </c>
      <c r="E137" s="11" t="inlineStr">
        <is>
          <t>Programa de seguiment de l’estat hidrològic de les masses d’aigua per garantir el compliment dels cabals ecològics adaptat a les espècies i hàbitats en perill o vulnerables. Incloure la participació en el grup de treball de cabals i almesquera per garantir una bona gestió dels cabals evitant canvis sobtats de cabal o alteracions hidrològiques que puguin ser perjudicials per la biodiversitat</t>
        </is>
      </c>
      <c r="F137" s="11" t="inlineStr">
        <is>
          <t>Realització del programa de seguiment</t>
        </is>
      </c>
      <c r="G137" s="11" t="inlineStr">
        <is>
          <t>no</t>
        </is>
      </c>
      <c r="H137" s="11" t="inlineStr">
        <is>
          <t>si</t>
        </is>
      </c>
      <c r="I137" s="11" t="inlineStr">
        <is>
          <t>ALTA</t>
        </is>
      </c>
      <c r="J137" s="11" t="inlineStr">
        <is>
          <t>Observatori</t>
        </is>
      </c>
      <c r="K137" s="11" t="inlineStr">
        <is>
          <t>Oriol</t>
        </is>
      </c>
      <c r="L137" s="11" t="inlineStr">
        <is>
          <t>MILLORAR EL CONEIXEMENT DE L'ENTORN, del patrimoni natural, cultural i social.</t>
        </is>
      </c>
      <c r="M137" s="11" t="inlineStr">
        <is>
          <t>Conèixer l'estat de conservació i la seva tendència dels hàbitats, les espècies els elements de la gea i els processos ecològics com a eina per avaluar i optimitzar la gestió</t>
        </is>
      </c>
      <c r="N137" s="11" t="inlineStr">
        <is>
          <t>Comú</t>
        </is>
      </c>
      <c r="O137" s="11" t="inlineStr">
        <is>
          <t>Optatiu</t>
        </is>
      </c>
      <c r="P137" s="11" t="inlineStr">
        <is>
          <t>Si</t>
        </is>
      </c>
      <c r="Q137" s="11" t="inlineStr">
        <is>
          <t>06.2.4 · Programa de seguiment de l’estat hidrològic de les masses d’aigua per garantir el compliment dels cabals ecològics adaptat a les espècies i hàbitats e — Realització del programa de seguiment</t>
        </is>
      </c>
    </row>
    <row r="138">
      <c r="A138" s="11" t="inlineStr">
        <is>
          <t>3. Coneixement</t>
        </is>
      </c>
      <c r="B138" s="11" t="inlineStr">
        <is>
          <t>06.2.4</t>
        </is>
      </c>
      <c r="C138" s="11" t="inlineStr">
        <is>
          <t>Conèixer l'impacte de les gestió de l'aigua, sobre la biodiversitat.</t>
        </is>
      </c>
      <c r="D138" s="11" t="inlineStr">
        <is>
          <t>Conèixer l'impacte de les gestió de l'aigua, sobre la biodiversitat.</t>
        </is>
      </c>
      <c r="E138" s="11" t="inlineStr">
        <is>
          <t>Establiment d’una xarxa automatitzada de control (sensors, inventaris, models hidrològics, etc.).</t>
        </is>
      </c>
      <c r="F138" s="11" t="inlineStr">
        <is>
          <t>Número de sensors de cabals instal·lats</t>
        </is>
      </c>
      <c r="G138" s="11" t="n">
        <v>4</v>
      </c>
      <c r="H138" s="11" t="n">
        <v>8</v>
      </c>
      <c r="I138" s="11" t="inlineStr">
        <is>
          <t>MITJANA</t>
        </is>
      </c>
      <c r="J138" s="11" t="inlineStr">
        <is>
          <t>Observatori</t>
        </is>
      </c>
      <c r="K138" s="11" t="inlineStr">
        <is>
          <t>Oriol</t>
        </is>
      </c>
      <c r="L138" s="11" t="inlineStr">
        <is>
          <t>MILLORAR EL CONEIXEMENT DE L'ENTORN, del patrimoni natural, cultural i social.</t>
        </is>
      </c>
      <c r="M138" s="11" t="inlineStr">
        <is>
          <t>Conèixer l'estat de conservació i la seva tendència dels hàbitats, les espècies els elements de la gea i els processos ecològics com a eina per avaluar i optimitzar la gestió</t>
        </is>
      </c>
      <c r="N138" s="11" t="inlineStr">
        <is>
          <t>Comú</t>
        </is>
      </c>
      <c r="O138" s="11" t="inlineStr">
        <is>
          <t>Optatiu</t>
        </is>
      </c>
      <c r="P138" s="11" t="inlineStr">
        <is>
          <t>Si</t>
        </is>
      </c>
      <c r="Q138" s="11" t="inlineStr">
        <is>
          <t>06.2.4 · Establiment d’una xarxa automatitzada de control (sensors, inventaris, models hidrològics, etc.). — Número de sensors de cabals instal·lats</t>
        </is>
      </c>
    </row>
    <row r="139">
      <c r="A139" s="11" t="inlineStr">
        <is>
          <t>3. Coneixement</t>
        </is>
      </c>
      <c r="B139" s="11" t="inlineStr">
        <is>
          <t>06.2.5</t>
        </is>
      </c>
      <c r="C139" s="11" t="inlineStr">
        <is>
          <t>Participar en el coneixement de la tendència d'espècies plaga amb afectacions sobre ecosistemes o activitats econòmiques dins l'ENP</t>
        </is>
      </c>
      <c r="D139" s="11" t="inlineStr">
        <is>
          <t>Participar en el coneixement de la tendència d'espècies plaga amb afectacions sobre ecosistemes o activitats econòmiques dins l'ENP</t>
        </is>
      </c>
      <c r="E139" s="11" t="inlineStr">
        <is>
          <t>Participació en dels estudis d'espècies plaga (escolítids, ungulats, fongs patògens, tuberculosis, etc.) de les autoritats competents i centres de recerca</t>
        </is>
      </c>
      <c r="F139" s="11" t="inlineStr">
        <is>
          <t>Número d'estudis en que s'ha participat</t>
        </is>
      </c>
      <c r="G139" s="11" t="n">
        <v>4</v>
      </c>
      <c r="H139" s="11" t="n">
        <v>12</v>
      </c>
      <c r="I139" s="11" t="inlineStr">
        <is>
          <t>ALTA</t>
        </is>
      </c>
      <c r="J139" s="11" t="inlineStr">
        <is>
          <t>Observatori</t>
        </is>
      </c>
      <c r="K139" s="11" t="inlineStr">
        <is>
          <t>Oriol</t>
        </is>
      </c>
      <c r="L139" s="11" t="inlineStr">
        <is>
          <t>MILLORAR EL CONEIXEMENT DE L'ENTORN, del patrimoni natural, cultural i social.</t>
        </is>
      </c>
      <c r="M139" s="11" t="inlineStr">
        <is>
          <t>Estandaritzar els seguiments periòdics dels grups clau</t>
        </is>
      </c>
      <c r="N139" s="11" t="inlineStr">
        <is>
          <t>Comú</t>
        </is>
      </c>
      <c r="O139" s="11" t="inlineStr">
        <is>
          <t>Optatiu</t>
        </is>
      </c>
      <c r="P139" s="11" t="inlineStr">
        <is>
          <t>Si</t>
        </is>
      </c>
      <c r="Q139" s="11" t="inlineStr">
        <is>
          <t>06.2.5 · Participació en dels estudis d'espècies plaga (escolítids, ungulats, fongs patògens, tuberculosis, etc.) de les autoritats competents i centres de rec — Número d'estudis en que s'ha participat</t>
        </is>
      </c>
    </row>
    <row r="140">
      <c r="A140" s="11" t="inlineStr">
        <is>
          <t>3. Coneixement</t>
        </is>
      </c>
      <c r="B140" s="11" t="inlineStr">
        <is>
          <t>06.2.5</t>
        </is>
      </c>
      <c r="C140" s="11" t="inlineStr">
        <is>
          <t>Participar en el coneixement de la tendència d'espècies plaga amb afectacions sobre ecosistemes o activitats econòmiques dins l'ENP</t>
        </is>
      </c>
      <c r="D140" s="11" t="inlineStr">
        <is>
          <t>Participar en el coneixement de la tendència d'espècies plaga amb afectacions sobre ecosistemes o activitats econòmiques dins l'ENP</t>
        </is>
      </c>
      <c r="E140" s="11" t="inlineStr">
        <is>
          <t>Acompanyament de la Comissió Ramadera amb les unitats del DARP competents en la gestió i control de la sobrepoblació d’ungulats</t>
        </is>
      </c>
      <c r="F140" s="11" t="inlineStr">
        <is>
          <t>Número de sessions realitzades</t>
        </is>
      </c>
      <c r="G140" s="11" t="n">
        <v>4</v>
      </c>
      <c r="H140" s="11" t="n">
        <v>8</v>
      </c>
      <c r="I140" s="11" t="inlineStr">
        <is>
          <t>ALTA</t>
        </is>
      </c>
      <c r="J140" s="11" t="inlineStr"/>
      <c r="K140" s="11" t="inlineStr"/>
      <c r="L140" s="11" t="inlineStr">
        <is>
          <t>MILLORAR EL CONEIXEMENT DE L'ENTORN, del patrimoni natural, cultural i social.</t>
        </is>
      </c>
      <c r="M140" s="11" t="inlineStr">
        <is>
          <t>Estandaritzar els seguiments periòdics dels grups clau</t>
        </is>
      </c>
      <c r="N140" s="11" t="inlineStr">
        <is>
          <t>Comú</t>
        </is>
      </c>
      <c r="O140" s="11" t="inlineStr">
        <is>
          <t>Optatiu</t>
        </is>
      </c>
      <c r="P140" s="11" t="inlineStr">
        <is>
          <t>Si</t>
        </is>
      </c>
      <c r="Q140" s="11" t="inlineStr">
        <is>
          <t>06.2.5 · Acompanyament de la Comissió Ramadera amb les unitats del DARP competents en la gestió i control de la sobrepoblació d’ungulats — Número de sessions realitzades</t>
        </is>
      </c>
    </row>
    <row r="141">
      <c r="A141" s="11" t="inlineStr">
        <is>
          <t>3. Coneixement</t>
        </is>
      </c>
      <c r="B141" s="11" t="inlineStr">
        <is>
          <t>06.2.6</t>
        </is>
      </c>
      <c r="C141" s="11" t="inlineStr">
        <is>
          <t>Conèixer la tendència d'espècies exòtiques invasores amb afectacions sobre ecosistemes o activitats econòmiques dins l'ENP</t>
        </is>
      </c>
      <c r="D141" s="11" t="inlineStr">
        <is>
          <t>Conèixer la tendència d'espècies exòtiques invasores amb afectacions sobre ecosistemes o activitats econòmiques dins l'ENP</t>
        </is>
      </c>
      <c r="E141" s="11" t="inlineStr">
        <is>
          <t>Realització i foment d'estudis de forma coordinada amb el SFF i divulgar-los</t>
        </is>
      </c>
      <c r="F141" s="11" t="inlineStr">
        <is>
          <t>Número d'estudis realitzats</t>
        </is>
      </c>
      <c r="G141" s="11" t="n">
        <v>4</v>
      </c>
      <c r="H141" s="11" t="n">
        <v>12</v>
      </c>
      <c r="I141" s="11" t="inlineStr">
        <is>
          <t>ALTA</t>
        </is>
      </c>
      <c r="J141" s="11" t="inlineStr">
        <is>
          <t>Observatori</t>
        </is>
      </c>
      <c r="K141" s="11" t="inlineStr">
        <is>
          <t>Oriol</t>
        </is>
      </c>
      <c r="L141" s="11" t="inlineStr">
        <is>
          <t>MILLORAR EL CONEIXEMENT DE L'ENTORN, del patrimoni natural, cultural i social.</t>
        </is>
      </c>
      <c r="M141" s="11" t="inlineStr">
        <is>
          <t>Estandaritzar els seguiments periòdics dels grups clau</t>
        </is>
      </c>
      <c r="N141" s="11" t="inlineStr">
        <is>
          <t>Comú</t>
        </is>
      </c>
      <c r="O141" s="11" t="inlineStr">
        <is>
          <t>Obligatori</t>
        </is>
      </c>
      <c r="P141" s="11" t="inlineStr">
        <is>
          <t>Si</t>
        </is>
      </c>
      <c r="Q141" s="11" t="inlineStr">
        <is>
          <t>06.2.6 · Realització i foment d'estudis de forma coordinada amb el SFF i divulgar-los — Número d'estudis realitzats</t>
        </is>
      </c>
    </row>
    <row r="142">
      <c r="A142" s="11" t="inlineStr">
        <is>
          <t>3. Coneixement</t>
        </is>
      </c>
      <c r="B142" s="11" t="inlineStr">
        <is>
          <t>06.2.7</t>
        </is>
      </c>
      <c r="C142" s="11" t="inlineStr">
        <is>
          <t>Coneixer com millorar la connectivitat de forma coordinada amb altres ENP</t>
        </is>
      </c>
      <c r="D142" s="11" t="inlineStr">
        <is>
          <t>Coneixer com millorar la connectivitat de forma coordinada amb altres ENP</t>
        </is>
      </c>
      <c r="E142" s="11" t="inlineStr">
        <is>
          <t>Elaboració d'una cartografia detallada i actualitzada de connectors ecològics</t>
        </is>
      </c>
      <c r="F142" s="11" t="inlineStr">
        <is>
          <t>Cartografia realitzada</t>
        </is>
      </c>
      <c r="G142" s="11" t="inlineStr">
        <is>
          <t>no</t>
        </is>
      </c>
      <c r="H142" s="11" t="inlineStr">
        <is>
          <t>si</t>
        </is>
      </c>
      <c r="I142" s="11" t="inlineStr">
        <is>
          <t>MITJANA</t>
        </is>
      </c>
      <c r="J142" s="11" t="inlineStr">
        <is>
          <t>Observatori</t>
        </is>
      </c>
      <c r="K142" s="11" t="inlineStr">
        <is>
          <t>Oriol</t>
        </is>
      </c>
      <c r="L142" s="11" t="inlineStr">
        <is>
          <t>MILLORAR EL CONEIXEMENT DE L'ENTORN, del patrimoni natural, cultural i social.</t>
        </is>
      </c>
      <c r="M142" s="11" t="inlineStr">
        <is>
          <t>Estandaritzar els seguiments periòdics dels grups clau</t>
        </is>
      </c>
      <c r="N142" s="11" t="inlineStr">
        <is>
          <t>Comú</t>
        </is>
      </c>
      <c r="O142" s="11" t="inlineStr">
        <is>
          <t>Optatiu</t>
        </is>
      </c>
      <c r="P142" s="11" t="inlineStr">
        <is>
          <t>Si</t>
        </is>
      </c>
      <c r="Q142" s="11" t="inlineStr">
        <is>
          <t>06.2.7 · Elaboració d'una cartografia detallada i actualitzada de connectors ecològics — Cartografia realitzada</t>
        </is>
      </c>
    </row>
    <row r="143">
      <c r="A143" s="11" t="inlineStr">
        <is>
          <t>3. Coneixement</t>
        </is>
      </c>
      <c r="B143" s="11" t="inlineStr">
        <is>
          <t>06.3.1</t>
        </is>
      </c>
      <c r="C143" s="11" t="inlineStr">
        <is>
          <t>Participar en la definició del sistema estàndard de seguiment de flora, fauna i hàbitats de la DG</t>
        </is>
      </c>
      <c r="D143" s="11" t="inlineStr">
        <is>
          <t>Participar en la definició del sistema estàndard de seguiment de flora, fauna i hàbitats de la DG</t>
        </is>
      </c>
      <c r="E143" s="11" t="inlineStr">
        <is>
          <t>Suport a la UIC en la definició dels sistemes de seguiment</t>
        </is>
      </c>
      <c r="F143" s="11" t="inlineStr">
        <is>
          <t>Número reunions realitzades</t>
        </is>
      </c>
      <c r="G143" s="11" t="n">
        <v>4</v>
      </c>
      <c r="H143" s="11" t="n">
        <v>12</v>
      </c>
      <c r="I143" s="11" t="inlineStr">
        <is>
          <t>ALTA</t>
        </is>
      </c>
      <c r="J143" s="11" t="inlineStr">
        <is>
          <t>Patrimoni</t>
        </is>
      </c>
      <c r="K143" s="11" t="inlineStr">
        <is>
          <t>Eli</t>
        </is>
      </c>
      <c r="L143" s="11" t="inlineStr">
        <is>
          <t>MILLORAR EL CONEIXEMENT DE L'ENTORN, del patrimoni natural, cultural i social.</t>
        </is>
      </c>
      <c r="M143" s="11" t="inlineStr">
        <is>
          <t>Estandaritzar els seguiments periòdics dels grups clau</t>
        </is>
      </c>
      <c r="N143" s="11" t="inlineStr">
        <is>
          <t>Comú</t>
        </is>
      </c>
      <c r="O143" s="11" t="inlineStr">
        <is>
          <t>Obligatori</t>
        </is>
      </c>
      <c r="P143" s="11" t="inlineStr">
        <is>
          <t>No</t>
        </is>
      </c>
      <c r="Q143" s="11" t="inlineStr">
        <is>
          <t>06.3.1 · Suport a la UIC en la definició dels sistemes de seguiment — Número reunions realitzades</t>
        </is>
      </c>
    </row>
    <row r="144">
      <c r="A144" s="11" t="inlineStr">
        <is>
          <t>3. Coneixement</t>
        </is>
      </c>
      <c r="B144" s="11" t="inlineStr">
        <is>
          <t>06.3.2</t>
        </is>
      </c>
      <c r="C144" s="11" t="inlineStr">
        <is>
          <t>Adequar i executar el sistema de seguiment periòdic dels grups clau de l'ENP al sistema estàndard de seguiment</t>
        </is>
      </c>
      <c r="D144" s="11" t="inlineStr">
        <is>
          <t>Adequar i executar el Programa de Seguiment de la Biodiversitat (PSB) de seguiment periòdic dels grups clau de l'ENP al sistema estàndard de seguiment</t>
        </is>
      </c>
      <c r="E144" s="11" t="inlineStr">
        <is>
          <t>Adaptació del PSB del Parc a la versió més recent sel sistema estàndard de seguiment aportada per la UIC</t>
        </is>
      </c>
      <c r="F144" s="11" t="inlineStr">
        <is>
          <t>Adaptació del PSB realitzada</t>
        </is>
      </c>
      <c r="G144" s="11" t="inlineStr">
        <is>
          <t>no</t>
        </is>
      </c>
      <c r="H144" s="11" t="inlineStr">
        <is>
          <t>si</t>
        </is>
      </c>
      <c r="I144" s="11" t="inlineStr">
        <is>
          <t>ALTA</t>
        </is>
      </c>
      <c r="J144" s="11" t="inlineStr">
        <is>
          <t>Patrimoni</t>
        </is>
      </c>
      <c r="K144" s="11" t="inlineStr">
        <is>
          <t>Eli</t>
        </is>
      </c>
      <c r="L144" s="11" t="inlineStr">
        <is>
          <t>MILLORAR EL CONEIXEMENT DE L'ENTORN, del patrimoni natural, cultural i social.</t>
        </is>
      </c>
      <c r="M144" s="11" t="inlineStr">
        <is>
          <t>Estandaritzar els seguiments periòdics dels grups clau</t>
        </is>
      </c>
      <c r="N144" s="11" t="inlineStr">
        <is>
          <t>Comú</t>
        </is>
      </c>
      <c r="O144" s="11" t="inlineStr">
        <is>
          <t>Obligatori</t>
        </is>
      </c>
      <c r="P144" s="11" t="inlineStr">
        <is>
          <t>Si</t>
        </is>
      </c>
      <c r="Q144" s="11" t="inlineStr">
        <is>
          <t>06.3.2 · Adaptació del PSB del Parc a la versió més recent sel sistema estàndard de seguiment aportada per la UIC — Adaptació del PSB realitzada</t>
        </is>
      </c>
    </row>
    <row r="145">
      <c r="A145" s="11" t="inlineStr">
        <is>
          <t>3. Coneixement</t>
        </is>
      </c>
      <c r="B145" s="11" t="inlineStr">
        <is>
          <t>06.3.2</t>
        </is>
      </c>
      <c r="C145" s="11" t="inlineStr">
        <is>
          <t>Adequar i executar el sistema de seguiment periòdic dels grups clau de l'ENP al sistema estàndard de seguiment</t>
        </is>
      </c>
      <c r="D145" s="11" t="inlineStr">
        <is>
          <t>Adequar i executar el Programa de Seguiment de la Biodiversitat (PSB) de seguiment periòdic dels grups clau de l'ENP al sistema estàndard de seguiment</t>
        </is>
      </c>
      <c r="E145" s="11" t="inlineStr">
        <is>
          <t>Reforç i estabilització de la xarxa de voluntariat per a determinats seguiments de biodiversitat a través de les associacions vinculades al Parc</t>
        </is>
      </c>
      <c r="F145" s="11" t="inlineStr">
        <is>
          <t>Número de voluntaris nous donats d'alta</t>
        </is>
      </c>
      <c r="G145" s="11" t="n">
        <v>10</v>
      </c>
      <c r="H145" s="11" t="n">
        <v>40</v>
      </c>
      <c r="I145" s="11" t="inlineStr">
        <is>
          <t>MITJANA</t>
        </is>
      </c>
      <c r="J145" s="11" t="inlineStr">
        <is>
          <t>Us Public</t>
        </is>
      </c>
      <c r="K145" s="11" t="inlineStr">
        <is>
          <t>Nuria</t>
        </is>
      </c>
      <c r="L145" s="11" t="inlineStr">
        <is>
          <t>MILLORAR EL CONEIXEMENT DE L'ENTORN, del patrimoni natural, cultural i social.</t>
        </is>
      </c>
      <c r="M145" s="11" t="inlineStr">
        <is>
          <t>Estandaritzar els seguiments periòdics dels grups clau</t>
        </is>
      </c>
      <c r="N145" s="11" t="inlineStr">
        <is>
          <t>Comú</t>
        </is>
      </c>
      <c r="O145" s="11" t="inlineStr">
        <is>
          <t>Obligatori</t>
        </is>
      </c>
      <c r="P145" s="11" t="inlineStr">
        <is>
          <t>Si</t>
        </is>
      </c>
      <c r="Q145" s="11" t="inlineStr">
        <is>
          <t>06.3.2 · Reforç i estabilització de la xarxa de voluntariat per a determinats seguiments de biodiversitat a través de les associacions vinculades al Parc — Número de voluntaris nous donats d'alta</t>
        </is>
      </c>
    </row>
    <row r="146">
      <c r="A146" s="11" t="inlineStr">
        <is>
          <t>3. Coneixement</t>
        </is>
      </c>
      <c r="B146" s="11" t="inlineStr">
        <is>
          <t>06.3.2</t>
        </is>
      </c>
      <c r="C146" s="11" t="inlineStr">
        <is>
          <t>Adequar i executar el sistema de seguiment periòdic dels grups clau de l'ENP al sistema estàndard de seguiment</t>
        </is>
      </c>
      <c r="D146" s="11" t="inlineStr">
        <is>
          <t>Adequar i executar el Programa de Seguiment de la Biodiversitat (PSB) de seguiment periòdic dels grups clau de l'ENP al sistema estàndard de seguiment</t>
        </is>
      </c>
      <c r="E146" s="11" t="inlineStr">
        <is>
          <t>Contractació d’especialistes (anual o plurianual) per a seguiments específics del PSB</t>
        </is>
      </c>
      <c r="F146" s="11" t="inlineStr">
        <is>
          <t>Número de seguiments contractats</t>
        </is>
      </c>
      <c r="G146" s="11" t="n">
        <v>12</v>
      </c>
      <c r="H146" s="11" t="n">
        <v>40</v>
      </c>
      <c r="I146" s="11" t="inlineStr">
        <is>
          <t>ALTA</t>
        </is>
      </c>
      <c r="J146" s="11" t="inlineStr">
        <is>
          <t>Patrimoni</t>
        </is>
      </c>
      <c r="K146" s="11" t="inlineStr">
        <is>
          <t>Eli</t>
        </is>
      </c>
      <c r="L146" s="11" t="inlineStr">
        <is>
          <t>MILLORAR EL CONEIXEMENT DE L'ENTORN, del patrimoni natural, cultural i social.</t>
        </is>
      </c>
      <c r="M146" s="11" t="inlineStr">
        <is>
          <t>Estandaritzar els seguiments periòdics dels grups clau</t>
        </is>
      </c>
      <c r="N146" s="11" t="inlineStr">
        <is>
          <t>Comú</t>
        </is>
      </c>
      <c r="O146" s="11" t="inlineStr">
        <is>
          <t>Obligatori</t>
        </is>
      </c>
      <c r="P146" s="11" t="inlineStr">
        <is>
          <t>Si</t>
        </is>
      </c>
      <c r="Q146" s="11" t="inlineStr">
        <is>
          <t>06.3.2 · Contractació d’especialistes (anual o plurianual) per a seguiments específics del PSB — Número de seguiments contractats</t>
        </is>
      </c>
    </row>
    <row r="147">
      <c r="A147" s="11" t="inlineStr">
        <is>
          <t>3. Coneixement</t>
        </is>
      </c>
      <c r="B147" s="11" t="inlineStr">
        <is>
          <t>06.3.2</t>
        </is>
      </c>
      <c r="C147" s="11" t="inlineStr">
        <is>
          <t>Adequar i executar el sistema de seguiment periòdic dels grups clau de l'ENP al sistema estàndard de seguiment</t>
        </is>
      </c>
      <c r="D147" s="11" t="inlineStr">
        <is>
          <t>Adequar i executar el Programa de Seguiment de la Biodiversitat (PSB) de seguiment periòdic dels grups clau de l'ENP al sistema estàndard de seguiment</t>
        </is>
      </c>
      <c r="E147" s="11" t="inlineStr">
        <is>
          <t>Aplicació del protocol establert de compartir informació per al seguiment global d’indicadors de l’estat de la natura, el seguiment dels pol·linitzadors silvestres, o altres</t>
        </is>
      </c>
      <c r="F147" s="11" t="inlineStr">
        <is>
          <t>Número de seguiments compartits</t>
        </is>
      </c>
      <c r="G147" s="11" t="n">
        <v>4</v>
      </c>
      <c r="H147" s="11" t="n">
        <v>8</v>
      </c>
      <c r="I147" s="11" t="inlineStr">
        <is>
          <t>BAIXA</t>
        </is>
      </c>
      <c r="J147" s="11" t="inlineStr">
        <is>
          <t>Patrimoni</t>
        </is>
      </c>
      <c r="K147" s="11" t="inlineStr">
        <is>
          <t>Eli</t>
        </is>
      </c>
      <c r="L147" s="11" t="inlineStr">
        <is>
          <t>MILLORAR EL CONEIXEMENT DE L'ENTORN, del patrimoni natural, cultural i social.</t>
        </is>
      </c>
      <c r="M147" s="11" t="inlineStr">
        <is>
          <t>Estandaritzar els seguiments periòdics dels grups clau</t>
        </is>
      </c>
      <c r="N147" s="11" t="inlineStr">
        <is>
          <t>Comú</t>
        </is>
      </c>
      <c r="O147" s="11" t="inlineStr">
        <is>
          <t>Obligatori</t>
        </is>
      </c>
      <c r="P147" s="11" t="inlineStr">
        <is>
          <t>Si</t>
        </is>
      </c>
      <c r="Q147" s="11" t="inlineStr">
        <is>
          <t>06.3.2 · Aplicació del protocol establert de compartir informació per al seguiment global d’indicadors de l’estat de la natura, el seguiment dels pol·linitzado — Número de seguiments compartits</t>
        </is>
      </c>
    </row>
    <row r="148">
      <c r="A148" s="11" t="inlineStr">
        <is>
          <t>3. Coneixement</t>
        </is>
      </c>
      <c r="B148" s="11" t="inlineStr">
        <is>
          <t>06.3.3</t>
        </is>
      </c>
      <c r="C148" s="11" t="inlineStr">
        <is>
          <t>Mantenir una base de dades de seguiment de patrimoni natural de l'ENP actualitzada i ordenada</t>
        </is>
      </c>
      <c r="D148" s="11" t="inlineStr">
        <is>
          <t>Mantenir la base de dades del programa de seguiment de la biodiversitat (PSB) del Parc actualitzada i ordenada</t>
        </is>
      </c>
      <c r="E148" s="11" t="inlineStr">
        <is>
          <t>Mantenir i actualitzar la base de dades del programa de seguiment de la biodiversitat (PSB) del Parc</t>
        </is>
      </c>
      <c r="F148" s="11" t="inlineStr">
        <is>
          <t>Número d'actualitzacions realitzades</t>
        </is>
      </c>
      <c r="G148" s="11" t="n">
        <v>40</v>
      </c>
      <c r="H148" s="11" t="n">
        <v>160</v>
      </c>
      <c r="I148" s="11" t="inlineStr">
        <is>
          <t>MITJANA</t>
        </is>
      </c>
      <c r="J148" s="11" t="inlineStr">
        <is>
          <t>Patrimoni</t>
        </is>
      </c>
      <c r="K148" s="11" t="inlineStr">
        <is>
          <t>Eli</t>
        </is>
      </c>
      <c r="L148" s="11" t="inlineStr">
        <is>
          <t>MILLORAR EL CONEIXEMENT DE L'ENTORN, del patrimoni natural, cultural i social.</t>
        </is>
      </c>
      <c r="M148" s="11" t="inlineStr">
        <is>
          <t>Incrementar el coneixement de qualitat mitjançant l’establiment de marcs de col·laboració, assessorament i suport amb centres de recerca, museus i entitats naturalistes per al desenvolupament de part de la seva activitat en l’ENP</t>
        </is>
      </c>
      <c r="N148" s="11" t="inlineStr">
        <is>
          <t>Comú</t>
        </is>
      </c>
      <c r="O148" s="11" t="inlineStr">
        <is>
          <t>Obligatori</t>
        </is>
      </c>
      <c r="P148" s="11" t="inlineStr">
        <is>
          <t>Si</t>
        </is>
      </c>
      <c r="Q148" s="11" t="inlineStr">
        <is>
          <t>06.3.3 · Mantenir i actualitzar la base de dades del programa de seguiment de la biodiversitat (PSB) del Parc — Número d'actualitzacions realitzades</t>
        </is>
      </c>
    </row>
    <row r="149">
      <c r="A149" s="11" t="inlineStr">
        <is>
          <t>3. Coneixement</t>
        </is>
      </c>
      <c r="B149" s="11" t="inlineStr">
        <is>
          <t>06.3.4</t>
        </is>
      </c>
      <c r="C149" s="11" t="inlineStr">
        <is>
          <t>Participar en el grups de treball per a la definició i organització del SINATCAT</t>
        </is>
      </c>
      <c r="D149" s="11" t="inlineStr">
        <is>
          <t>Participar en el grups de treball per a la definició i organització del SINATCAT</t>
        </is>
      </c>
      <c r="E149" s="11" t="inlineStr">
        <is>
          <t>Realització de reunions de participació dels grups de treball del SINATCAT</t>
        </is>
      </c>
      <c r="F149" s="11" t="inlineStr">
        <is>
          <t>Número reunions realitzades</t>
        </is>
      </c>
      <c r="G149" s="11" t="n">
        <v>4</v>
      </c>
      <c r="H149" s="11" t="n">
        <v>8</v>
      </c>
      <c r="I149" s="11" t="inlineStr">
        <is>
          <t>MITJANA</t>
        </is>
      </c>
      <c r="J149" s="11" t="inlineStr">
        <is>
          <t>Patrimoni</t>
        </is>
      </c>
      <c r="K149" s="11" t="inlineStr">
        <is>
          <t>Eli</t>
        </is>
      </c>
      <c r="L149" s="11" t="inlineStr">
        <is>
          <t>MILLORAR EL CONEIXEMENT DE L'ENTORN, del patrimoni natural, cultural i social.</t>
        </is>
      </c>
      <c r="M149" s="11" t="inlineStr">
        <is>
          <t>Incrementar el coneixement de qualitat mitjançant l’establiment de marcs de col·laboració, assessorament i suport amb centres de recerca, museus i entitats naturalistes per al desenvolupament de part de la seva activitat en l’ENP</t>
        </is>
      </c>
      <c r="N149" s="11" t="inlineStr">
        <is>
          <t>Comú</t>
        </is>
      </c>
      <c r="O149" s="11" t="inlineStr">
        <is>
          <t>Obligatori</t>
        </is>
      </c>
      <c r="P149" s="11" t="inlineStr">
        <is>
          <t>No</t>
        </is>
      </c>
      <c r="Q149" s="11" t="inlineStr">
        <is>
          <t>06.3.4 · Realització de reunions de participació dels grups de treball del SINATCAT — Número reunions realitzades</t>
        </is>
      </c>
    </row>
    <row r="150">
      <c r="A150" s="11" t="inlineStr">
        <is>
          <t>3. Coneixement</t>
        </is>
      </c>
      <c r="B150" s="11" t="inlineStr">
        <is>
          <t>06.4.1</t>
        </is>
      </c>
      <c r="C150" s="11" t="inlineStr">
        <is>
          <t>Crear sinèrgies i col·laborar amb museus i equipaments de referència per definir línies d'actuació conjunta entre patrimoni cultural i natural</t>
        </is>
      </c>
      <c r="D150" s="11" t="inlineStr">
        <is>
          <t>Crear sinèrgies i col·laborar amb museus i equipaments de referència per definir línies d'actuació conjunta entre patrimoni cultural i natural</t>
        </is>
      </c>
      <c r="E150" s="11" t="inlineStr">
        <is>
          <t>Realitzar accions conjuntes de col·laboració en l’àmbit cultural amb l'Ecomuseu de les Valls d'Àneu i el Centre d'Art i Natura de Farrera o altres entitats o iniciatives d'impuls del coneixement cultural o social</t>
        </is>
      </c>
      <c r="F150" s="11" t="inlineStr">
        <is>
          <t>Número d'accions realitzades conjuntament</t>
        </is>
      </c>
      <c r="G150" s="11" t="n">
        <v>8</v>
      </c>
      <c r="H150" s="11" t="n">
        <v>20</v>
      </c>
      <c r="I150" s="11" t="inlineStr">
        <is>
          <t>MITJANA</t>
        </is>
      </c>
      <c r="J150" s="11" t="inlineStr">
        <is>
          <t>Direcció</t>
        </is>
      </c>
      <c r="K150" s="11" t="inlineStr">
        <is>
          <t>Marc</t>
        </is>
      </c>
      <c r="L150" s="11" t="inlineStr">
        <is>
          <t>MILLORAR EL CONEIXEMENT DE L'ENTORN, del patrimoni natural, cultural i social.</t>
        </is>
      </c>
      <c r="M150" s="11" t="inlineStr">
        <is>
          <t>Incrementar el coneixement de qualitat mitjançant l’establiment de marcs de col·laboració, assessorament i suport amb centres de recerca, museus i entitats naturalistes per al desenvolupament de part de la seva activitat en l’ENP</t>
        </is>
      </c>
      <c r="N150" s="11" t="inlineStr">
        <is>
          <t>Comú</t>
        </is>
      </c>
      <c r="O150" s="11" t="inlineStr">
        <is>
          <t>Optatiu</t>
        </is>
      </c>
      <c r="P150" s="11" t="inlineStr">
        <is>
          <t>Si</t>
        </is>
      </c>
      <c r="Q150" s="11" t="inlineStr">
        <is>
          <t>06.4.1 · Realitzar accions conjuntes de col·laboració en l’àmbit cultural amb l'Ecomuseu de les Valls d'Àneu i el Centre d'Art i Natura de Farrera o altres ent — Número d'accions realitzades conjuntament</t>
        </is>
      </c>
    </row>
    <row r="151">
      <c r="A151" s="11" t="inlineStr">
        <is>
          <t>3. Coneixement</t>
        </is>
      </c>
      <c r="B151" s="11" t="inlineStr">
        <is>
          <t>06.4.1</t>
        </is>
      </c>
      <c r="C151" s="11" t="inlineStr">
        <is>
          <t>Crear sinèrgies i col·laborar amb museus i equipaments de referència per definir línies d'actuació conjunta entre patrimoni cultural i natural</t>
        </is>
      </c>
      <c r="D151" s="11" t="inlineStr">
        <is>
          <t>Crear sinèrgies i col·laborar amb museus i equipaments de referència per definir línies d'actuació conjunta entre patrimoni cultural i natural</t>
        </is>
      </c>
      <c r="E151" s="11" t="inlineStr">
        <is>
          <t>Realitzar accions conjuntes de col·laboració en l'àmbit natural amb museus de ciències naturals (Granollers,..), la Casa de l’Ós Bru dels Pirineus, MonNatura Pirineus i altres equipaments de referènca</t>
        </is>
      </c>
      <c r="F151" s="11" t="inlineStr">
        <is>
          <t>Número d'accions realitzades conjuntament</t>
        </is>
      </c>
      <c r="G151" s="11" t="n">
        <v>4</v>
      </c>
      <c r="H151" s="11" t="n">
        <v>10</v>
      </c>
      <c r="I151" s="11" t="inlineStr">
        <is>
          <t>MITJANA</t>
        </is>
      </c>
      <c r="J151" s="11" t="inlineStr">
        <is>
          <t>Observatori</t>
        </is>
      </c>
      <c r="K151" s="11" t="inlineStr">
        <is>
          <t>Oriol</t>
        </is>
      </c>
      <c r="L151" s="11" t="inlineStr">
        <is>
          <t>MILLORAR EL CONEIXEMENT DE L'ENTORN, del patrimoni natural, cultural i social.</t>
        </is>
      </c>
      <c r="M151" s="11" t="inlineStr">
        <is>
          <t>Incrementar el coneixement de qualitat mitjançant l’establiment de marcs de col·laboració, assessorament i suport amb centres de recerca, museus i entitats naturalistes per al desenvolupament de part de la seva activitat en l’ENP</t>
        </is>
      </c>
      <c r="N151" s="11" t="inlineStr">
        <is>
          <t>Comú</t>
        </is>
      </c>
      <c r="O151" s="11" t="inlineStr">
        <is>
          <t>Optatiu</t>
        </is>
      </c>
      <c r="P151" s="11" t="inlineStr">
        <is>
          <t>Si</t>
        </is>
      </c>
      <c r="Q151" s="11" t="inlineStr">
        <is>
          <t>06.4.1 · Realitzar accions conjuntes de col·laboració en l'àmbit natural amb museus de ciències naturals (Granollers,..), la Casa de l’Ós Bru dels Pirineus, Mo — Número d'accions realitzades conjuntament</t>
        </is>
      </c>
    </row>
    <row r="152">
      <c r="A152" s="11" t="inlineStr">
        <is>
          <t>3. Coneixement</t>
        </is>
      </c>
      <c r="B152" s="11" t="inlineStr">
        <is>
          <t>06.4.2</t>
        </is>
      </c>
      <c r="C152" s="11" t="inlineStr">
        <is>
          <t>Establir acords amb les institucions de recerca i naturalistes per al desenvolupament d'estudis i inventaris dins l'ENP en el marc de les seves línies de recerca</t>
        </is>
      </c>
      <c r="D152" s="11" t="inlineStr">
        <is>
          <t>Establir acords amb les institucions de recerca i naturalistes per al desenvolupament d'estudis i inventaris dins l'ENP en el marc de les seves línies de recerca</t>
        </is>
      </c>
      <c r="E152" s="11" t="inlineStr">
        <is>
          <t>Continuar impulsant les beques Salvador Grau i Tort de suport a la recerca al Parc</t>
        </is>
      </c>
      <c r="F152" s="11" t="inlineStr">
        <is>
          <t>Número de beques de recerca impulsades</t>
        </is>
      </c>
      <c r="G152" s="11" t="n">
        <v>10</v>
      </c>
      <c r="H152" s="11" t="n">
        <v>25</v>
      </c>
      <c r="I152" s="11" t="inlineStr">
        <is>
          <t>MITJANA</t>
        </is>
      </c>
      <c r="J152" s="11" t="inlineStr">
        <is>
          <t>Observatori</t>
        </is>
      </c>
      <c r="K152" s="11" t="inlineStr">
        <is>
          <t>Oriol</t>
        </is>
      </c>
      <c r="L152" s="11" t="inlineStr">
        <is>
          <t>MILLORAR EL CONEIXEMENT DE L'ENTORN, del patrimoni natural, cultural i social.</t>
        </is>
      </c>
      <c r="M152" s="11" t="inlineStr">
        <is>
          <t>Incrementar el coneixement de qualitat mitjançant l’establiment de marcs de col·laboració, assessorament i suport amb centres de recerca, museus i entitats naturalistes per al desenvolupament de part de la seva activitat en l’ENP</t>
        </is>
      </c>
      <c r="N152" s="11" t="inlineStr">
        <is>
          <t>Comú</t>
        </is>
      </c>
      <c r="O152" s="11" t="inlineStr">
        <is>
          <t>Optatiu</t>
        </is>
      </c>
      <c r="P152" s="11" t="inlineStr">
        <is>
          <t>Si</t>
        </is>
      </c>
      <c r="Q152" s="11" t="inlineStr">
        <is>
          <t>06.4.2 · Continuar impulsant les beques Salvador Grau i Tort de suport a la recerca al Parc — Número de beques de recerca impulsades</t>
        </is>
      </c>
    </row>
    <row r="153">
      <c r="A153" s="11" t="inlineStr">
        <is>
          <t>3. Coneixement</t>
        </is>
      </c>
      <c r="B153" s="11" t="inlineStr">
        <is>
          <t>06.4.2</t>
        </is>
      </c>
      <c r="C153" s="11" t="inlineStr">
        <is>
          <t>Establir acords amb les institucions de recerca i naturalistes per al desenvolupament d'estudis i inventaris dins l'ENP en el marc de les seves línies de recerca</t>
        </is>
      </c>
      <c r="D153" s="11" t="inlineStr">
        <is>
          <t>Establir acords amb les institucions de recerca i naturalistes per al desenvolupament d'estudis i inventaris dins l'ENP en el marc de les seves línies de recerca</t>
        </is>
      </c>
      <c r="E153" s="11" t="inlineStr">
        <is>
          <t>Acollida d'estudiants en pràctiques de suport a l'equip gestor o a grups de recerca al Parc a través de convenis amb universitats o entitats acadèmiques I Fomentant la participació de joves estudiants en projectes innovadors al parc</t>
        </is>
      </c>
      <c r="F153" s="11" t="inlineStr">
        <is>
          <t>Número d’estudiants en pràctiques</t>
        </is>
      </c>
      <c r="G153" s="11" t="n">
        <v>4</v>
      </c>
      <c r="H153" s="11" t="n">
        <v>16</v>
      </c>
      <c r="I153" s="11" t="inlineStr">
        <is>
          <t>MITJANA</t>
        </is>
      </c>
      <c r="J153" s="11" t="inlineStr"/>
      <c r="K153" s="11" t="inlineStr"/>
      <c r="L153" s="11" t="inlineStr">
        <is>
          <t>MILLORAR EL CONEIXEMENT DE L'ENTORN, del patrimoni natural, cultural i social.</t>
        </is>
      </c>
      <c r="M153" s="11" t="inlineStr">
        <is>
          <t>Incrementar el coneixement de qualitat mitjançant l’establiment de marcs de col·laboració, assessorament i suport amb centres de recerca, museus i entitats naturalistes per al desenvolupament de part de la seva activitat en l’ENP</t>
        </is>
      </c>
      <c r="N153" s="11" t="inlineStr">
        <is>
          <t>Comú</t>
        </is>
      </c>
      <c r="O153" s="11" t="inlineStr">
        <is>
          <t>Optatiu</t>
        </is>
      </c>
      <c r="P153" s="11" t="inlineStr">
        <is>
          <t>Si</t>
        </is>
      </c>
      <c r="Q153" s="11" t="inlineStr">
        <is>
          <t>06.4.2 · Acollida d'estudiants en pràctiques de suport a l'equip gestor o a grups de recerca al Parc a través de convenis amb universitats o entitats acadèmiqu — Número d’estudiants en pràctiques</t>
        </is>
      </c>
    </row>
    <row r="154">
      <c r="A154" s="11" t="inlineStr">
        <is>
          <t>3. Coneixement</t>
        </is>
      </c>
      <c r="B154" s="11" t="inlineStr">
        <is>
          <t>06.4.2</t>
        </is>
      </c>
      <c r="C154" s="11" t="inlineStr">
        <is>
          <t>Establir acords amb les institucions de recerca i naturalistes per al desenvolupament d'estudis i inventaris dins l'ENP en el marc de les seves línies de recerca</t>
        </is>
      </c>
      <c r="D154" s="11" t="inlineStr">
        <is>
          <t>Establir acords amb les institucions de recerca i naturalistes per al desenvolupament d'estudis i inventaris dins l'ENP en el marc de les seves línies de recerca</t>
        </is>
      </c>
      <c r="E154" s="11" t="inlineStr">
        <is>
          <t>Crear programes que connectin el PNAP amb universitats i centres educatius, aprofitant els recursos del CAN i altres equipaments de referència com a pont per al desenvolupament de tallers, recerques i activitats formatives</t>
        </is>
      </c>
      <c r="F154" s="11" t="inlineStr">
        <is>
          <t>Número de programes creats</t>
        </is>
      </c>
      <c r="G154" s="11" t="n">
        <v>1</v>
      </c>
      <c r="H154" s="11" t="n">
        <v>5</v>
      </c>
      <c r="I154" s="11" t="inlineStr">
        <is>
          <t>BAIXA</t>
        </is>
      </c>
      <c r="J154" s="11" t="inlineStr"/>
      <c r="K154" s="11" t="inlineStr"/>
      <c r="L154" s="11" t="inlineStr">
        <is>
          <t>MILLORAR EL CONEIXEMENT DE L'ENTORN, del patrimoni natural, cultural i social.</t>
        </is>
      </c>
      <c r="M154" s="11" t="inlineStr">
        <is>
          <t>Incrementar el coneixement de qualitat mitjançant l’establiment de marcs de col·laboració, assessorament i suport amb centres de recerca, museus i entitats naturalistes per al desenvolupament de part de la seva activitat en l’ENP</t>
        </is>
      </c>
      <c r="N154" s="11" t="inlineStr">
        <is>
          <t>Comú</t>
        </is>
      </c>
      <c r="O154" s="11" t="inlineStr">
        <is>
          <t>Optatiu</t>
        </is>
      </c>
      <c r="P154" s="11" t="inlineStr">
        <is>
          <t>Si</t>
        </is>
      </c>
      <c r="Q154" s="11" t="inlineStr">
        <is>
          <t>06.4.2 · Crear programes que connectin el PNAP amb universitats i centres educatius, aprofitant els recursos del CAN i altres equipaments de referència com a p — Número de programes creats</t>
        </is>
      </c>
    </row>
    <row r="155">
      <c r="A155" s="11" t="inlineStr">
        <is>
          <t>3. Coneixement</t>
        </is>
      </c>
      <c r="B155" s="11" t="inlineStr">
        <is>
          <t>06.4.2</t>
        </is>
      </c>
      <c r="C155" s="11" t="inlineStr">
        <is>
          <t>Establir acords amb les institucions de recerca i naturalistes per al desenvolupament d'estudis i inventaris dins l'ENP en el marc de les seves línies de recerca</t>
        </is>
      </c>
      <c r="D155" s="11" t="inlineStr">
        <is>
          <t>Establir acords amb les institucions de recerca i naturalistes per al desenvolupament d'estudis i inventaris dins l'ENP en el marc de les seves línies de recerca</t>
        </is>
      </c>
      <c r="E155" s="11" t="inlineStr">
        <is>
          <t>Crear grup de treball des de la comissió científica per abordar aquest tema</t>
        </is>
      </c>
      <c r="F155" s="11" t="inlineStr">
        <is>
          <t>Creació del grup de treball</t>
        </is>
      </c>
      <c r="G155" s="11" t="inlineStr">
        <is>
          <t>no</t>
        </is>
      </c>
      <c r="H155" s="11" t="inlineStr">
        <is>
          <t>si</t>
        </is>
      </c>
      <c r="I155" s="11" t="inlineStr">
        <is>
          <t>MITJANA</t>
        </is>
      </c>
      <c r="J155" s="11" t="inlineStr">
        <is>
          <t>Observatori</t>
        </is>
      </c>
      <c r="K155" s="11" t="inlineStr">
        <is>
          <t>Oriol</t>
        </is>
      </c>
      <c r="L155" s="11" t="inlineStr">
        <is>
          <t>MILLORAR EL CONEIXEMENT DE L'ENTORN, del patrimoni natural, cultural i social.</t>
        </is>
      </c>
      <c r="M155" s="11" t="inlineStr">
        <is>
          <t>Incrementar el coneixement de qualitat mitjançant l’establiment de marcs de col·laboració, assessorament i suport amb centres de recerca, museus i entitats naturalistes per al desenvolupament de part de la seva activitat en l’ENP</t>
        </is>
      </c>
      <c r="N155" s="11" t="inlineStr">
        <is>
          <t>Comú</t>
        </is>
      </c>
      <c r="O155" s="11" t="inlineStr">
        <is>
          <t>Optatiu</t>
        </is>
      </c>
      <c r="P155" s="11" t="inlineStr">
        <is>
          <t>Si</t>
        </is>
      </c>
      <c r="Q155" s="11" t="inlineStr">
        <is>
          <t>06.4.2 · Crear grup de treball des de la comissió científica per abordar aquest tema — Creació del grup de treball</t>
        </is>
      </c>
    </row>
    <row r="156">
      <c r="A156" s="11" t="inlineStr">
        <is>
          <t>3. Coneixement</t>
        </is>
      </c>
      <c r="B156" s="11" t="inlineStr">
        <is>
          <t>06.4.2</t>
        </is>
      </c>
      <c r="C156" s="11" t="inlineStr">
        <is>
          <t>Establir acords amb les institucions de recerca i naturalistes per al desenvolupament d'estudis i inventaris dins l'ENP en el marc de les seves línies de recerca</t>
        </is>
      </c>
      <c r="D156" s="11" t="inlineStr">
        <is>
          <t>Establir acords amb les institucions de recerca i naturalistes per al desenvolupament d'estudis i inventaris dins l'ENP en el marc de les seves línies de recerca</t>
        </is>
      </c>
      <c r="E156" s="11" t="inlineStr">
        <is>
          <t>Participació en redacció de projectes de recerca i sessions de treball conjunt amb la comissió científica o altres membres del món acadèmic i científic per promoure la investigació al Parc</t>
        </is>
      </c>
      <c r="F156" s="11" t="inlineStr">
        <is>
          <t>Projectes redactats</t>
        </is>
      </c>
      <c r="G156" s="11" t="n">
        <v>1</v>
      </c>
      <c r="H156" s="11" t="n">
        <v>5</v>
      </c>
      <c r="I156" s="11" t="inlineStr">
        <is>
          <t>MITJANA</t>
        </is>
      </c>
      <c r="J156" s="11" t="inlineStr">
        <is>
          <t>Observatori</t>
        </is>
      </c>
      <c r="K156" s="11" t="inlineStr">
        <is>
          <t>Oriol</t>
        </is>
      </c>
      <c r="L156" s="11" t="inlineStr">
        <is>
          <t>MILLORAR EL CONEIXEMENT DE L'ENTORN, del patrimoni natural, cultural i social.</t>
        </is>
      </c>
      <c r="M156" s="11" t="inlineStr">
        <is>
          <t>Incrementar el coneixement de qualitat mitjançant l’establiment de marcs de col·laboració, assessorament i suport amb centres de recerca, museus i entitats naturalistes per al desenvolupament de part de la seva activitat en l’ENP</t>
        </is>
      </c>
      <c r="N156" s="11" t="inlineStr">
        <is>
          <t>Comú</t>
        </is>
      </c>
      <c r="O156" s="11" t="inlineStr">
        <is>
          <t>Optatiu</t>
        </is>
      </c>
      <c r="P156" s="11" t="inlineStr">
        <is>
          <t>Si</t>
        </is>
      </c>
      <c r="Q156" s="11" t="inlineStr">
        <is>
          <t>06.4.2 · Participació en redacció de projectes de recerca i sessions de treball conjunt amb la comissió científica o altres membres del món acadèmic i científi — Projectes redactats</t>
        </is>
      </c>
    </row>
    <row r="157">
      <c r="A157" s="11" t="inlineStr">
        <is>
          <t>3. Coneixement</t>
        </is>
      </c>
      <c r="B157" s="11" t="inlineStr">
        <is>
          <t>06.4.3</t>
        </is>
      </c>
      <c r="C157" s="11" t="inlineStr">
        <is>
          <t>Potenciar la ciència ciutadana en l’ENP com a eina per generar coneixement</t>
        </is>
      </c>
      <c r="D157" s="11" t="inlineStr">
        <is>
          <t>Potenciar la ciència ciutadana en l’ENP com a eina per generar coneixement</t>
        </is>
      </c>
      <c r="E157" s="11" t="inlineStr">
        <is>
          <t>Promoció de projectes de ciència ciutadana existents com Fenocat</t>
        </is>
      </c>
      <c r="F157" s="11" t="inlineStr">
        <is>
          <t>Projectes de ciència ciutadana promocionats</t>
        </is>
      </c>
      <c r="G157" s="11" t="n">
        <v>1</v>
      </c>
      <c r="H157" s="11" t="n">
        <v>6</v>
      </c>
      <c r="I157" s="11" t="inlineStr">
        <is>
          <t>MITJANA</t>
        </is>
      </c>
      <c r="J157" s="11" t="inlineStr">
        <is>
          <t>Observatori</t>
        </is>
      </c>
      <c r="K157" s="11" t="inlineStr">
        <is>
          <t>Oriol</t>
        </is>
      </c>
      <c r="L157" s="11" t="inlineStr">
        <is>
          <t>MILLORAR EL CONEIXEMENT DE L'ENTORN, del patrimoni natural, cultural i social.</t>
        </is>
      </c>
      <c r="M157" s="11" t="inlineStr">
        <is>
          <t>Incrementar el coneixement de qualitat mitjançant l’establiment de marcs de col·laboració, assessorament i suport amb centres de recerca, museus i entitats naturalistes per al desenvolupament de part de la seva activitat en l’ENP</t>
        </is>
      </c>
      <c r="N157" s="11" t="inlineStr">
        <is>
          <t>Comú</t>
        </is>
      </c>
      <c r="O157" s="11" t="inlineStr">
        <is>
          <t>Optatiu</t>
        </is>
      </c>
      <c r="P157" s="11" t="inlineStr">
        <is>
          <t>Si</t>
        </is>
      </c>
      <c r="Q157" s="11" t="inlineStr">
        <is>
          <t>06.4.3 · Promoció de projectes de ciència ciutadana existents com Fenocat — Projectes de ciència ciutadana promocionats</t>
        </is>
      </c>
    </row>
    <row r="158">
      <c r="A158" s="11" t="inlineStr">
        <is>
          <t>3. Coneixement</t>
        </is>
      </c>
      <c r="B158" s="11" t="inlineStr">
        <is>
          <t>06.4.4</t>
        </is>
      </c>
      <c r="C158" s="11" t="inlineStr">
        <is>
          <t>Crear i desenvolupar jornades de recerca de l'ENP de forma anual on els diferents centres mostrin els estudis realizats en l'ENP</t>
        </is>
      </c>
      <c r="D158" s="11" t="inlineStr">
        <is>
          <t>Crear i desenvolupar jornades de recerca de l'ENP de forma anual on els diferents centres mostrin els estudis realizats en l'ENP</t>
        </is>
      </c>
      <c r="E158" s="11" t="inlineStr">
        <is>
          <t>Desenvolupar la IV Jornades de Recerca del Parc (2026)</t>
        </is>
      </c>
      <c r="F158" s="11" t="inlineStr">
        <is>
          <t>Realització de les jornades</t>
        </is>
      </c>
      <c r="G158" s="11" t="inlineStr">
        <is>
          <t>no</t>
        </is>
      </c>
      <c r="H158" s="11" t="inlineStr">
        <is>
          <t>si</t>
        </is>
      </c>
      <c r="I158" s="11" t="inlineStr">
        <is>
          <t>MITJANA</t>
        </is>
      </c>
      <c r="J158" s="11" t="inlineStr">
        <is>
          <t>Observatori</t>
        </is>
      </c>
      <c r="K158" s="11" t="inlineStr">
        <is>
          <t>Oriol</t>
        </is>
      </c>
      <c r="L158" s="11" t="inlineStr">
        <is>
          <t>MILLORAR EL CONEIXEMENT DE L'ENTORN, del patrimoni natural, cultural i social.</t>
        </is>
      </c>
      <c r="M158" s="11" t="inlineStr">
        <is>
          <t>Incrementar el coneixement de qualitat mitjançant l’establiment de marcs de col·laboració, assessorament i suport amb centres de recerca, museus i entitats naturalistes per al desenvolupament de part de la seva activitat en l’ENP</t>
        </is>
      </c>
      <c r="N158" s="11" t="inlineStr">
        <is>
          <t>Comú</t>
        </is>
      </c>
      <c r="O158" s="11" t="inlineStr">
        <is>
          <t>Optatiu</t>
        </is>
      </c>
      <c r="P158" s="11" t="inlineStr">
        <is>
          <t>Si</t>
        </is>
      </c>
      <c r="Q158" s="11" t="inlineStr">
        <is>
          <t>06.4.4 · Desenvolupar la IV Jornades de Recerca del Parc (2026) — Realització de les jornades</t>
        </is>
      </c>
    </row>
    <row r="159">
      <c r="A159" s="11" t="inlineStr">
        <is>
          <t>3. Coneixement</t>
        </is>
      </c>
      <c r="B159" s="11" t="inlineStr">
        <is>
          <t>06.4.4</t>
        </is>
      </c>
      <c r="C159" s="11" t="inlineStr">
        <is>
          <t>Crear i desenvolupar jornades de recerca de l'ENP de forma anual on els diferents centres mostrin els estudis realizats en l'ENP</t>
        </is>
      </c>
      <c r="D159" s="11" t="inlineStr">
        <is>
          <t>Crear i desenvolupar jornades de recerca de l'ENP de forma anual on els diferents centres mostrin els estudis realizats en l'ENP</t>
        </is>
      </c>
      <c r="E159" s="11" t="inlineStr">
        <is>
          <t>Realització anual del Cicle de Xerrades de Ciència (els anys que no hi ha jornades de recerca)</t>
        </is>
      </c>
      <c r="F159" s="11" t="inlineStr">
        <is>
          <t>Número de xerrades de ciència realitzades</t>
        </is>
      </c>
      <c r="G159" s="11" t="n">
        <v>15</v>
      </c>
      <c r="H159" s="11" t="n">
        <v>30</v>
      </c>
      <c r="I159" s="11" t="inlineStr">
        <is>
          <t>MITJANA</t>
        </is>
      </c>
      <c r="J159" s="11" t="inlineStr">
        <is>
          <t>Observatori</t>
        </is>
      </c>
      <c r="K159" s="11" t="inlineStr">
        <is>
          <t>Oriol</t>
        </is>
      </c>
      <c r="L159" s="11" t="inlineStr">
        <is>
          <t>MILLORAR EL CONEIXEMENT DE L'ENTORN, del patrimoni natural, cultural i social.</t>
        </is>
      </c>
      <c r="M159" s="11" t="inlineStr">
        <is>
          <t>Incrementar el coneixement de qualitat mitjançant l’establiment de marcs de col·laboració, assessorament i suport amb centres de recerca, museus i entitats naturalistes per al desenvolupament de part de la seva activitat en l’ENP</t>
        </is>
      </c>
      <c r="N159" s="11" t="inlineStr">
        <is>
          <t>Comú</t>
        </is>
      </c>
      <c r="O159" s="11" t="inlineStr">
        <is>
          <t>Optatiu</t>
        </is>
      </c>
      <c r="P159" s="11" t="inlineStr">
        <is>
          <t>Si</t>
        </is>
      </c>
      <c r="Q159" s="11" t="inlineStr">
        <is>
          <t>06.4.4 · Realització anual del Cicle de Xerrades de Ciència (els anys que no hi ha jornades de recerca) — Número de xerrades de ciència realitzades</t>
        </is>
      </c>
    </row>
    <row r="160">
      <c r="A160" s="11" t="inlineStr">
        <is>
          <t>3. Coneixement</t>
        </is>
      </c>
      <c r="B160" s="11" t="inlineStr">
        <is>
          <t>06.4.5</t>
        </is>
      </c>
      <c r="C160" s="11" t="inlineStr">
        <is>
          <t>Posar a disposició de la recerca, equipaments i serveis de l'ENP</t>
        </is>
      </c>
      <c r="D160" s="11" t="inlineStr">
        <is>
          <t>Posar a disposició de la recerca, equipaments i serveis de l'ENP</t>
        </is>
      </c>
      <c r="E160" s="11" t="inlineStr">
        <is>
          <t>Rehabilitar Casa Bringué de Ginestarre com espai d'allotjament de suport a la recerca</t>
        </is>
      </c>
      <c r="F160" s="11" t="inlineStr">
        <is>
          <t>Rehabilitació efectuada</t>
        </is>
      </c>
      <c r="G160" s="11" t="inlineStr">
        <is>
          <t>no</t>
        </is>
      </c>
      <c r="H160" s="11" t="inlineStr">
        <is>
          <t>si</t>
        </is>
      </c>
      <c r="I160" s="11" t="inlineStr">
        <is>
          <t>MÀXIMA</t>
        </is>
      </c>
      <c r="J160" s="11" t="inlineStr">
        <is>
          <t>Direcció</t>
        </is>
      </c>
      <c r="K160" s="11" t="inlineStr">
        <is>
          <t>Marc</t>
        </is>
      </c>
      <c r="L160" s="11" t="inlineStr">
        <is>
          <t>MILLORAR EL CONEIXEMENT DE L'ENTORN, del patrimoni natural, cultural i social.</t>
        </is>
      </c>
      <c r="M160" s="11" t="inlineStr">
        <is>
          <t>Incrementar el coneixement de qualitat mitjançant l’establiment de marcs de col·laboració, assessorament i suport amb centres de recerca, museus i entitats naturalistes per al desenvolupament de part de la seva activitat en l’ENP</t>
        </is>
      </c>
      <c r="N160" s="11" t="inlineStr">
        <is>
          <t>Comú</t>
        </is>
      </c>
      <c r="O160" s="11" t="inlineStr">
        <is>
          <t>Optatiu</t>
        </is>
      </c>
      <c r="P160" s="11" t="inlineStr">
        <is>
          <t>Si</t>
        </is>
      </c>
      <c r="Q160" s="11" t="inlineStr">
        <is>
          <t>06.4.5 · Rehabilitar Casa Bringué de Ginestarre com espai d'allotjament de suport a la recerca — Rehabilitació efectuada</t>
        </is>
      </c>
    </row>
    <row r="161">
      <c r="A161" s="11" t="inlineStr">
        <is>
          <t>3. Coneixement</t>
        </is>
      </c>
      <c r="B161" s="11" t="inlineStr">
        <is>
          <t>06.4.5</t>
        </is>
      </c>
      <c r="C161" s="11" t="inlineStr">
        <is>
          <t>Posar a disposició de la recerca, equipaments i serveis de l'ENP</t>
        </is>
      </c>
      <c r="D161" s="11" t="inlineStr">
        <is>
          <t>Posar a disposició de la recerca, equipaments i serveis de l'ENP</t>
        </is>
      </c>
      <c r="E161" s="11" t="inlineStr">
        <is>
          <t>Rehabilitar Casa Forestal de Pallerols com a espai d'allotjament i laboratori de camp</t>
        </is>
      </c>
      <c r="F161" s="11" t="inlineStr">
        <is>
          <t>Rehabilitació efectuada</t>
        </is>
      </c>
      <c r="G161" s="11" t="inlineStr">
        <is>
          <t>no</t>
        </is>
      </c>
      <c r="H161" s="11" t="inlineStr">
        <is>
          <t>si</t>
        </is>
      </c>
      <c r="I161" s="11" t="inlineStr">
        <is>
          <t>ALTA</t>
        </is>
      </c>
      <c r="J161" s="11" t="inlineStr">
        <is>
          <t>Direcció</t>
        </is>
      </c>
      <c r="K161" s="11" t="inlineStr">
        <is>
          <t>Marc</t>
        </is>
      </c>
      <c r="L161" s="11" t="inlineStr">
        <is>
          <t>MILLORAR EL CONEIXEMENT DE L'ENTORN, del patrimoni natural, cultural i social.</t>
        </is>
      </c>
      <c r="M161" s="11" t="inlineStr">
        <is>
          <t>Incrementar el coneixement de qualitat mitjançant l’establiment de marcs de col·laboració, assessorament i suport amb centres de recerca, museus i entitats naturalistes per al desenvolupament de part de la seva activitat en l’ENP</t>
        </is>
      </c>
      <c r="N161" s="11" t="inlineStr">
        <is>
          <t>Comú</t>
        </is>
      </c>
      <c r="O161" s="11" t="inlineStr">
        <is>
          <t>Optatiu</t>
        </is>
      </c>
      <c r="P161" s="11" t="inlineStr">
        <is>
          <t>Si</t>
        </is>
      </c>
      <c r="Q161" s="11" t="inlineStr">
        <is>
          <t>06.4.5 · Rehabilitar Casa Forestal de Pallerols com a espai d'allotjament i laboratori de camp — Rehabilitació efectuada</t>
        </is>
      </c>
    </row>
    <row r="162">
      <c r="A162" s="11" t="inlineStr">
        <is>
          <t>3. Coneixement</t>
        </is>
      </c>
      <c r="B162" s="11" t="inlineStr">
        <is>
          <t>06.4.5</t>
        </is>
      </c>
      <c r="C162" s="11" t="inlineStr">
        <is>
          <t>Posar a disposició de la recerca, equipaments i serveis de l'ENP</t>
        </is>
      </c>
      <c r="D162" s="11" t="inlineStr">
        <is>
          <t>Posar a disposició de la recerca, equipaments i serveis de l'ENP</t>
        </is>
      </c>
      <c r="E162" s="11" t="inlineStr">
        <is>
          <t>Promoure el Centre d'Art i Natura de Farrera com a centre estructural de gestió de suport a la recerca</t>
        </is>
      </c>
      <c r="F162" s="11" t="inlineStr">
        <is>
          <t>Número accions realitzades en aquest àmbit</t>
        </is>
      </c>
      <c r="G162" s="11" t="n">
        <v>1</v>
      </c>
      <c r="H162" s="11" t="n">
        <v>4</v>
      </c>
      <c r="I162" s="11" t="inlineStr">
        <is>
          <t>ALTA</t>
        </is>
      </c>
      <c r="J162" s="11" t="inlineStr">
        <is>
          <t>Observatori</t>
        </is>
      </c>
      <c r="K162" s="11" t="inlineStr">
        <is>
          <t>Oriol</t>
        </is>
      </c>
      <c r="L162" s="11" t="inlineStr">
        <is>
          <t>MILLORAR EL CONEIXEMENT DE L'ENTORN, del patrimoni natural, cultural i social.</t>
        </is>
      </c>
      <c r="M162" s="11" t="inlineStr">
        <is>
          <t>Incrementar el coneixement de qualitat mitjançant l’establiment de marcs de col·laboració, assessorament i suport amb centres de recerca, museus i entitats naturalistes per al desenvolupament de part de la seva activitat en l’ENP</t>
        </is>
      </c>
      <c r="N162" s="11" t="inlineStr">
        <is>
          <t>Comú</t>
        </is>
      </c>
      <c r="O162" s="11" t="inlineStr">
        <is>
          <t>Optatiu</t>
        </is>
      </c>
      <c r="P162" s="11" t="inlineStr">
        <is>
          <t>Si</t>
        </is>
      </c>
      <c r="Q162" s="11" t="inlineStr">
        <is>
          <t>06.4.5 · Promoure el Centre d'Art i Natura de Farrera com a centre estructural de gestió de suport a la recerca — Número accions realitzades en aquest àmbit</t>
        </is>
      </c>
    </row>
    <row r="163">
      <c r="A163" s="11" t="inlineStr">
        <is>
          <t>3. Coneixement</t>
        </is>
      </c>
      <c r="B163" s="11" t="inlineStr">
        <is>
          <t>06.4.5</t>
        </is>
      </c>
      <c r="C163" s="11" t="inlineStr">
        <is>
          <t>Posar a disposició de la recerca, equipaments i serveis de l'ENP</t>
        </is>
      </c>
      <c r="D163" s="11" t="inlineStr">
        <is>
          <t>Posar a disposició de la recerca, equipaments i serveis de l'ENP</t>
        </is>
      </c>
      <c r="E163" s="11" t="inlineStr">
        <is>
          <t>Establir un acord de col·laboració amb Mon Natura Pirineus Fundació la Pedrera) pel suport a la recerca al Parc</t>
        </is>
      </c>
      <c r="F163" s="11" t="inlineStr">
        <is>
          <t>Realització de l'acord</t>
        </is>
      </c>
      <c r="G163" s="11" t="inlineStr">
        <is>
          <t>no</t>
        </is>
      </c>
      <c r="H163" s="11" t="inlineStr">
        <is>
          <t>si</t>
        </is>
      </c>
      <c r="I163" s="11" t="inlineStr">
        <is>
          <t>MITJANA</t>
        </is>
      </c>
      <c r="J163" s="11" t="inlineStr">
        <is>
          <t>Observatori</t>
        </is>
      </c>
      <c r="K163" s="11" t="inlineStr">
        <is>
          <t>Oriol</t>
        </is>
      </c>
      <c r="L163" s="11" t="inlineStr">
        <is>
          <t>MILLORAR EL CONEIXEMENT DE L'ENTORN, del patrimoni natural, cultural i social.</t>
        </is>
      </c>
      <c r="M163" s="11" t="inlineStr">
        <is>
          <t>Incrementar el coneixement de qualitat mitjançant l’establiment de marcs de col·laboració, assessorament i suport amb centres de recerca, museus i entitats naturalistes per al desenvolupament de part de la seva activitat en l’ENP</t>
        </is>
      </c>
      <c r="N163" s="11" t="inlineStr">
        <is>
          <t>Comú</t>
        </is>
      </c>
      <c r="O163" s="11" t="inlineStr">
        <is>
          <t>Optatiu</t>
        </is>
      </c>
      <c r="P163" s="11" t="inlineStr">
        <is>
          <t>Si</t>
        </is>
      </c>
      <c r="Q163" s="11" t="inlineStr">
        <is>
          <t>06.4.5 · Establir un acord de col·laboració amb Mon Natura Pirineus Fundació la Pedrera) pel suport a la recerca al Parc — Realització de l'acord</t>
        </is>
      </c>
    </row>
    <row r="164">
      <c r="A164" s="11" t="inlineStr">
        <is>
          <t>3. Coneixement</t>
        </is>
      </c>
      <c r="B164" s="11" t="inlineStr">
        <is>
          <t>06.4.5</t>
        </is>
      </c>
      <c r="C164" s="11" t="inlineStr">
        <is>
          <t>Posar a disposició de la recerca, equipaments i serveis de l'ENP</t>
        </is>
      </c>
      <c r="D164" s="11" t="inlineStr">
        <is>
          <t>Posar a disposició de la recerca, equipaments i serveis de l'ENP</t>
        </is>
      </c>
      <c r="E164" s="11" t="inlineStr">
        <is>
          <t>Participar a la Xarxa Interact d'estacions de suport a la recerca polars i alpines de l'hemisferi nord</t>
        </is>
      </c>
      <c r="F164" s="11" t="inlineStr">
        <is>
          <t>Número d'accions realitzades</t>
        </is>
      </c>
      <c r="G164" s="11" t="n">
        <v>2</v>
      </c>
      <c r="H164" s="11" t="n">
        <v>10</v>
      </c>
      <c r="I164" s="11" t="inlineStr">
        <is>
          <t>MITJANA</t>
        </is>
      </c>
      <c r="J164" s="11" t="inlineStr">
        <is>
          <t>Observatori</t>
        </is>
      </c>
      <c r="K164" s="11" t="inlineStr">
        <is>
          <t>Oriol</t>
        </is>
      </c>
      <c r="L164" s="11" t="inlineStr">
        <is>
          <t>MILLORAR EL CONEIXEMENT DE L'ENTORN, del patrimoni natural, cultural i social.</t>
        </is>
      </c>
      <c r="M164" s="11" t="inlineStr">
        <is>
          <t>Incrementar el coneixement de qualitat mitjançant l’establiment de marcs de col·laboració, assessorament i suport amb centres de recerca, museus i entitats naturalistes per al desenvolupament de part de la seva activitat en l’ENP</t>
        </is>
      </c>
      <c r="N164" s="11" t="inlineStr">
        <is>
          <t>Comú</t>
        </is>
      </c>
      <c r="O164" s="11" t="inlineStr">
        <is>
          <t>Optatiu</t>
        </is>
      </c>
      <c r="P164" s="11" t="inlineStr">
        <is>
          <t>Si</t>
        </is>
      </c>
      <c r="Q164" s="11" t="inlineStr">
        <is>
          <t>06.4.5 · Participar a la Xarxa Interact d'estacions de suport a la recerca polars i alpines de l'hemisferi nord — Número d'accions realitzades</t>
        </is>
      </c>
    </row>
    <row r="165">
      <c r="A165" s="11" t="inlineStr">
        <is>
          <t>3. Coneixement</t>
        </is>
      </c>
      <c r="B165" s="11" t="inlineStr">
        <is>
          <t>06.4.6</t>
        </is>
      </c>
      <c r="C165" s="11" t="inlineStr">
        <is>
          <t>Crear l'Observatori de recerca de l'ENP vinculat a l'Observatori del Patrimoni natural i la biodiversitat</t>
        </is>
      </c>
      <c r="D165" s="11" t="inlineStr">
        <is>
          <t>Impulsar l'Observatori de recerca de l'ENP, vinculat a l'Observatori del Patrimoni natural i la biodiversitat, i la Comissió Científica del Parc</t>
        </is>
      </c>
      <c r="E165" s="11" t="inlineStr">
        <is>
          <t>Impuls a les funcions de l'Observatori de recerca de l'ENP en col·laboració amb la UIC i de la coordinació de la Comissió Científica</t>
        </is>
      </c>
      <c r="F165" s="11" t="inlineStr">
        <is>
          <t>Manteniment de l'Observatori i de la Comissió Científica</t>
        </is>
      </c>
      <c r="G165" s="11" t="inlineStr">
        <is>
          <t>no</t>
        </is>
      </c>
      <c r="H165" s="11" t="inlineStr">
        <is>
          <t>si</t>
        </is>
      </c>
      <c r="I165" s="11" t="inlineStr">
        <is>
          <t>ALTA</t>
        </is>
      </c>
      <c r="J165" s="11" t="inlineStr">
        <is>
          <t>Observatori</t>
        </is>
      </c>
      <c r="K165" s="11" t="inlineStr">
        <is>
          <t>Oriol</t>
        </is>
      </c>
      <c r="L165" s="11" t="inlineStr">
        <is>
          <t>MILLORAR EL CONEIXEMENT DE L'ENTORN, del patrimoni natural, cultural i social.</t>
        </is>
      </c>
      <c r="M165" s="11" t="inlineStr">
        <is>
          <t>Incrementar el coneixement de qualitat mitjançant l’establiment de marcs de col·laboració, assessorament i suport amb centres de recerca, museus i entitats naturalistes per al desenvolupament de part de la seva activitat en l’ENP</t>
        </is>
      </c>
      <c r="N165" s="11" t="inlineStr">
        <is>
          <t>Comú</t>
        </is>
      </c>
      <c r="O165" s="11" t="inlineStr">
        <is>
          <t>Optatiu</t>
        </is>
      </c>
      <c r="P165" s="11" t="inlineStr">
        <is>
          <t>Si</t>
        </is>
      </c>
      <c r="Q165" s="11" t="inlineStr">
        <is>
          <t>06.4.6 · Impuls a les funcions de l'Observatori de recerca de l'ENP en col·laboració amb la UIC i de la coordinació de la Comissió Científica — Manteniment de l'Observatori i de la Comissió Científica</t>
        </is>
      </c>
    </row>
    <row r="166">
      <c r="A166" s="11" t="inlineStr">
        <is>
          <t>3. Coneixement</t>
        </is>
      </c>
      <c r="B166" s="11" t="inlineStr">
        <is>
          <t>06.5.1</t>
        </is>
      </c>
      <c r="C166" s="11" t="inlineStr">
        <is>
          <t>Participar en la definició del sistema estàndard de seguiment de l'ús públic amb el SENP</t>
        </is>
      </c>
      <c r="D166" s="11" t="inlineStr">
        <is>
          <t>Participar en la definició del sistema estàndard de seguiment de l'ús públic amb el SENP</t>
        </is>
      </c>
      <c r="E166" s="11" t="inlineStr">
        <is>
          <t>Realització de reunions de participació per definir el sistema</t>
        </is>
      </c>
      <c r="F166" s="11" t="inlineStr">
        <is>
          <t>Número reunions realitzades</t>
        </is>
      </c>
      <c r="G166" s="11" t="n">
        <v>2</v>
      </c>
      <c r="H166" s="11" t="n">
        <v>8</v>
      </c>
      <c r="I166" s="11" t="inlineStr">
        <is>
          <t>MITJANA</t>
        </is>
      </c>
      <c r="J166" s="11" t="inlineStr">
        <is>
          <t>Us Public</t>
        </is>
      </c>
      <c r="K166" s="11" t="inlineStr">
        <is>
          <t>Moi</t>
        </is>
      </c>
      <c r="L166" s="11" t="inlineStr">
        <is>
          <t>MILLORAR EL CONEIXEMENT DE L'ENTORN, del patrimoni natural, cultural i social.</t>
        </is>
      </c>
      <c r="M166" s="11" t="inlineStr">
        <is>
          <t>Millorar el coneixement global de les dinàmiques d'usos antròpics de l’ENP</t>
        </is>
      </c>
      <c r="N166" s="11" t="inlineStr">
        <is>
          <t>Comú</t>
        </is>
      </c>
      <c r="O166" s="11" t="inlineStr">
        <is>
          <t>Obligatori</t>
        </is>
      </c>
      <c r="P166" s="11" t="inlineStr">
        <is>
          <t>No</t>
        </is>
      </c>
      <c r="Q166" s="11" t="inlineStr">
        <is>
          <t>06.5.1 · Realització de reunions de participació per definir el sistema — Número reunions realitzades</t>
        </is>
      </c>
    </row>
    <row r="167">
      <c r="A167" s="11" t="inlineStr">
        <is>
          <t>3. Coneixement</t>
        </is>
      </c>
      <c r="B167" s="11" t="inlineStr">
        <is>
          <t>06.5.2</t>
        </is>
      </c>
      <c r="C167" s="11" t="inlineStr">
        <is>
          <t>Disposar de dades de freqüentació i perfil d'usuari en l'ENP i en especial en equipaments i en zones d'alta freqüentació segons el model de DG</t>
        </is>
      </c>
      <c r="D167" s="11" t="inlineStr">
        <is>
          <t>Disposar de dades de freqüentació i perfil d'usuari en l'ENP i en especial en equipaments i en zones d'alta freqüentació segons el model de DG</t>
        </is>
      </c>
      <c r="E167" s="11" t="inlineStr">
        <is>
          <t>Implementació del sistema estandaritzat de presa de dades i seguiment de la freqüentació en ENP del SENP</t>
        </is>
      </c>
      <c r="F167" s="11" t="inlineStr">
        <is>
          <t>Implementació realitzada</t>
        </is>
      </c>
      <c r="G167" s="11" t="inlineStr">
        <is>
          <t>no</t>
        </is>
      </c>
      <c r="H167" s="11" t="inlineStr">
        <is>
          <t>si</t>
        </is>
      </c>
      <c r="I167" s="11" t="inlineStr">
        <is>
          <t>MÀXIMA</t>
        </is>
      </c>
      <c r="J167" s="11" t="inlineStr">
        <is>
          <t>Us Public</t>
        </is>
      </c>
      <c r="K167" s="11" t="inlineStr">
        <is>
          <t>Moi</t>
        </is>
      </c>
      <c r="L167" s="11" t="inlineStr">
        <is>
          <t>MILLORAR EL CONEIXEMENT DE L'ENTORN, del patrimoni natural, cultural i social.</t>
        </is>
      </c>
      <c r="M167" s="11" t="inlineStr">
        <is>
          <t>Millorar el coneixement global de les dinàmiques d'usos antròpics de l’ENP</t>
        </is>
      </c>
      <c r="N167" s="11" t="inlineStr">
        <is>
          <t>Comú</t>
        </is>
      </c>
      <c r="O167" s="11" t="inlineStr">
        <is>
          <t>Obligatori</t>
        </is>
      </c>
      <c r="P167" s="11" t="inlineStr">
        <is>
          <t>Si</t>
        </is>
      </c>
      <c r="Q167" s="11" t="inlineStr">
        <is>
          <t>06.5.2 · Implementació del sistema estandaritzat de presa de dades i seguiment de la freqüentació en ENP del SENP — Implementació realitzada</t>
        </is>
      </c>
    </row>
    <row r="168">
      <c r="A168" s="11" t="inlineStr">
        <is>
          <t>3. Coneixement</t>
        </is>
      </c>
      <c r="B168" s="11" t="inlineStr">
        <is>
          <t>06.5.2</t>
        </is>
      </c>
      <c r="C168" s="11" t="inlineStr">
        <is>
          <t>Disposar de dades de freqüentació i perfil d'usuari en l'ENP i en especial en equipaments i en zones d'alta freqüentació segons el model de DG</t>
        </is>
      </c>
      <c r="D168" s="11" t="inlineStr">
        <is>
          <t>Disposar de dades de freqüentació i perfil d'usuari en l'ENP i en especial en equipaments i en zones d'alta freqüentació segons el model de DG</t>
        </is>
      </c>
      <c r="E168" s="11" t="inlineStr">
        <is>
          <t>Mantenir, actualitzar i ampliar la xarxa d'ecocomptadors del Parc</t>
        </is>
      </c>
      <c r="F168" s="11" t="inlineStr">
        <is>
          <t>Número d'ecomptadors reparats, actualitzats o implementats</t>
        </is>
      </c>
      <c r="G168" s="11" t="n">
        <v>5</v>
      </c>
      <c r="H168" s="11" t="n">
        <v>15</v>
      </c>
      <c r="I168" s="11" t="inlineStr">
        <is>
          <t>MÀXIMA</t>
        </is>
      </c>
      <c r="J168" s="11" t="inlineStr">
        <is>
          <t>Us Public</t>
        </is>
      </c>
      <c r="K168" s="11" t="inlineStr">
        <is>
          <t>Moi</t>
        </is>
      </c>
      <c r="L168" s="11" t="inlineStr">
        <is>
          <t>MILLORAR EL CONEIXEMENT DE L'ENTORN, del patrimoni natural, cultural i social.</t>
        </is>
      </c>
      <c r="M168" s="11" t="inlineStr">
        <is>
          <t>Millorar el coneixement global de les dinàmiques d'usos antròpics de l’ENP</t>
        </is>
      </c>
      <c r="N168" s="11" t="inlineStr">
        <is>
          <t>Comú</t>
        </is>
      </c>
      <c r="O168" s="11" t="inlineStr">
        <is>
          <t>Obligatori</t>
        </is>
      </c>
      <c r="P168" s="11" t="inlineStr">
        <is>
          <t>Si</t>
        </is>
      </c>
      <c r="Q168" s="11" t="inlineStr">
        <is>
          <t>06.5.2 · Mantenir, actualitzar i ampliar la xarxa d'ecocomptadors del Parc — Número d'ecomptadors reparats, actualitzats o implementats</t>
        </is>
      </c>
    </row>
    <row r="169">
      <c r="A169" s="11" t="inlineStr">
        <is>
          <t>3. Coneixement</t>
        </is>
      </c>
      <c r="B169" s="11" t="inlineStr">
        <is>
          <t>06.5.2</t>
        </is>
      </c>
      <c r="C169" s="11" t="inlineStr">
        <is>
          <t>Disposar de dades de freqüentació i perfil d'usuari en l'ENP i en especial en equipaments i en zones d'alta freqüentació segons el model de DG</t>
        </is>
      </c>
      <c r="D169" s="11" t="inlineStr">
        <is>
          <t>Disposar de dades de freqüentació i perfil d'usuari en l'ENP i en especial en equipaments i en zones d'alta freqüentació segons el model de DG</t>
        </is>
      </c>
      <c r="E169" s="11" t="inlineStr">
        <is>
          <t>Revisió dels estudis de capacitat de càrrega turística de Bonabé i la Pica d'Estats</t>
        </is>
      </c>
      <c r="F169" s="11" t="inlineStr">
        <is>
          <t>Revisions efectuades</t>
        </is>
      </c>
      <c r="G169" s="11" t="inlineStr">
        <is>
          <t>no</t>
        </is>
      </c>
      <c r="H169" s="11" t="inlineStr">
        <is>
          <t>si</t>
        </is>
      </c>
      <c r="I169" s="11" t="inlineStr">
        <is>
          <t>MITJANA</t>
        </is>
      </c>
      <c r="J169" s="11" t="inlineStr">
        <is>
          <t>Us Public</t>
        </is>
      </c>
      <c r="K169" s="11" t="inlineStr">
        <is>
          <t>Moi</t>
        </is>
      </c>
      <c r="L169" s="11" t="inlineStr">
        <is>
          <t>MILLORAR EL CONEIXEMENT DE L'ENTORN, del patrimoni natural, cultural i social.</t>
        </is>
      </c>
      <c r="M169" s="11" t="inlineStr">
        <is>
          <t>Millorar el coneixement global de les dinàmiques d'usos antròpics de l’ENP</t>
        </is>
      </c>
      <c r="N169" s="11" t="inlineStr">
        <is>
          <t>Comú</t>
        </is>
      </c>
      <c r="O169" s="11" t="inlineStr">
        <is>
          <t>Obligatori</t>
        </is>
      </c>
      <c r="P169" s="11" t="inlineStr">
        <is>
          <t>Si</t>
        </is>
      </c>
      <c r="Q169" s="11" t="inlineStr">
        <is>
          <t>06.5.2 · Revisió dels estudis de capacitat de càrrega turística de Bonabé i la Pica d'Estats — Revisions efectuades</t>
        </is>
      </c>
    </row>
    <row r="170">
      <c r="A170" s="11" t="inlineStr">
        <is>
          <t>3. Coneixement</t>
        </is>
      </c>
      <c r="B170" s="11" t="inlineStr">
        <is>
          <t>06.5.2</t>
        </is>
      </c>
      <c r="C170" s="11" t="inlineStr">
        <is>
          <t>Disposar de dades de freqüentació i perfil d'usuari en l'ENP i en especial en equipaments i en zones d'alta freqüentació segons el model de DG</t>
        </is>
      </c>
      <c r="D170" s="11" t="inlineStr">
        <is>
          <t>Disposar de dades de freqüentació i perfil d'usuari en l'ENP i en especial en equipaments i en zones d'alta freqüentació segons el model de DG</t>
        </is>
      </c>
      <c r="E170" s="11" t="inlineStr">
        <is>
          <t>Realització d'un nou estudi de capacitat de càrrega turística de la capçalera de les Valls de Cardós</t>
        </is>
      </c>
      <c r="F170" s="11" t="inlineStr">
        <is>
          <t>Nou estudi realitzat</t>
        </is>
      </c>
      <c r="G170" s="11" t="inlineStr">
        <is>
          <t>no</t>
        </is>
      </c>
      <c r="H170" s="11" t="inlineStr">
        <is>
          <t>si</t>
        </is>
      </c>
      <c r="I170" s="11" t="inlineStr">
        <is>
          <t>BAIXA</t>
        </is>
      </c>
      <c r="J170" s="11" t="inlineStr">
        <is>
          <t>Us Public</t>
        </is>
      </c>
      <c r="K170" s="11" t="inlineStr">
        <is>
          <t>Moi</t>
        </is>
      </c>
      <c r="L170" s="11" t="inlineStr">
        <is>
          <t>MILLORAR EL CONEIXEMENT DE L'ENTORN, del patrimoni natural, cultural i social.</t>
        </is>
      </c>
      <c r="M170" s="11" t="inlineStr">
        <is>
          <t>Millorar el coneixement global de les dinàmiques d'usos antròpics de l’ENP</t>
        </is>
      </c>
      <c r="N170" s="11" t="inlineStr">
        <is>
          <t>Comú</t>
        </is>
      </c>
      <c r="O170" s="11" t="inlineStr">
        <is>
          <t>Obligatori</t>
        </is>
      </c>
      <c r="P170" s="11" t="inlineStr">
        <is>
          <t>Si</t>
        </is>
      </c>
      <c r="Q170" s="11" t="inlineStr">
        <is>
          <t>06.5.2 · Realització d'un nou estudi de capacitat de càrrega turística de la capçalera de les Valls de Cardós — Nou estudi realitzat</t>
        </is>
      </c>
    </row>
    <row r="171">
      <c r="A171" s="11" t="inlineStr">
        <is>
          <t>3. Coneixement</t>
        </is>
      </c>
      <c r="B171" s="11" t="inlineStr">
        <is>
          <t>06.5.3</t>
        </is>
      </c>
      <c r="C171" s="11" t="inlineStr">
        <is>
          <t>Identificar les activitats i actors de l’espai.</t>
        </is>
      </c>
      <c r="D171" s="11" t="inlineStr">
        <is>
          <t>Identificar les activitats i actors de l’espai.</t>
        </is>
      </c>
      <c r="E171" s="11" t="inlineStr">
        <is>
          <t>Realitzar un 3er estudi global de freqüentació turística del Parc</t>
        </is>
      </c>
      <c r="F171" s="11" t="inlineStr">
        <is>
          <t>Estudi realitzat</t>
        </is>
      </c>
      <c r="G171" s="11" t="inlineStr">
        <is>
          <t>no</t>
        </is>
      </c>
      <c r="H171" s="11" t="inlineStr">
        <is>
          <t>si</t>
        </is>
      </c>
      <c r="I171" s="11" t="inlineStr">
        <is>
          <t>ALTA</t>
        </is>
      </c>
      <c r="J171" s="11" t="inlineStr">
        <is>
          <t>Us Public</t>
        </is>
      </c>
      <c r="K171" s="11" t="inlineStr">
        <is>
          <t>Moi</t>
        </is>
      </c>
      <c r="L171" s="11" t="inlineStr">
        <is>
          <t>MILLORAR EL CONEIXEMENT DE L'ENTORN, del patrimoni natural, cultural i social.</t>
        </is>
      </c>
      <c r="M171" s="11" t="inlineStr">
        <is>
          <t>Millorar el coneixement global de les dinàmiques d'usos antròpics de l’ENP</t>
        </is>
      </c>
      <c r="N171" s="11" t="inlineStr">
        <is>
          <t>Comú</t>
        </is>
      </c>
      <c r="O171" s="11" t="inlineStr">
        <is>
          <t>Obligatori</t>
        </is>
      </c>
      <c r="P171" s="11" t="inlineStr">
        <is>
          <t>Si</t>
        </is>
      </c>
      <c r="Q171" s="11" t="inlineStr">
        <is>
          <t>06.5.3 · Realitzar un 3er estudi global de freqüentació turística del Parc — Estudi realitzat</t>
        </is>
      </c>
    </row>
    <row r="172">
      <c r="A172" s="11" t="inlineStr">
        <is>
          <t>3. Coneixement</t>
        </is>
      </c>
      <c r="B172" s="11" t="inlineStr">
        <is>
          <t>06.5.4</t>
        </is>
      </c>
      <c r="C172" s="11" t="inlineStr">
        <is>
          <t>Identificar en cartografia les males praxis i punts de massificació</t>
        </is>
      </c>
      <c r="D172" s="11" t="inlineStr">
        <is>
          <t>Identificar en cartografia les males praxis i punts de massificació</t>
        </is>
      </c>
      <c r="E172" s="11" t="inlineStr">
        <is>
          <t>Desenvolupar i potenciar l'eina de recollida de punts negres a nivell d'ús públic que va crear INEFC pel Parc i volcar-la cartogràficament</t>
        </is>
      </c>
      <c r="F172" s="11" t="inlineStr">
        <is>
          <t>Eina i cartografia operativa</t>
        </is>
      </c>
      <c r="G172" s="11" t="inlineStr">
        <is>
          <t>no</t>
        </is>
      </c>
      <c r="H172" s="11" t="inlineStr">
        <is>
          <t>si</t>
        </is>
      </c>
      <c r="I172" s="11" t="inlineStr">
        <is>
          <t>MÀXIMA</t>
        </is>
      </c>
      <c r="J172" s="11" t="inlineStr">
        <is>
          <t>Us Public</t>
        </is>
      </c>
      <c r="K172" s="11" t="inlineStr">
        <is>
          <t>Moi</t>
        </is>
      </c>
      <c r="L172" s="11" t="inlineStr">
        <is>
          <t>MILLORAR EL CONEIXEMENT DE L'ENTORN, del patrimoni natural, cultural i social.</t>
        </is>
      </c>
      <c r="M172" s="11" t="inlineStr">
        <is>
          <t>Millorar el coneixement global de les dinàmiques d'usos antròpics de l’ENP</t>
        </is>
      </c>
      <c r="N172" s="11" t="inlineStr"/>
      <c r="O172" s="11" t="inlineStr"/>
      <c r="P172" s="11" t="inlineStr">
        <is>
          <t>Si</t>
        </is>
      </c>
      <c r="Q172" s="11" t="inlineStr">
        <is>
          <t>06.5.4 · Desenvolupar i potenciar l'eina de recollida de punts negres a nivell d'ús públic que va crear INEFC pel Parc i volcar-la cartogràficament — Eina i cartografia operativa</t>
        </is>
      </c>
    </row>
    <row r="173">
      <c r="A173" s="11" t="inlineStr">
        <is>
          <t>3. Coneixement</t>
        </is>
      </c>
      <c r="B173" s="11" t="inlineStr">
        <is>
          <t>06.5.4</t>
        </is>
      </c>
      <c r="C173" s="11" t="inlineStr">
        <is>
          <t>Identificar en cartografia les males praxis i punts de massificació</t>
        </is>
      </c>
      <c r="D173" s="11" t="inlineStr">
        <is>
          <t>Identificar en cartografia les males praxis i punts de massificació</t>
        </is>
      </c>
      <c r="E173" s="11" t="inlineStr">
        <is>
          <t>Identificar cartogràficament els punts i zones sensibles i la seva temporalitat de cara a les activiats</t>
        </is>
      </c>
      <c r="F173" s="11" t="inlineStr">
        <is>
          <t>Cartografia operativa</t>
        </is>
      </c>
      <c r="G173" s="11" t="inlineStr">
        <is>
          <t>no</t>
        </is>
      </c>
      <c r="H173" s="11" t="inlineStr">
        <is>
          <t>si</t>
        </is>
      </c>
      <c r="I173" s="11" t="inlineStr">
        <is>
          <t>ALTA</t>
        </is>
      </c>
      <c r="J173" s="11" t="inlineStr"/>
      <c r="K173" s="11" t="inlineStr"/>
      <c r="L173" s="11" t="inlineStr">
        <is>
          <t>MILLORAR EL CONEIXEMENT DE L'ENTORN, del patrimoni natural, cultural i social.</t>
        </is>
      </c>
      <c r="M173" s="11" t="inlineStr">
        <is>
          <t>Millorar el coneixement global de les dinàmiques d'usos antròpics de l’ENP</t>
        </is>
      </c>
      <c r="N173" s="11" t="inlineStr"/>
      <c r="O173" s="11" t="inlineStr"/>
      <c r="P173" s="11" t="inlineStr">
        <is>
          <t>Si</t>
        </is>
      </c>
      <c r="Q173" s="11" t="inlineStr">
        <is>
          <t>06.5.4 · Identificar cartogràficament els punts i zones sensibles i la seva temporalitat de cara a les activiats — Cartografia operativa</t>
        </is>
      </c>
    </row>
    <row r="174">
      <c r="A174" s="11" t="inlineStr">
        <is>
          <t>3. Coneixement</t>
        </is>
      </c>
      <c r="B174" s="11" t="inlineStr">
        <is>
          <t>06.5.5</t>
        </is>
      </c>
      <c r="C174" s="11" t="inlineStr">
        <is>
          <t>Adaptar i mantenir un registre d'activitats, actors i inciències en ús públic (curses, conflictes, queixes, etc)</t>
        </is>
      </c>
      <c r="D174" s="11" t="inlineStr">
        <is>
          <t>Adaptar i mantenir un registre d'activitats, actors i inciències en ús públic (curses, conflictes, queixes, etc)</t>
        </is>
      </c>
      <c r="E174" s="11" t="inlineStr">
        <is>
          <t>Realització del registre d'activitats, actors i inciències en ús públic del Parc</t>
        </is>
      </c>
      <c r="F174" s="11" t="inlineStr">
        <is>
          <t>Número de registres realitzats</t>
        </is>
      </c>
      <c r="G174" s="11" t="n">
        <v>20</v>
      </c>
      <c r="H174" s="11" t="n">
        <v>100</v>
      </c>
      <c r="I174" s="11" t="inlineStr">
        <is>
          <t>MITJANA</t>
        </is>
      </c>
      <c r="J174" s="11" t="inlineStr">
        <is>
          <t>Us Public</t>
        </is>
      </c>
      <c r="K174" s="11" t="inlineStr">
        <is>
          <t>Moi</t>
        </is>
      </c>
      <c r="L174" s="11" t="inlineStr">
        <is>
          <t>MILLORAR EL CONEIXEMENT DE L'ENTORN, del patrimoni natural, cultural i social.</t>
        </is>
      </c>
      <c r="M174" s="11" t="inlineStr">
        <is>
          <t>Millorar el coneixement global de les dinàmiques d'usos antròpics de l’ENP</t>
        </is>
      </c>
      <c r="N174" s="11" t="inlineStr">
        <is>
          <t>Comú</t>
        </is>
      </c>
      <c r="O174" s="11" t="inlineStr">
        <is>
          <t>Obligatori</t>
        </is>
      </c>
      <c r="P174" s="11" t="inlineStr">
        <is>
          <t>Si</t>
        </is>
      </c>
      <c r="Q174" s="11" t="inlineStr">
        <is>
          <t>06.5.5 · Realització del registre d'activitats, actors i inciències en ús públic del Parc — Número de registres realitzats</t>
        </is>
      </c>
    </row>
    <row r="175">
      <c r="A175" s="11" t="inlineStr">
        <is>
          <t>3. Coneixement</t>
        </is>
      </c>
      <c r="B175" s="11" t="inlineStr">
        <is>
          <t>06.5.6</t>
        </is>
      </c>
      <c r="C175" s="11" t="inlineStr">
        <is>
          <t>Identificar els impactes (positius i negatius) que generen les activitats d'ús públic dins l'ENP</t>
        </is>
      </c>
      <c r="D175" s="11" t="inlineStr">
        <is>
          <t>Identificar els impactes (positius i negatius) que generen les activitats d'ús públic dins l'ENP</t>
        </is>
      </c>
      <c r="E175" s="11" t="inlineStr">
        <is>
          <t>Realització de l'estudi d'identificació d'impactes de les activitats d'ús públic en base al registre vigent</t>
        </is>
      </c>
      <c r="F175" s="11" t="inlineStr">
        <is>
          <t>Realització de l'estudi</t>
        </is>
      </c>
      <c r="G175" s="11" t="inlineStr">
        <is>
          <t>no</t>
        </is>
      </c>
      <c r="H175" s="11" t="inlineStr">
        <is>
          <t>si</t>
        </is>
      </c>
      <c r="I175" s="11" t="inlineStr">
        <is>
          <t>ALTA</t>
        </is>
      </c>
      <c r="J175" s="11" t="inlineStr">
        <is>
          <t>Us Public</t>
        </is>
      </c>
      <c r="K175" s="11" t="inlineStr">
        <is>
          <t>Moi</t>
        </is>
      </c>
      <c r="L175" s="11" t="inlineStr">
        <is>
          <t>MILLORAR EL CONEIXEMENT DE L'ENTORN, del patrimoni natural, cultural i social.</t>
        </is>
      </c>
      <c r="M175" s="11" t="inlineStr">
        <is>
          <t>Millorar el coneixement global de les dinàmiques d'usos antròpics de l’ENP</t>
        </is>
      </c>
      <c r="N175" s="11" t="inlineStr">
        <is>
          <t>Comú</t>
        </is>
      </c>
      <c r="O175" s="11" t="inlineStr">
        <is>
          <t>Obligatori</t>
        </is>
      </c>
      <c r="P175" s="11" t="inlineStr">
        <is>
          <t>Si</t>
        </is>
      </c>
      <c r="Q175" s="11" t="inlineStr">
        <is>
          <t>06.5.6 · Realització de l'estudi d'identificació d'impactes de les activitats d'ús públic en base al registre vigent — Realització de l'estudi</t>
        </is>
      </c>
    </row>
    <row r="176">
      <c r="A176" s="11" t="inlineStr">
        <is>
          <t>4. Desenvolupament local</t>
        </is>
      </c>
      <c r="B176" s="11" t="inlineStr">
        <is>
          <t>07.1.1</t>
        </is>
      </c>
      <c r="C176" s="11" t="inlineStr">
        <is>
          <t>Promoure i col·laborar en l'aplicació de Plans de Desenvolupament Local Sostenible</t>
        </is>
      </c>
      <c r="D176" s="11" t="inlineStr">
        <is>
          <t>Promoure i col·laborar en l'aplicació de Plans de Desenvolupament Local Sostenible</t>
        </is>
      </c>
      <c r="E176" s="11" t="inlineStr">
        <is>
          <t>Renovar PDLS VallFerrera i Ribera d'Isil i Alós, amb la corresponent revisió, valoració d’assoliment d’objectius i actualització, fer seguiment dels de Cardós, i redactar un de vall de Siarb</t>
        </is>
      </c>
      <c r="F176" s="11" t="inlineStr">
        <is>
          <t>Número de PDLS vigents i actius</t>
        </is>
      </c>
      <c r="G176" s="11" t="n">
        <v>1</v>
      </c>
      <c r="H176" s="11" t="n">
        <v>4</v>
      </c>
      <c r="I176" s="11" t="inlineStr">
        <is>
          <t>ALTA</t>
        </is>
      </c>
      <c r="J176" s="11" t="inlineStr"/>
      <c r="K176" s="11" t="inlineStr"/>
      <c r="L176" s="11" t="inlineStr">
        <is>
          <t>FIXAR LA POBLACIÓ AL TERRITORI d'acord amb les oportunitats que generen els objectius de l'espai.</t>
        </is>
      </c>
      <c r="M176" s="11" t="inlineStr">
        <is>
          <t>Fomentar i donar suport tècnic als Plans de desenvolupament socioecomònic local sostenible dels municipis</t>
        </is>
      </c>
      <c r="N176" s="11" t="inlineStr">
        <is>
          <t>Comú</t>
        </is>
      </c>
      <c r="O176" s="11" t="inlineStr">
        <is>
          <t>Obligatori</t>
        </is>
      </c>
      <c r="P176" s="11" t="inlineStr">
        <is>
          <t>Si</t>
        </is>
      </c>
      <c r="Q176" s="11" t="inlineStr">
        <is>
          <t>07.1.1 · Renovar PDLS VallFerrera i Ribera d'Isil i Alós, amb la corresponent revisió, valoració d’assoliment d’objectius i actualització, fer seguiment dels d — Número de PDLS vigents i actius</t>
        </is>
      </c>
    </row>
    <row r="177">
      <c r="A177" s="11" t="inlineStr">
        <is>
          <t>4. Desenvolupament local</t>
        </is>
      </c>
      <c r="B177" s="11" t="inlineStr">
        <is>
          <t>07.1.1</t>
        </is>
      </c>
      <c r="C177" s="11" t="inlineStr">
        <is>
          <t>Promoure i col·laborar en l'aplicació de Plans de Desenvolupament Local Sostenible</t>
        </is>
      </c>
      <c r="D177" s="11" t="inlineStr">
        <is>
          <t>Promoure i col·laborar en l'aplicació de Plans de Desenvolupament Local Sostenible</t>
        </is>
      </c>
      <c r="E177" s="11" t="inlineStr">
        <is>
          <t>Implementació de les accions previstes dins els PDLS que siguin competència del Parc i promoure junt amb els ens locals respectius les que son competència d’altres unitats administratives, donant prioritat a la Vall Ferrera, tal com preveu la disposició addicional tercera del decret del Parc</t>
        </is>
      </c>
      <c r="F177" s="11" t="inlineStr">
        <is>
          <t>Nímero d'accions implementades</t>
        </is>
      </c>
      <c r="G177" s="11" t="n">
        <v>5</v>
      </c>
      <c r="H177" s="11" t="n">
        <v>15</v>
      </c>
      <c r="I177" s="11" t="inlineStr">
        <is>
          <t>ALTA</t>
        </is>
      </c>
      <c r="J177" s="11" t="inlineStr"/>
      <c r="K177" s="11" t="inlineStr"/>
      <c r="L177" s="11" t="inlineStr">
        <is>
          <t>FIXAR LA POBLACIÓ AL TERRITORI d'acord amb les oportunitats que generen els objectius de l'espai.</t>
        </is>
      </c>
      <c r="M177" s="11" t="inlineStr">
        <is>
          <t>Fomentar i donar suport tècnic als Plans de desenvolupament socioecomònic local sostenible dels municipis</t>
        </is>
      </c>
      <c r="N177" s="11" t="inlineStr">
        <is>
          <t>Comú</t>
        </is>
      </c>
      <c r="O177" s="11" t="inlineStr">
        <is>
          <t>Obligatori</t>
        </is>
      </c>
      <c r="P177" s="11" t="inlineStr">
        <is>
          <t>Si</t>
        </is>
      </c>
      <c r="Q177" s="11" t="inlineStr">
        <is>
          <t>07.1.1 · Implementació de les accions previstes dins els PDLS que siguin competència del Parc i promoure junt amb els ens locals respectius les que son competè — Nímero d'accions implementades</t>
        </is>
      </c>
    </row>
    <row r="178">
      <c r="A178" s="11" t="inlineStr">
        <is>
          <t>4. Desenvolupament local</t>
        </is>
      </c>
      <c r="B178" s="11" t="inlineStr">
        <is>
          <t>08.1.1</t>
        </is>
      </c>
      <c r="C178" s="11" t="inlineStr">
        <is>
          <t>Acompanyar i assessorar els productors agraris i forestals per millorar les tècniques productives agràries i forestals i afavorir la conservació dels hàbitats i paisatges</t>
        </is>
      </c>
      <c r="D178" s="11" t="inlineStr">
        <is>
          <t>Acompanyar i assessorar els productors agraris i forestals per millorar les tècniques productives agràries i forestals i afavorir la conservació dels hàbitats i paisatges</t>
        </is>
      </c>
      <c r="E178" s="11" t="inlineStr">
        <is>
          <t>Manual tècnic de bones pràctiques en ramaderia extensiva i recuperació i manteniment de pastures en espais naturals protegits (Projecte REPICA)</t>
        </is>
      </c>
      <c r="F178" s="11" t="inlineStr">
        <is>
          <t>Redacció i presentació del manual</t>
        </is>
      </c>
      <c r="G178" s="11" t="inlineStr">
        <is>
          <t>no</t>
        </is>
      </c>
      <c r="H178" s="11" t="inlineStr">
        <is>
          <t>si</t>
        </is>
      </c>
      <c r="I178" s="11" t="inlineStr">
        <is>
          <t>MITJANA</t>
        </is>
      </c>
      <c r="J178" s="11" t="inlineStr">
        <is>
          <t>Observatori Recerca</t>
        </is>
      </c>
      <c r="K178" s="11" t="inlineStr">
        <is>
          <t>Oriol</t>
        </is>
      </c>
      <c r="L178" s="11" t="inlineStr">
        <is>
          <t>APROFITAR ELS RECURSOS NATURALS DE FORMA SOSTENIBLE mitjançant desenvolupament dels aprofitaments tradicionals de forma compatible amb la conservació de l'espai</t>
        </is>
      </c>
      <c r="M178" s="11" t="inlineStr">
        <is>
          <t>Impulsar models productius agraris i forestals per tal d'afavorir la conservació dels hàbitats i els paisatges modelats per aquestes, i contribuir a la millora socioeconòmica de les persones que la fan possible</t>
        </is>
      </c>
      <c r="N178" s="11" t="inlineStr">
        <is>
          <t>Comú</t>
        </is>
      </c>
      <c r="O178" s="11" t="inlineStr">
        <is>
          <t>Obligatori</t>
        </is>
      </c>
      <c r="P178" s="11" t="inlineStr">
        <is>
          <t>Si</t>
        </is>
      </c>
      <c r="Q178" s="11" t="inlineStr">
        <is>
          <t>08.1.1 · Manual tècnic de bones pràctiques en ramaderia extensiva i recuperació i manteniment de pastures en espais naturals protegits (Projecte REPICA) — Redacció i presentació del manual</t>
        </is>
      </c>
    </row>
    <row r="179">
      <c r="A179" s="11" t="inlineStr">
        <is>
          <t>4. Desenvolupament local</t>
        </is>
      </c>
      <c r="B179" s="11" t="inlineStr">
        <is>
          <t>08.1.1</t>
        </is>
      </c>
      <c r="C179" s="11" t="inlineStr">
        <is>
          <t>Acompanyar i assessorar els productors agraris i forestals per millorar les tècniques productives agràries i forestals i afavorir la conservació dels hàbitats i paisatges</t>
        </is>
      </c>
      <c r="D179" s="11" t="inlineStr">
        <is>
          <t>Acompanyar i assessorar els productors agraris i forestals per millorar les tècniques productives agràries i forestals i afavorir la conservació dels hàbitats i paisatges</t>
        </is>
      </c>
      <c r="E179" s="11" t="inlineStr">
        <is>
          <t>Programa de suport tècnic a sector agraroramader en ajuts maneig pastures</t>
        </is>
      </c>
      <c r="F179" s="11" t="inlineStr">
        <is>
          <t>Número de tallers/reunions informatius al sector agroramader</t>
        </is>
      </c>
      <c r="G179" s="11" t="n">
        <v>2</v>
      </c>
      <c r="H179" s="11" t="n">
        <v>4</v>
      </c>
      <c r="I179" s="11" t="inlineStr">
        <is>
          <t>ALTA</t>
        </is>
      </c>
      <c r="J179" s="11" t="inlineStr">
        <is>
          <t>Millora rural</t>
        </is>
      </c>
      <c r="K179" s="11" t="inlineStr">
        <is>
          <t>Marc/Josep</t>
        </is>
      </c>
      <c r="L179" s="11" t="inlineStr">
        <is>
          <t>APROFITAR ELS RECURSOS NATURALS DE FORMA SOSTENIBLE mitjançant desenvolupament dels aprofitaments tradicionals de forma compatible amb la conservació de l'espai</t>
        </is>
      </c>
      <c r="M179" s="11" t="inlineStr">
        <is>
          <t>Impulsar models productius agraris i forestals per tal d'afavorir la conservació dels hàbitats i els paisatges modelats per aquestes, i contribuir a la millora socioeconòmica de les persones que la fan possible</t>
        </is>
      </c>
      <c r="N179" s="11" t="inlineStr">
        <is>
          <t>Comú</t>
        </is>
      </c>
      <c r="O179" s="11" t="inlineStr">
        <is>
          <t>Obligatori</t>
        </is>
      </c>
      <c r="P179" s="11" t="inlineStr">
        <is>
          <t>Si</t>
        </is>
      </c>
      <c r="Q179" s="11" t="inlineStr">
        <is>
          <t>08.1.1 · Programa de suport tècnic a sector agraroramader en ajuts maneig pastures — Número de tallers/reunions informatius al sector agroramader</t>
        </is>
      </c>
    </row>
    <row r="180">
      <c r="A180" s="11" t="inlineStr">
        <is>
          <t>4. Desenvolupament local</t>
        </is>
      </c>
      <c r="B180" s="11" t="inlineStr">
        <is>
          <t>08.1.1</t>
        </is>
      </c>
      <c r="C180" s="11" t="inlineStr">
        <is>
          <t>Acompanyar i assessorar els productors agraris i forestals per millorar les tècniques productives agràries i forestals i afavorir la conservació dels hàbitats i paisatges</t>
        </is>
      </c>
      <c r="D180" s="11" t="inlineStr">
        <is>
          <t>Acompanyar i assessorar els productors agraris i forestals per millorar les tècniques productives agràries i forestals i afavorir la conservació dels hàbitats i paisatges</t>
        </is>
      </c>
      <c r="E180" s="11" t="inlineStr">
        <is>
          <t>Impulsar la creació de la línia de suport a l’activitat ramadera en la conservació dels hàbitats i els paisatges a través dels contractes de gestió que preveu el Decret del Parc</t>
        </is>
      </c>
      <c r="F180" s="11" t="inlineStr">
        <is>
          <t>Es realitzen els primers contractes de gestió</t>
        </is>
      </c>
      <c r="G180" s="11" t="inlineStr">
        <is>
          <t>no</t>
        </is>
      </c>
      <c r="H180" s="11" t="inlineStr">
        <is>
          <t>si</t>
        </is>
      </c>
      <c r="I180" s="11" t="inlineStr">
        <is>
          <t>MÀXIMA</t>
        </is>
      </c>
      <c r="J180" s="11" t="inlineStr"/>
      <c r="K180" s="11" t="inlineStr"/>
      <c r="L180" s="11" t="inlineStr">
        <is>
          <t>APROFITAR ELS RECURSOS NATURALS DE FORMA SOSTENIBLE mitjançant desenvolupament dels aprofitaments tradicionals de forma compatible amb la conservació de l'espai</t>
        </is>
      </c>
      <c r="M180" s="11" t="inlineStr">
        <is>
          <t>Impulsar models productius agraris i forestals per tal d'afavorir la conservació dels hàbitats i els paisatges modelats per aquestes, i contribuir a la millora socioeconòmica de les persones que la fan possible</t>
        </is>
      </c>
      <c r="N180" s="11" t="inlineStr">
        <is>
          <t>Comú</t>
        </is>
      </c>
      <c r="O180" s="11" t="inlineStr">
        <is>
          <t>Obligatori</t>
        </is>
      </c>
      <c r="P180" s="11" t="inlineStr">
        <is>
          <t>Si</t>
        </is>
      </c>
      <c r="Q180" s="11" t="inlineStr">
        <is>
          <t>08.1.1 · Impulsar la creació de la línia de suport a l’activitat ramadera en la conservació dels hàbitats i els paisatges a través dels contractes de gestió qu — Es realitzen els primers contractes de gestió</t>
        </is>
      </c>
    </row>
    <row r="181">
      <c r="A181" s="11" t="inlineStr">
        <is>
          <t>4. Desenvolupament local</t>
        </is>
      </c>
      <c r="B181" s="11" t="inlineStr">
        <is>
          <t>08.1.1</t>
        </is>
      </c>
      <c r="C181" s="11" t="inlineStr">
        <is>
          <t>Acompanyar i assessorar els productors agraris i forestals per millorar les tècniques productives agràries i forestals i afavorir la conservació dels hàbitats i paisatges</t>
        </is>
      </c>
      <c r="D181" s="11" t="inlineStr">
        <is>
          <t>Acompanyar i assessorar els productors agraris i forestals per millorar les tècniques productives agràries i forestals i afavorir la conservació dels hàbitats i paisatges</t>
        </is>
      </c>
      <c r="E181" s="11" t="inlineStr">
        <is>
          <t>Promoció i assessorament sobre l'adhesió als distintius la marca Fet al Parc (si s'aprova pel Departament) i la CETS (fase 2)</t>
        </is>
      </c>
      <c r="F181" s="11" t="inlineStr">
        <is>
          <t>Número d'explotacions que s'han acollit a una de les dos marques</t>
        </is>
      </c>
      <c r="G181" s="11" t="n">
        <v>0</v>
      </c>
      <c r="H181" s="11" t="n">
        <v>5</v>
      </c>
      <c r="I181" s="11" t="inlineStr">
        <is>
          <t>BAIXA</t>
        </is>
      </c>
      <c r="J181" s="11" t="inlineStr">
        <is>
          <t>Us public</t>
        </is>
      </c>
      <c r="K181" s="11" t="inlineStr">
        <is>
          <t>Nuria</t>
        </is>
      </c>
      <c r="L181" s="11" t="inlineStr">
        <is>
          <t>APROFITAR ELS RECURSOS NATURALS DE FORMA SOSTENIBLE mitjançant desenvolupament dels aprofitaments tradicionals de forma compatible amb la conservació de l'espai</t>
        </is>
      </c>
      <c r="M181" s="11" t="inlineStr">
        <is>
          <t>Impulsar models productius agraris i forestals per tal d'afavorir la conservació dels hàbitats i els paisatges modelats per aquestes, i contribuir a la millora socioeconòmica de les persones que la fan possible</t>
        </is>
      </c>
      <c r="N181" s="11" t="inlineStr">
        <is>
          <t>Comú</t>
        </is>
      </c>
      <c r="O181" s="11" t="inlineStr">
        <is>
          <t>Obligatori</t>
        </is>
      </c>
      <c r="P181" s="11" t="inlineStr">
        <is>
          <t>Si</t>
        </is>
      </c>
      <c r="Q181" s="11" t="inlineStr">
        <is>
          <t>08.1.1 · Promoció i assessorament sobre l'adhesió als distintius la marca Fet al Parc (si s'aprova pel Departament) i la CETS (fase 2) — Número d'explotacions que s'han acollit a una de les dos marques</t>
        </is>
      </c>
    </row>
    <row r="182">
      <c r="A182" s="11" t="inlineStr">
        <is>
          <t>4. Desenvolupament local</t>
        </is>
      </c>
      <c r="B182" s="11" t="inlineStr">
        <is>
          <t>08.1.1</t>
        </is>
      </c>
      <c r="C182" s="11" t="inlineStr">
        <is>
          <t>Acompanyar i assessorar els productors agraris i forestals per millorar les tècniques productives agràries i forestals i afavorir la conservació dels hàbitats i paisatges</t>
        </is>
      </c>
      <c r="D182" s="11" t="inlineStr">
        <is>
          <t>Acompanyar i assessorar els productors agraris i forestals per millorar les tècniques productives agràries i forestals i afavorir la conservació dels hàbitats i paisatges</t>
        </is>
      </c>
      <c r="E182" s="11" t="inlineStr">
        <is>
          <t>Promoció de la bioenginyeria del paisatge com a tècnica que afavoreix l’ús sostenible dels recursos naturals i la reducció de l’erosió</t>
        </is>
      </c>
      <c r="F182" s="11" t="inlineStr">
        <is>
          <t>Número d’accions realitzades</t>
        </is>
      </c>
      <c r="G182" s="11" t="n">
        <v>2</v>
      </c>
      <c r="H182" s="11" t="n">
        <v>4</v>
      </c>
      <c r="I182" s="11" t="inlineStr">
        <is>
          <t>ALTA</t>
        </is>
      </c>
      <c r="J182" s="11" t="inlineStr"/>
      <c r="K182" s="11" t="inlineStr"/>
      <c r="L182" s="11" t="inlineStr">
        <is>
          <t>APROFITAR ELS RECURSOS NATURALS DE FORMA SOSTENIBLE mitjançant desenvolupament dels aprofitaments tradicionals de forma compatible amb la conservació de l'espai</t>
        </is>
      </c>
      <c r="M182" s="11" t="inlineStr">
        <is>
          <t>Impulsar models productius agraris i forestals per tal d'afavorir la conservació dels hàbitats i els paisatges modelats per aquestes, i contribuir a la millora socioeconòmica de les persones que la fan possible</t>
        </is>
      </c>
      <c r="N182" s="11" t="inlineStr">
        <is>
          <t>Comú</t>
        </is>
      </c>
      <c r="O182" s="11" t="inlineStr">
        <is>
          <t>Obligatori</t>
        </is>
      </c>
      <c r="P182" s="11" t="inlineStr">
        <is>
          <t>Si</t>
        </is>
      </c>
      <c r="Q182" s="11" t="inlineStr">
        <is>
          <t>08.1.1 · Promoció de la bioenginyeria del paisatge com a tècnica que afavoreix l’ús sostenible dels recursos naturals i la reducció de l’erosió — Número d’accions realitzades</t>
        </is>
      </c>
    </row>
    <row r="183">
      <c r="A183" s="11" t="inlineStr">
        <is>
          <t>4. Desenvolupament local</t>
        </is>
      </c>
      <c r="B183" s="11" t="inlineStr">
        <is>
          <t>08.1.1</t>
        </is>
      </c>
      <c r="C183" s="11" t="inlineStr">
        <is>
          <t>Acompanyar i assessorar els productors agraris i forestals per millorar les tècniques productives agràries i forestals i afavorir la conservació dels hàbitats i paisatges</t>
        </is>
      </c>
      <c r="D183" s="11" t="inlineStr">
        <is>
          <t>Acompanyar i assessorar els productors agraris i forestals per millorar les tècniques productives agràries i forestals i afavorir la conservació dels hàbitats i paisatges</t>
        </is>
      </c>
      <c r="E183" s="11" t="inlineStr">
        <is>
          <t>Fomentar laboratoris d’innovació forestal, conjuntament amb les autoritats competents, com el de la Fundació Projecte Boscos de Muntanya al municipi d’Esterri de Cardós, amb models de col·laboració publico-privada</t>
        </is>
      </c>
      <c r="F183" s="11" t="inlineStr">
        <is>
          <t>S’ha realitzat aquest foment</t>
        </is>
      </c>
      <c r="G183" s="11" t="inlineStr">
        <is>
          <t>no</t>
        </is>
      </c>
      <c r="H183" s="11" t="inlineStr">
        <is>
          <t>si</t>
        </is>
      </c>
      <c r="I183" s="11" t="inlineStr">
        <is>
          <t>MITJANA</t>
        </is>
      </c>
      <c r="J183" s="11" t="inlineStr"/>
      <c r="K183" s="11" t="inlineStr"/>
      <c r="L183" s="11" t="inlineStr">
        <is>
          <t>APROFITAR ELS RECURSOS NATURALS DE FORMA SOSTENIBLE mitjançant desenvolupament dels aprofitaments tradicionals de forma compatible amb la conservació de l'espai</t>
        </is>
      </c>
      <c r="M183" s="11" t="inlineStr">
        <is>
          <t>Impulsar models productius agraris i forestals per tal d'afavorir la conservació dels hàbitats i els paisatges modelats per aquestes, i contribuir a la millora socioeconòmica de les persones que la fan possible</t>
        </is>
      </c>
      <c r="N183" s="11" t="inlineStr">
        <is>
          <t>Comú</t>
        </is>
      </c>
      <c r="O183" s="11" t="inlineStr">
        <is>
          <t>Obligatori</t>
        </is>
      </c>
      <c r="P183" s="11" t="inlineStr">
        <is>
          <t>Si</t>
        </is>
      </c>
      <c r="Q183" s="11" t="inlineStr">
        <is>
          <t>08.1.1 · Fomentar laboratoris d’innovació forestal, conjuntament amb les autoritats competents, com el de la Fundació Projecte Boscos de Muntanya al municipi d — S’ha realitzat aquest foment</t>
        </is>
      </c>
    </row>
    <row r="184">
      <c r="A184" s="11" t="inlineStr">
        <is>
          <t>4. Desenvolupament local</t>
        </is>
      </c>
      <c r="B184" s="11" t="inlineStr">
        <is>
          <t>08.1.1</t>
        </is>
      </c>
      <c r="C184" s="11" t="inlineStr">
        <is>
          <t>Acompanyar i assessorar els productors agraris i forestals per millorar les tècniques productives agràries i forestals i afavorir la conservació dels hàbitats i paisatges</t>
        </is>
      </c>
      <c r="D184" s="11" t="inlineStr">
        <is>
          <t>Acompanyar i assessorar els productors agraris i forestals per millorar les tècniques productives agràries i forestals i afavorir la conservació dels hàbitats i paisatges</t>
        </is>
      </c>
      <c r="E184" s="11" t="inlineStr">
        <is>
          <t>Col·laborar amb les Escoles Agràries i Forestals de Catalunya en la realització de formacions i estades de pràctiques d’alumnes al Parc per contribuir a la creació de llocs de treball agroramader i forestal, i millorar les tècniques productives amb equilibri amb la conservació de la natura.</t>
        </is>
      </c>
      <c r="F184" s="11" t="inlineStr">
        <is>
          <t>Número d’alumnes formats i/o acollits</t>
        </is>
      </c>
      <c r="G184" s="11" t="n">
        <v>4</v>
      </c>
      <c r="H184" s="11" t="n">
        <v>10</v>
      </c>
      <c r="I184" s="11" t="inlineStr">
        <is>
          <t>MITJANA</t>
        </is>
      </c>
      <c r="J184" s="11" t="inlineStr"/>
      <c r="K184" s="11" t="inlineStr"/>
      <c r="L184" s="11" t="inlineStr">
        <is>
          <t>APROFITAR ELS RECURSOS NATURALS DE FORMA SOSTENIBLE mitjançant desenvolupament dels aprofitaments tradicionals de forma compatible amb la conservació de l'espai</t>
        </is>
      </c>
      <c r="M184" s="11" t="inlineStr">
        <is>
          <t>Impulsar models productius agraris i forestals per tal d'afavorir la conservació dels hàbitats i els paisatges modelats per aquestes, i contribuir a la millora socioeconòmica de les persones que la fan possible</t>
        </is>
      </c>
      <c r="N184" s="11" t="inlineStr">
        <is>
          <t>Comú</t>
        </is>
      </c>
      <c r="O184" s="11" t="inlineStr">
        <is>
          <t>Obligatori</t>
        </is>
      </c>
      <c r="P184" s="11" t="inlineStr">
        <is>
          <t>Si</t>
        </is>
      </c>
      <c r="Q184" s="11" t="inlineStr">
        <is>
          <t>08.1.1 · Col·laborar amb les Escoles Agràries i Forestals de Catalunya en la realització de formacions i estades de pràctiques d’alumnes al Parc per contribuir — Número d’alumnes formats i/o acollits</t>
        </is>
      </c>
    </row>
    <row r="185">
      <c r="A185" s="11" t="inlineStr">
        <is>
          <t>4. Desenvolupament local</t>
        </is>
      </c>
      <c r="B185" s="11" t="inlineStr">
        <is>
          <t>08.1.1</t>
        </is>
      </c>
      <c r="C185" s="11" t="inlineStr">
        <is>
          <t>Acompanyar i assessorar els productors agraris i forestals per millorar les tècniques productives agràries i forestals i afavorir la conservació dels hàbitats i paisatges</t>
        </is>
      </c>
      <c r="D185" s="11" t="inlineStr">
        <is>
          <t>Acompanyar i assessorar els productors agraris i forestals per millorar les tècniques productives agràries i forestals i afavorir la conservació dels hàbitats i paisatges</t>
        </is>
      </c>
      <c r="E185" s="11" t="inlineStr">
        <is>
          <t>Acompanyar als ens locals propietaris de boscos comunals i privats per tal que l’autoritat competent en la matèria (DARP) realitzi un pla d’explotació i comercialització de la biomassa i foment de la bioeconomia</t>
        </is>
      </c>
      <c r="F185" s="11" t="inlineStr">
        <is>
          <t>S’ha realitzat l’acompanyament</t>
        </is>
      </c>
      <c r="G185" s="11" t="inlineStr">
        <is>
          <t>no</t>
        </is>
      </c>
      <c r="H185" s="11" t="inlineStr">
        <is>
          <t>si</t>
        </is>
      </c>
      <c r="I185" s="11" t="inlineStr">
        <is>
          <t>MITJANA</t>
        </is>
      </c>
      <c r="J185" s="11" t="inlineStr"/>
      <c r="K185" s="11" t="inlineStr"/>
      <c r="L185" s="11" t="inlineStr">
        <is>
          <t>APROFITAR ELS RECURSOS NATURALS DE FORMA SOSTENIBLE mitjançant desenvolupament dels aprofitaments tradicionals de forma compatible amb la conservació de l'espai</t>
        </is>
      </c>
      <c r="M185" s="11" t="inlineStr">
        <is>
          <t>Impulsar models productius agraris i forestals per tal d'afavorir la conservació dels hàbitats i els paisatges modelats per aquestes, i contribuir a la millora socioeconòmica de les persones que la fan possible</t>
        </is>
      </c>
      <c r="N185" s="11" t="inlineStr">
        <is>
          <t>Comú</t>
        </is>
      </c>
      <c r="O185" s="11" t="inlineStr">
        <is>
          <t>Obligatori</t>
        </is>
      </c>
      <c r="P185" s="11" t="inlineStr">
        <is>
          <t>Si</t>
        </is>
      </c>
      <c r="Q185" s="11" t="inlineStr">
        <is>
          <t>08.1.1 · Acompanyar als ens locals propietaris de boscos comunals i privats per tal que l’autoritat competent en la matèria (DARP) realitzi un pla d’explotació — S’ha realitzat l’acompanyament</t>
        </is>
      </c>
    </row>
    <row r="186">
      <c r="A186" s="11" t="inlineStr">
        <is>
          <t>4. Desenvolupament local</t>
        </is>
      </c>
      <c r="B186" s="11" t="inlineStr">
        <is>
          <t>08.1.1</t>
        </is>
      </c>
      <c r="C186" s="11" t="inlineStr">
        <is>
          <t>Acompanyar i assessorar els productors agraris i forestals per millorar les tècniques productives agràries i forestals i afavorir la conservació dels hàbitats i paisatges</t>
        </is>
      </c>
      <c r="D186" s="11" t="inlineStr">
        <is>
          <t>Acompanyar i assessorar els productors agraris i forestals per millorar les tècniques productives agràries i forestals i afavorir la conservació dels hàbitats i paisatges</t>
        </is>
      </c>
      <c r="E186" s="11" t="inlineStr">
        <is>
          <t>Organitzar estades de càrrecs electes i tècnics públics en explotacions agroramaderes de l’àmbit del Parc per tal de facilitar el coneixement mutu i entendre en profunditat la realitat i problemàtiques del sector</t>
        </is>
      </c>
      <c r="F186" s="11" t="inlineStr">
        <is>
          <t>Número de visites realitzades</t>
        </is>
      </c>
      <c r="G186" s="11" t="n">
        <v>4</v>
      </c>
      <c r="H186" s="11" t="n">
        <v>10</v>
      </c>
      <c r="I186" s="11" t="inlineStr">
        <is>
          <t>ALTA</t>
        </is>
      </c>
      <c r="J186" s="11" t="inlineStr"/>
      <c r="K186" s="11" t="inlineStr"/>
      <c r="L186" s="11" t="inlineStr">
        <is>
          <t>APROFITAR ELS RECURSOS NATURALS DE FORMA SOSTENIBLE mitjançant desenvolupament dels aprofitaments tradicionals de forma compatible amb la conservació de l'espai</t>
        </is>
      </c>
      <c r="M186" s="11" t="inlineStr">
        <is>
          <t>Impulsar models productius agraris i forestals per tal d'afavorir la conservació dels hàbitats i els paisatges modelats per aquestes, i contribuir a la millora socioeconòmica de les persones que la fan possible</t>
        </is>
      </c>
      <c r="N186" s="11" t="inlineStr">
        <is>
          <t>Comú</t>
        </is>
      </c>
      <c r="O186" s="11" t="inlineStr">
        <is>
          <t>Obligatori</t>
        </is>
      </c>
      <c r="P186" s="11" t="inlineStr">
        <is>
          <t>Si</t>
        </is>
      </c>
      <c r="Q186" s="11" t="inlineStr">
        <is>
          <t>08.1.1 · Organitzar estades de càrrecs electes i tècnics públics en explotacions agroramaderes de l’àmbit del Parc per tal de facilitar el coneixement mutu i e — Número de visites realitzades</t>
        </is>
      </c>
    </row>
    <row r="187">
      <c r="A187" s="11" t="inlineStr">
        <is>
          <t>4. Desenvolupament local</t>
        </is>
      </c>
      <c r="B187" s="11" t="inlineStr">
        <is>
          <t>08.1.1</t>
        </is>
      </c>
      <c r="C187" s="11" t="inlineStr">
        <is>
          <t>Acompanyar i assessorar els productors agraris i forestals per millorar les tècniques productives agràries i forestals i afavorir la conservació dels hàbitats i paisatges</t>
        </is>
      </c>
      <c r="D187" s="11" t="inlineStr">
        <is>
          <t>Acompanyar i assessorar els productors agraris i forestals per millorar les tècniques productives agràries i forestals i afavorir la conservació dels hàbitats i paisatges</t>
        </is>
      </c>
      <c r="E187" s="11" t="inlineStr">
        <is>
          <t>Facilitar a les explotacions ramaderes del Parc noves tecnologies via ajut o cessió temporal per afavorir el maneig del bestiar com collars GPS, antenes vinculades a aquest collars per donar cobertura i malles elèctriques per prevenció de danys</t>
        </is>
      </c>
      <c r="F187" s="11" t="inlineStr">
        <is>
          <t>Número explotacions ramaderes beneficiades</t>
        </is>
      </c>
      <c r="G187" s="11" t="n">
        <v>20</v>
      </c>
      <c r="H187" s="11" t="n">
        <v>50</v>
      </c>
      <c r="I187" s="11" t="inlineStr">
        <is>
          <t>ALTA</t>
        </is>
      </c>
      <c r="J187" s="11" t="inlineStr"/>
      <c r="K187" s="11" t="inlineStr"/>
      <c r="L187" s="11" t="inlineStr">
        <is>
          <t>APROFITAR ELS RECURSOS NATURALS DE FORMA SOSTENIBLE mitjançant desenvolupament dels aprofitaments tradicionals de forma compatible amb la conservació de l'espai</t>
        </is>
      </c>
      <c r="M187" s="11" t="inlineStr">
        <is>
          <t>Impulsar models productius agraris i forestals per tal d'afavorir la conservació dels hàbitats i els paisatges modelats per aquestes, i contribuir a la millora socioeconòmica de les persones que la fan possible</t>
        </is>
      </c>
      <c r="N187" s="11" t="inlineStr">
        <is>
          <t>Comú</t>
        </is>
      </c>
      <c r="O187" s="11" t="inlineStr">
        <is>
          <t>Obligatori</t>
        </is>
      </c>
      <c r="P187" s="11" t="inlineStr">
        <is>
          <t>Si</t>
        </is>
      </c>
      <c r="Q187" s="11" t="inlineStr">
        <is>
          <t>08.1.1 · Facilitar a les explotacions ramaderes del Parc noves tecnologies via ajut o cessió temporal per afavorir el maneig del bestiar com collars GPS, anten — Número explotacions ramaderes beneficiades</t>
        </is>
      </c>
    </row>
    <row r="188">
      <c r="A188" s="11" t="inlineStr">
        <is>
          <t>4. Desenvolupament local</t>
        </is>
      </c>
      <c r="B188" s="11" t="inlineStr">
        <is>
          <t>08.1.1</t>
        </is>
      </c>
      <c r="C188" s="11" t="inlineStr">
        <is>
          <t>Acompanyar i assessorar els productors agraris i forestals per millorar les tècniques productives agràries i forestals i afavorir la conservació dels hàbitats i paisatges</t>
        </is>
      </c>
      <c r="D188" s="11" t="inlineStr">
        <is>
          <t>Acompanyar i assessorar els productors agraris i forestals per millorar les tècniques productives agràries i forestals i afavorir la conservació dels hàbitats i paisatges</t>
        </is>
      </c>
      <c r="E188" s="11" t="inlineStr">
        <is>
          <t>Formar i assessorar als apicultors del coneixement i tècniques adients per fomentar l’equilibri entre abelles domèstiques i silvestres.</t>
        </is>
      </c>
      <c r="F188" s="11" t="inlineStr">
        <is>
          <t>Número d’accions realitzades</t>
        </is>
      </c>
      <c r="G188" s="11" t="n">
        <v>2</v>
      </c>
      <c r="H188" s="11" t="n">
        <v>6</v>
      </c>
      <c r="I188" s="11" t="inlineStr">
        <is>
          <t>MITJANA</t>
        </is>
      </c>
      <c r="J188" s="11" t="inlineStr"/>
      <c r="K188" s="11" t="inlineStr"/>
      <c r="L188" s="11" t="inlineStr">
        <is>
          <t>APROFITAR ELS RECURSOS NATURALS DE FORMA SOSTENIBLE mitjançant desenvolupament dels aprofitaments tradicionals de forma compatible amb la conservació de l'espai</t>
        </is>
      </c>
      <c r="M188" s="11" t="inlineStr">
        <is>
          <t>Impulsar models productius agraris i forestals per tal d'afavorir la conservació dels hàbitats i els paisatges modelats per aquestes, i contribuir a la millora socioeconòmica de les persones que la fan possible</t>
        </is>
      </c>
      <c r="N188" s="11" t="inlineStr">
        <is>
          <t>Comú</t>
        </is>
      </c>
      <c r="O188" s="11" t="inlineStr">
        <is>
          <t>Obligatori</t>
        </is>
      </c>
      <c r="P188" s="11" t="inlineStr">
        <is>
          <t>Si</t>
        </is>
      </c>
      <c r="Q188" s="11" t="inlineStr">
        <is>
          <t>08.1.1 · Formar i assessorar als apicultors del coneixement i tècniques adients per fomentar l’equilibri entre abelles domèstiques i silvestres. — Número d’accions realitzades</t>
        </is>
      </c>
    </row>
    <row r="189">
      <c r="A189" s="11" t="inlineStr">
        <is>
          <t>4. Desenvolupament local</t>
        </is>
      </c>
      <c r="B189" s="11" t="inlineStr">
        <is>
          <t>08.1.2</t>
        </is>
      </c>
      <c r="C189" s="11" t="inlineStr">
        <is>
          <t>Oferir formació als productors agraris per millorar el seu coneixement sobre tècniques eficients i respectuoses amb la conservació del patrimoni natural i cultural</t>
        </is>
      </c>
      <c r="D189" s="11" t="inlineStr">
        <is>
          <t>Oferir formació als productors agraris per millorar el seu coneixement sobre tècniques eficients i respectuoses amb la conservació del patrimoni natural i cultural</t>
        </is>
      </c>
      <c r="E189" s="11" t="inlineStr">
        <is>
          <t>Realització de formacions a sector primari</t>
        </is>
      </c>
      <c r="F189" s="11" t="inlineStr">
        <is>
          <t>Número jornades formatives</t>
        </is>
      </c>
      <c r="G189" s="11" t="n">
        <v>2</v>
      </c>
      <c r="H189" s="11" t="n">
        <v>8</v>
      </c>
      <c r="I189" s="11" t="inlineStr">
        <is>
          <t>MITJANA</t>
        </is>
      </c>
      <c r="J189" s="11" t="inlineStr">
        <is>
          <t>Observatori Recerca</t>
        </is>
      </c>
      <c r="K189" s="11" t="inlineStr">
        <is>
          <t>Oriol</t>
        </is>
      </c>
      <c r="L189" s="11" t="inlineStr">
        <is>
          <t>APROFITAR ELS RECURSOS NATURALS DE FORMA SOSTENIBLE mitjançant desenvolupament dels aprofitaments tradicionals de forma compatible amb la conservació de l'espai</t>
        </is>
      </c>
      <c r="M189" s="11" t="inlineStr">
        <is>
          <t>Impulsar models productius agraris i forestals per tal d'afavorir la conservació dels hàbitats i els paisatges modelats per aquestes, i contribuir a la millora socioeconòmica de les persones que la fan possible</t>
        </is>
      </c>
      <c r="N189" s="11" t="inlineStr">
        <is>
          <t>Comú</t>
        </is>
      </c>
      <c r="O189" s="11" t="inlineStr">
        <is>
          <t>Obligatori</t>
        </is>
      </c>
      <c r="P189" s="11" t="inlineStr">
        <is>
          <t>Si</t>
        </is>
      </c>
      <c r="Q189" s="11" t="inlineStr">
        <is>
          <t>08.1.2 · Realització de formacions a sector primari — Número jornades formatives</t>
        </is>
      </c>
    </row>
    <row r="190">
      <c r="A190" s="11" t="inlineStr">
        <is>
          <t>4. Desenvolupament local</t>
        </is>
      </c>
      <c r="B190" s="11" t="inlineStr">
        <is>
          <t>08.1.3</t>
        </is>
      </c>
      <c r="C190" s="11" t="inlineStr">
        <is>
          <t>Promoure la recuperació i conservació de marges i punts d'aigua associats a la ramaderia i l'agricultura i d'interès per la biodiversitat</t>
        </is>
      </c>
      <c r="D190" s="11" t="inlineStr">
        <is>
          <t>Promoure la recuperació i conservació de marges, punts d'aigua i altres infraestructures associats a l'activitat agroramadera i d'interès per la biodiversitat</t>
        </is>
      </c>
      <c r="E190" s="11" t="inlineStr">
        <is>
          <t>Creació de nous abeuradors (coms) per ramaderia</t>
        </is>
      </c>
      <c r="F190" s="11" t="inlineStr">
        <is>
          <t>Número abeuradors nous</t>
        </is>
      </c>
      <c r="G190" s="11" t="n">
        <v>0</v>
      </c>
      <c r="H190" s="11" t="n">
        <v>8</v>
      </c>
      <c r="I190" s="11" t="inlineStr">
        <is>
          <t>MITJANA</t>
        </is>
      </c>
      <c r="J190" s="11" t="inlineStr">
        <is>
          <t>Millora rural</t>
        </is>
      </c>
      <c r="K190" s="11" t="inlineStr">
        <is>
          <t>Natalia</t>
        </is>
      </c>
      <c r="L190" s="11" t="inlineStr">
        <is>
          <t>APROFITAR ELS RECURSOS NATURALS DE FORMA SOSTENIBLE mitjançant desenvolupament dels aprofitaments tradicionals de forma compatible amb la conservació de l'espai</t>
        </is>
      </c>
      <c r="M190" s="11" t="inlineStr">
        <is>
          <t>Impulsar models productius agraris i forestals per tal d'afavorir la conservació dels hàbitats i els paisatges modelats per aquestes, i contribuir a la millora socioeconòmica de les persones que la fan possible</t>
        </is>
      </c>
      <c r="N190" s="11" t="inlineStr">
        <is>
          <t>Específic</t>
        </is>
      </c>
      <c r="O190" s="11" t="inlineStr">
        <is>
          <t>Optatiu</t>
        </is>
      </c>
      <c r="P190" s="11" t="inlineStr">
        <is>
          <t>Si</t>
        </is>
      </c>
      <c r="Q190" s="11" t="inlineStr">
        <is>
          <t>08.1.3 · Creació de nous abeuradors (coms) per ramaderia — Número abeuradors nous</t>
        </is>
      </c>
    </row>
    <row r="191">
      <c r="A191" s="11" t="inlineStr">
        <is>
          <t>4. Desenvolupament local</t>
        </is>
      </c>
      <c r="B191" s="11" t="inlineStr">
        <is>
          <t>08.1.3</t>
        </is>
      </c>
      <c r="C191" s="11" t="inlineStr">
        <is>
          <t>Promoure la recuperació i conservació de marges i punts d'aigua associats a la ramaderia i l'agricultura i d'interès per la biodiversitat</t>
        </is>
      </c>
      <c r="D191" s="11" t="inlineStr">
        <is>
          <t>Promoure la recuperació i conservació de marges, punts d'aigua i altres infraestructures associats a l'activitat agroramadera i d'interès per la biodiversitat</t>
        </is>
      </c>
      <c r="E191" s="11" t="inlineStr">
        <is>
          <t>Reparació/millora abeuradors existents, adequar-los al pas dels amfibis i amb paviment perimetral per evitar possibles propagacions de malalties als ramats</t>
        </is>
      </c>
      <c r="F191" s="11" t="inlineStr">
        <is>
          <t>Número abeuradors millorats</t>
        </is>
      </c>
      <c r="G191" s="11" t="n">
        <v>8</v>
      </c>
      <c r="H191" s="11" t="n">
        <v>16</v>
      </c>
      <c r="I191" s="11" t="inlineStr">
        <is>
          <t>MÀXIMA</t>
        </is>
      </c>
      <c r="J191" s="11" t="inlineStr">
        <is>
          <t>Millora rural</t>
        </is>
      </c>
      <c r="K191" s="11" t="inlineStr">
        <is>
          <t>Natalia</t>
        </is>
      </c>
      <c r="L191" s="11" t="inlineStr">
        <is>
          <t>APROFITAR ELS RECURSOS NATURALS DE FORMA SOSTENIBLE mitjançant desenvolupament dels aprofitaments tradicionals de forma compatible amb la conservació de l'espai</t>
        </is>
      </c>
      <c r="M191" s="11" t="inlineStr">
        <is>
          <t>Impulsar models productius agraris i forestals per tal d'afavorir la conservació dels hàbitats i els paisatges modelats per aquestes, i contribuir a la millora socioeconòmica de les persones que la fan possible</t>
        </is>
      </c>
      <c r="N191" s="11" t="inlineStr">
        <is>
          <t>Específic</t>
        </is>
      </c>
      <c r="O191" s="11" t="inlineStr">
        <is>
          <t>Optatiu</t>
        </is>
      </c>
      <c r="P191" s="11" t="inlineStr">
        <is>
          <t>Si</t>
        </is>
      </c>
      <c r="Q191" s="11" t="inlineStr">
        <is>
          <t>08.1.3 · Reparació/millora abeuradors existents, adequar-los al pas dels amfibis i amb paviment perimetral per evitar possibles propagacions de malalties als r — Número abeuradors millorats</t>
        </is>
      </c>
    </row>
    <row r="192">
      <c r="A192" s="11" t="inlineStr">
        <is>
          <t>4. Desenvolupament local</t>
        </is>
      </c>
      <c r="B192" s="11" t="inlineStr">
        <is>
          <t>08.1.3</t>
        </is>
      </c>
      <c r="C192" s="11" t="inlineStr">
        <is>
          <t>Promoure la recuperació i conservació de marges i punts d'aigua associats a la ramaderia i l'agricultura i d'interès per la biodiversitat</t>
        </is>
      </c>
      <c r="D192" s="11" t="inlineStr">
        <is>
          <t>Promoure la recuperació i conservació de marges, punts d'aigua i altres infraestructures associats a l'activitat agroramadera i d'interès per la biodiversitat</t>
        </is>
      </c>
      <c r="E192" s="11" t="inlineStr">
        <is>
          <t>Reconstrucció de murs i altres infraestructures de pedra seca directament, a través de la convocatòria d’ajuts, mitjançant accions de voluntariat i el propi servei de manteniment del Parc</t>
        </is>
      </c>
      <c r="F192" s="11" t="inlineStr">
        <is>
          <t>Metres quadrats de murs reconstruïts</t>
        </is>
      </c>
      <c r="G192" s="11" t="n">
        <v>40</v>
      </c>
      <c r="H192" s="11" t="n">
        <v>100</v>
      </c>
      <c r="I192" s="11" t="inlineStr">
        <is>
          <t>ALTA</t>
        </is>
      </c>
      <c r="J192" s="11" t="inlineStr">
        <is>
          <t>Millora rural</t>
        </is>
      </c>
      <c r="K192" s="11" t="inlineStr">
        <is>
          <t>Natalia</t>
        </is>
      </c>
      <c r="L192" s="11" t="inlineStr">
        <is>
          <t>APROFITAR ELS RECURSOS NATURALS DE FORMA SOSTENIBLE mitjançant desenvolupament dels aprofitaments tradicionals de forma compatible amb la conservació de l'espai</t>
        </is>
      </c>
      <c r="M192" s="11" t="inlineStr">
        <is>
          <t>Impulsar models productius agraris i forestals per tal d'afavorir la conservació dels hàbitats i els paisatges modelats per aquestes, i contribuir a la millora socioeconòmica de les persones que la fan possible</t>
        </is>
      </c>
      <c r="N192" s="11" t="inlineStr">
        <is>
          <t>Específic</t>
        </is>
      </c>
      <c r="O192" s="11" t="inlineStr">
        <is>
          <t>Optatiu</t>
        </is>
      </c>
      <c r="P192" s="11" t="inlineStr">
        <is>
          <t>Si</t>
        </is>
      </c>
      <c r="Q192" s="11" t="inlineStr">
        <is>
          <t>08.1.3 · Reconstrucció de murs i altres infraestructures de pedra seca directament, a través de la convocatòria d’ajuts, mitjançant accions de voluntariat i el — Metres quadrats de murs reconstruïts</t>
        </is>
      </c>
    </row>
    <row r="193">
      <c r="A193" s="11" t="inlineStr">
        <is>
          <t>4. Desenvolupament local</t>
        </is>
      </c>
      <c r="B193" s="11" t="inlineStr">
        <is>
          <t>08.1.3</t>
        </is>
      </c>
      <c r="C193" s="11" t="inlineStr">
        <is>
          <t>Promoure la recuperació i conservació de marges i punts d'aigua associats a la ramaderia i l'agricultura i d'interès per la biodiversitat</t>
        </is>
      </c>
      <c r="D193" s="11" t="inlineStr">
        <is>
          <t>Promoure la recuperació i conservació de marges, punts d'aigua i altres infraestructures associats a l'activitat agroramadera i d'interès per la biodiversitat</t>
        </is>
      </c>
      <c r="E193" s="11" t="inlineStr">
        <is>
          <t>Manteniment i instal·lació de nous llosats i tancaments a les cabanes de pastor comunals i patrimonials del Parc</t>
        </is>
      </c>
      <c r="F193" s="11" t="inlineStr">
        <is>
          <t>Número de cabanes mantingudes o millorades</t>
        </is>
      </c>
      <c r="G193" s="11" t="n">
        <v>6</v>
      </c>
      <c r="H193" s="11" t="n">
        <v>15</v>
      </c>
      <c r="I193" s="11" t="inlineStr">
        <is>
          <t>MITJANA</t>
        </is>
      </c>
      <c r="J193" s="11" t="inlineStr"/>
      <c r="K193" s="11" t="inlineStr"/>
      <c r="L193" s="11" t="inlineStr">
        <is>
          <t>APROFITAR ELS RECURSOS NATURALS DE FORMA SOSTENIBLE mitjançant desenvolupament dels aprofitaments tradicionals de forma compatible amb la conservació de l'espai</t>
        </is>
      </c>
      <c r="M193" s="11" t="inlineStr">
        <is>
          <t>Impulsar models productius agraris i forestals per tal d'afavorir la conservació dels hàbitats i els paisatges modelats per aquestes, i contribuir a la millora socioeconòmica de les persones que la fan possible</t>
        </is>
      </c>
      <c r="N193" s="11" t="inlineStr">
        <is>
          <t>Específic</t>
        </is>
      </c>
      <c r="O193" s="11" t="inlineStr">
        <is>
          <t>Optatiu</t>
        </is>
      </c>
      <c r="P193" s="11" t="inlineStr">
        <is>
          <t>Si</t>
        </is>
      </c>
      <c r="Q193" s="11" t="inlineStr">
        <is>
          <t>08.1.3 · Manteniment i instal·lació de nous llosats i tancaments a les cabanes de pastor comunals i patrimonials del Parc — Número de cabanes mantingudes o millorades</t>
        </is>
      </c>
    </row>
    <row r="194">
      <c r="A194" s="11" t="inlineStr">
        <is>
          <t>4. Desenvolupament local</t>
        </is>
      </c>
      <c r="B194" s="11" t="inlineStr">
        <is>
          <t>08.1.3</t>
        </is>
      </c>
      <c r="C194" s="11" t="inlineStr">
        <is>
          <t>Promoure la recuperació i conservació de marges i punts d'aigua associats a la ramaderia i l'agricultura i d'interès per la biodiversitat</t>
        </is>
      </c>
      <c r="D194" s="11" t="inlineStr">
        <is>
          <t>Promoure la recuperació i conservació de marges, punts d'aigua i altres infraestructures associats a l'activitat agroramadera i d'interès per la biodiversitat</t>
        </is>
      </c>
      <c r="E194" s="11" t="inlineStr">
        <is>
          <t>Reparació/millora infraestructures ramaderes existents i creació d’aquelles de titularitat pública que es considerin prioritàries pel maneig d’hàbitats de pastura del Parc</t>
        </is>
      </c>
      <c r="F194" s="11" t="inlineStr">
        <is>
          <t>Número infraestructures millorades i/o creades</t>
        </is>
      </c>
      <c r="G194" s="11" t="n">
        <v>16</v>
      </c>
      <c r="H194" s="11" t="n">
        <v>40</v>
      </c>
      <c r="I194" s="11" t="inlineStr">
        <is>
          <t>ALTA</t>
        </is>
      </c>
      <c r="J194" s="11" t="inlineStr">
        <is>
          <t>Millora rural</t>
        </is>
      </c>
      <c r="K194" s="11" t="inlineStr">
        <is>
          <t>Natalia</t>
        </is>
      </c>
      <c r="L194" s="11" t="inlineStr">
        <is>
          <t>APROFITAR ELS RECURSOS NATURALS DE FORMA SOSTENIBLE mitjançant desenvolupament dels aprofitaments tradicionals de forma compatible amb la conservació de l'espai</t>
        </is>
      </c>
      <c r="M194" s="11" t="inlineStr">
        <is>
          <t>Impulsar models productius agraris i forestals per tal d'afavorir la conservació dels hàbitats i els paisatges modelats per aquestes, i contribuir a la millora socioeconòmica de les persones que la fan possible</t>
        </is>
      </c>
      <c r="N194" s="11" t="inlineStr">
        <is>
          <t>Específic</t>
        </is>
      </c>
      <c r="O194" s="11" t="inlineStr">
        <is>
          <t>Optatiu</t>
        </is>
      </c>
      <c r="P194" s="11" t="inlineStr">
        <is>
          <t>Si</t>
        </is>
      </c>
      <c r="Q194" s="11" t="inlineStr">
        <is>
          <t>08.1.3 · Reparació/millora infraestructures ramaderes existents i creació d’aquelles de titularitat pública que es considerin prioritàries pel maneig d’hàbitat — Número infraestructures millorades i/o creades</t>
        </is>
      </c>
    </row>
    <row r="195">
      <c r="A195" s="11" t="inlineStr">
        <is>
          <t>4. Desenvolupament local</t>
        </is>
      </c>
      <c r="B195" s="11" t="inlineStr">
        <is>
          <t>08.2.1</t>
        </is>
      </c>
      <c r="C195" s="11" t="inlineStr">
        <is>
          <t>Establir una relació contínua amb agents socioeconòmics del territori, i si s'escau, crear una Taula de desenvolupament local</t>
        </is>
      </c>
      <c r="D195"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195" s="11" t="inlineStr">
        <is>
          <t>Crear, convocar i impulsar la participació de la Comissió Ramadera de la Junta Rectora i desplegament dels plans de treball</t>
        </is>
      </c>
      <c r="F195" s="11" t="inlineStr">
        <is>
          <t>Número sessions participació amb la comissió ramadera</t>
        </is>
      </c>
      <c r="G195" s="11" t="n">
        <v>4</v>
      </c>
      <c r="H195" s="11" t="n">
        <v>8</v>
      </c>
      <c r="I195" s="11" t="inlineStr">
        <is>
          <t>MÀXIMA</t>
        </is>
      </c>
      <c r="J195" s="11" t="inlineStr">
        <is>
          <t>Direccio</t>
        </is>
      </c>
      <c r="K195" s="11" t="inlineStr">
        <is>
          <t>Marc</t>
        </is>
      </c>
      <c r="L195" s="11" t="inlineStr">
        <is>
          <t>APROFITAR ELS RECURSOS NATURALS DE FORMA SOSTENIBLE mitjançant desenvolupament dels aprofitaments tradicionals de forma compatible amb la conservació de l'espai</t>
        </is>
      </c>
      <c r="M195" s="11" t="inlineStr">
        <is>
          <t>Promoure la coordinació amb els agents socioeconòmics del territori pel foment del desenvolupament sostenible de l'espai (sector primari i secundari)</t>
        </is>
      </c>
      <c r="N195" s="11" t="inlineStr"/>
      <c r="O195" s="11" t="inlineStr"/>
      <c r="P195" s="11" t="inlineStr">
        <is>
          <t>Si</t>
        </is>
      </c>
      <c r="Q195" s="11" t="inlineStr">
        <is>
          <t>08.2.1 · Crear, convocar i impulsar la participació de la Comissió Ramadera de la Junta Rectora i desplegament dels plans de treball — Número sessions participació amb la comissió ramadera</t>
        </is>
      </c>
    </row>
    <row r="196">
      <c r="A196" s="11" t="inlineStr">
        <is>
          <t>4. Desenvolupament local</t>
        </is>
      </c>
      <c r="B196" s="11" t="inlineStr">
        <is>
          <t>08.2.1</t>
        </is>
      </c>
      <c r="C196" s="11" t="inlineStr">
        <is>
          <t>Establir una relació contínua amb agents socioeconòmics del territori, i si s'escau, crear una Taula de desenvolupament local</t>
        </is>
      </c>
      <c r="D196"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196" s="11" t="inlineStr">
        <is>
          <t>Convocar i impulsar la participació de l'Associació de Productors i desplegament dels plans de treball</t>
        </is>
      </c>
      <c r="F196" s="11" t="inlineStr">
        <is>
          <t>Número de sessions participació amb Associació Productors</t>
        </is>
      </c>
      <c r="G196" s="11" t="n">
        <v>4</v>
      </c>
      <c r="H196" s="11" t="n">
        <v>8</v>
      </c>
      <c r="I196" s="11" t="inlineStr">
        <is>
          <t>ALTA</t>
        </is>
      </c>
      <c r="J196" s="11" t="inlineStr">
        <is>
          <t>Direccio</t>
        </is>
      </c>
      <c r="K196" s="11" t="inlineStr">
        <is>
          <t>Marc</t>
        </is>
      </c>
      <c r="L196" s="11" t="inlineStr">
        <is>
          <t>APROFITAR ELS RECURSOS NATURALS DE FORMA SOSTENIBLE mitjançant desenvolupament dels aprofitaments tradicionals de forma compatible amb la conservació de l'espai</t>
        </is>
      </c>
      <c r="M196" s="11" t="inlineStr">
        <is>
          <t>Promoure la coordinació amb els agents socioeconòmics del territori pel foment del desenvolupament sostenible de l'espai (sector primari i secundari)</t>
        </is>
      </c>
      <c r="N196" s="11" t="inlineStr"/>
      <c r="O196" s="11" t="inlineStr"/>
      <c r="P196" s="11" t="inlineStr">
        <is>
          <t>Si</t>
        </is>
      </c>
      <c r="Q196" s="11" t="inlineStr">
        <is>
          <t>08.2.1 · Convocar i impulsar la participació de l'Associació de Productors i desplegament dels plans de treball — Número de sessions participació amb Associació Productors</t>
        </is>
      </c>
    </row>
    <row r="197">
      <c r="A197" s="11" t="inlineStr">
        <is>
          <t>4. Desenvolupament local</t>
        </is>
      </c>
      <c r="B197" s="11" t="inlineStr">
        <is>
          <t>08.2.1</t>
        </is>
      </c>
      <c r="C197" s="11" t="inlineStr">
        <is>
          <t>Establir una relació contínua amb agents socioeconòmics del territori, i si s'escau, crear una Taula de desenvolupament local</t>
        </is>
      </c>
      <c r="D197"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197" s="11" t="inlineStr">
        <is>
          <t>Impulsar accions de promoció dels productes locals</t>
        </is>
      </c>
      <c r="F197" s="11" t="inlineStr">
        <is>
          <t>Número accions de promoció</t>
        </is>
      </c>
      <c r="G197" s="11" t="n">
        <v>30</v>
      </c>
      <c r="H197" s="11" t="n">
        <v>60</v>
      </c>
      <c r="I197" s="11" t="inlineStr">
        <is>
          <t>MITJANA</t>
        </is>
      </c>
      <c r="J197" s="11" t="inlineStr">
        <is>
          <t>Direccio</t>
        </is>
      </c>
      <c r="K197" s="11" t="inlineStr">
        <is>
          <t>Marc</t>
        </is>
      </c>
      <c r="L197" s="11" t="inlineStr">
        <is>
          <t>APROFITAR ELS RECURSOS NATURALS DE FORMA SOSTENIBLE mitjançant desenvolupament dels aprofitaments tradicionals de forma compatible amb la conservació de l'espai</t>
        </is>
      </c>
      <c r="M197" s="11" t="inlineStr">
        <is>
          <t>Promoure la coordinació amb els agents socioeconòmics del territori pel foment del desenvolupament sostenible de l'espai (sector primari i secundari)</t>
        </is>
      </c>
      <c r="N197" s="11" t="inlineStr"/>
      <c r="O197" s="11" t="inlineStr"/>
      <c r="P197" s="11" t="inlineStr">
        <is>
          <t>Si</t>
        </is>
      </c>
      <c r="Q197" s="11" t="inlineStr">
        <is>
          <t>08.2.1 · Impulsar accions de promoció dels productes locals — Número accions de promoció</t>
        </is>
      </c>
    </row>
    <row r="198">
      <c r="A198" s="11" t="inlineStr">
        <is>
          <t>4. Desenvolupament local</t>
        </is>
      </c>
      <c r="B198" s="11" t="inlineStr">
        <is>
          <t>08.2.1</t>
        </is>
      </c>
      <c r="C198" s="11" t="inlineStr">
        <is>
          <t>Establir una relació contínua amb agents socioeconòmics del territori, i si s'escau, crear una Taula de desenvolupament local</t>
        </is>
      </c>
      <c r="D198"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198" s="11" t="inlineStr">
        <is>
          <t>Publicació, difusió i actualització del nou catàleg de productors agroalimentaris “Fet al Parc”</t>
        </is>
      </c>
      <c r="F198" s="11" t="inlineStr">
        <is>
          <t>Número d’edicions del catàleg</t>
        </is>
      </c>
      <c r="G198" s="11" t="n">
        <v>1</v>
      </c>
      <c r="H198" s="11" t="n">
        <v>3</v>
      </c>
      <c r="I198" s="11" t="inlineStr">
        <is>
          <t>ALTA</t>
        </is>
      </c>
      <c r="J198" s="11" t="inlineStr"/>
      <c r="K198" s="11" t="inlineStr"/>
      <c r="L198" s="11" t="inlineStr">
        <is>
          <t>APROFITAR ELS RECURSOS NATURALS DE FORMA SOSTENIBLE mitjançant desenvolupament dels aprofitaments tradicionals de forma compatible amb la conservació de l'espai</t>
        </is>
      </c>
      <c r="M198" s="11" t="inlineStr">
        <is>
          <t>Promoure la coordinació amb els agents socioeconòmics del territori pel foment del desenvolupament sostenible de l'espai (sector primari i secundari)</t>
        </is>
      </c>
      <c r="N198" s="11" t="inlineStr"/>
      <c r="O198" s="11" t="inlineStr"/>
      <c r="P198" s="11" t="inlineStr">
        <is>
          <t>Si</t>
        </is>
      </c>
      <c r="Q198" s="11" t="inlineStr">
        <is>
          <t>08.2.1 · Publicació, difusió i actualització del nou catàleg de productors agroalimentaris “Fet al Parc” — Número d’edicions del catàleg</t>
        </is>
      </c>
    </row>
    <row r="199">
      <c r="A199" s="11" t="inlineStr">
        <is>
          <t>4. Desenvolupament local</t>
        </is>
      </c>
      <c r="B199" s="11" t="inlineStr">
        <is>
          <t>08.2.1</t>
        </is>
      </c>
      <c r="C199" s="11" t="inlineStr">
        <is>
          <t>Establir una relació contínua amb agents socioeconòmics del territori, i si s'escau, crear una Taula de desenvolupament local</t>
        </is>
      </c>
      <c r="D199"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199" s="11" t="inlineStr">
        <is>
          <t>Crear una taula de treball específica amb el sector artesania</t>
        </is>
      </c>
      <c r="F199" s="11" t="inlineStr">
        <is>
          <t>Creació de la taula</t>
        </is>
      </c>
      <c r="G199" s="11" t="inlineStr">
        <is>
          <t>no</t>
        </is>
      </c>
      <c r="H199" s="11" t="inlineStr">
        <is>
          <t>si</t>
        </is>
      </c>
      <c r="I199" s="11" t="inlineStr">
        <is>
          <t>MITJANA</t>
        </is>
      </c>
      <c r="J199" s="11" t="inlineStr">
        <is>
          <t>Direccio</t>
        </is>
      </c>
      <c r="K199" s="11" t="inlineStr">
        <is>
          <t>Febrer</t>
        </is>
      </c>
      <c r="L199" s="11" t="inlineStr">
        <is>
          <t>APROFITAR ELS RECURSOS NATURALS DE FORMA SOSTENIBLE mitjançant desenvolupament dels aprofitaments tradicionals de forma compatible amb la conservació de l'espai</t>
        </is>
      </c>
      <c r="M199" s="11" t="inlineStr">
        <is>
          <t>Promoure la coordinació amb els agents socioeconòmics del territori pel foment del desenvolupament sostenible de l'espai (sector primari i secundari)</t>
        </is>
      </c>
      <c r="N199" s="11" t="inlineStr"/>
      <c r="O199" s="11" t="inlineStr"/>
      <c r="P199" s="11" t="inlineStr">
        <is>
          <t>Si</t>
        </is>
      </c>
      <c r="Q199" s="11" t="inlineStr">
        <is>
          <t>08.2.1 · Crear una taula de treball específica amb el sector artesania — Creació de la taula</t>
        </is>
      </c>
    </row>
    <row r="200">
      <c r="A200" s="11" t="inlineStr">
        <is>
          <t>4. Desenvolupament local</t>
        </is>
      </c>
      <c r="B200" s="11" t="inlineStr">
        <is>
          <t>08.2.1</t>
        </is>
      </c>
      <c r="C200" s="11" t="inlineStr">
        <is>
          <t>Establir una relació contínua amb agents socioeconòmics del territori, i si s'escau, crear una Taula de desenvolupament local</t>
        </is>
      </c>
      <c r="D200"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200" s="11" t="inlineStr">
        <is>
          <t>Dissenyar i publicar el nou catàleg de productors artesans no agroalimentaris “Fet al Parc”</t>
        </is>
      </c>
      <c r="F200" s="11" t="inlineStr">
        <is>
          <t>Acció realitzada</t>
        </is>
      </c>
      <c r="G200" s="11" t="inlineStr">
        <is>
          <t>no</t>
        </is>
      </c>
      <c r="H200" s="11" t="inlineStr">
        <is>
          <t>si</t>
        </is>
      </c>
      <c r="I200" s="11" t="inlineStr">
        <is>
          <t>MITJANA</t>
        </is>
      </c>
      <c r="J200" s="11" t="inlineStr"/>
      <c r="K200" s="11" t="inlineStr"/>
      <c r="L200" s="11" t="inlineStr">
        <is>
          <t>APROFITAR ELS RECURSOS NATURALS DE FORMA SOSTENIBLE mitjançant desenvolupament dels aprofitaments tradicionals de forma compatible amb la conservació de l'espai</t>
        </is>
      </c>
      <c r="M200" s="11" t="inlineStr">
        <is>
          <t>Promoure la coordinació amb els agents socioeconòmics del territori pel foment del desenvolupament sostenible de l'espai (sector primari i secundari)</t>
        </is>
      </c>
      <c r="N200" s="11" t="inlineStr"/>
      <c r="O200" s="11" t="inlineStr"/>
      <c r="P200" s="11" t="inlineStr">
        <is>
          <t>Si</t>
        </is>
      </c>
      <c r="Q200" s="11" t="inlineStr">
        <is>
          <t>08.2.1 · Dissenyar i publicar el nou catàleg de productors artesans no agroalimentaris “Fet al Parc” — Acció realitzada</t>
        </is>
      </c>
    </row>
    <row r="201">
      <c r="A201" s="11" t="inlineStr">
        <is>
          <t>4. Desenvolupament local</t>
        </is>
      </c>
      <c r="B201" s="11" t="inlineStr">
        <is>
          <t>08.2.1</t>
        </is>
      </c>
      <c r="C201" s="11" t="inlineStr">
        <is>
          <t>Establir una relació contínua amb agents socioeconòmics del territori, i si s'escau, crear una Taula de desenvolupament local</t>
        </is>
      </c>
      <c r="D201"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201" s="11" t="inlineStr">
        <is>
          <t>Crear una taula de treball específica amb les empreses sector forestal</t>
        </is>
      </c>
      <c r="F201" s="11" t="inlineStr">
        <is>
          <t>Creació de la taula</t>
        </is>
      </c>
      <c r="G201" s="11" t="inlineStr">
        <is>
          <t>no</t>
        </is>
      </c>
      <c r="H201" s="11" t="inlineStr">
        <is>
          <t>si</t>
        </is>
      </c>
      <c r="I201" s="11" t="inlineStr">
        <is>
          <t>MITJANA</t>
        </is>
      </c>
      <c r="J201" s="11" t="inlineStr">
        <is>
          <t>Direccio</t>
        </is>
      </c>
      <c r="K201" s="11" t="inlineStr">
        <is>
          <t>Marc</t>
        </is>
      </c>
      <c r="L201" s="11" t="inlineStr">
        <is>
          <t>APROFITAR ELS RECURSOS NATURALS DE FORMA SOSTENIBLE mitjançant desenvolupament dels aprofitaments tradicionals de forma compatible amb la conservació de l'espai</t>
        </is>
      </c>
      <c r="M201" s="11" t="inlineStr">
        <is>
          <t>Promoure la coordinació amb els agents socioeconòmics del territori pel foment del desenvolupament sostenible de l'espai (sector primari i secundari)</t>
        </is>
      </c>
      <c r="N201" s="11" t="inlineStr"/>
      <c r="O201" s="11" t="inlineStr"/>
      <c r="P201" s="11" t="inlineStr">
        <is>
          <t>Si</t>
        </is>
      </c>
      <c r="Q201" s="11" t="inlineStr">
        <is>
          <t>08.2.1 · Crear una taula de treball específica amb les empreses sector forestal — Creació de la taula</t>
        </is>
      </c>
    </row>
    <row r="202">
      <c r="A202" s="11" t="inlineStr">
        <is>
          <t>4. Desenvolupament local</t>
        </is>
      </c>
      <c r="B202" s="11" t="inlineStr">
        <is>
          <t>08.2.1</t>
        </is>
      </c>
      <c r="C202" s="11" t="inlineStr">
        <is>
          <t>Establir una relació contínua amb agents socioeconòmics del territori, i si s'escau, crear una Taula de desenvolupament local</t>
        </is>
      </c>
      <c r="D202" s="11"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E202" s="11" t="inlineStr">
        <is>
          <t>Participació en la definició i desplegament dels plans de treball amb cada tipus de taula de desenvolupament local (Del Parc al Plat, Comissio Ramadera, artesans i forestal)</t>
        </is>
      </c>
      <c r="F202" s="11" t="inlineStr">
        <is>
          <t>Número plans de treball</t>
        </is>
      </c>
      <c r="G202" s="11" t="n">
        <v>2</v>
      </c>
      <c r="H202" s="11" t="n">
        <v>4</v>
      </c>
      <c r="I202" s="11" t="inlineStr">
        <is>
          <t>ALTA</t>
        </is>
      </c>
      <c r="J202" s="11" t="inlineStr">
        <is>
          <t>Direccio</t>
        </is>
      </c>
      <c r="K202" s="11" t="inlineStr">
        <is>
          <t>Marc</t>
        </is>
      </c>
      <c r="L202" s="11" t="inlineStr">
        <is>
          <t>APROFITAR ELS RECURSOS NATURALS DE FORMA SOSTENIBLE mitjançant desenvolupament dels aprofitaments tradicionals de forma compatible amb la conservació de l'espai</t>
        </is>
      </c>
      <c r="M202" s="11" t="inlineStr">
        <is>
          <t>Promoure la coordinació amb els agents socioeconòmics del territori pel foment del desenvolupament sostenible de l'espai (sector primari i secundari)</t>
        </is>
      </c>
      <c r="N202" s="11" t="inlineStr"/>
      <c r="O202" s="11" t="inlineStr"/>
      <c r="P202" s="11" t="inlineStr">
        <is>
          <t>Si</t>
        </is>
      </c>
      <c r="Q202" s="11" t="inlineStr">
        <is>
          <t>08.2.1 · Participació en la definició i desplegament dels plans de treball amb cada tipus de taula de desenvolupament local (Del Parc al Plat, Comissio Ramader — Número plans de treball</t>
        </is>
      </c>
    </row>
    <row r="203">
      <c r="A203" s="11" t="inlineStr">
        <is>
          <t>4. Desenvolupament local</t>
        </is>
      </c>
      <c r="B203" s="11" t="inlineStr">
        <is>
          <t>08.3.1</t>
        </is>
      </c>
      <c r="C203" s="11" t="inlineStr">
        <is>
          <t>Implantar un distintiu de qualitat i compatibilitat amb la conservació dels productes de la Xarxa d'ENP o criteris de qualitat propis de l'ENP</t>
        </is>
      </c>
      <c r="D203" s="11" t="inlineStr">
        <is>
          <t>Implantar un distintiu de qualitat i compatibilitat amb la conservació dels productes de la Xarxa d'ENP o criteris de qualitat propis de l'ENP</t>
        </is>
      </c>
      <c r="E203" s="11" t="inlineStr">
        <is>
          <t>Generació d'un segell comú per a tota la xarxa de Parcs (responsabilitat de SENP)</t>
        </is>
      </c>
      <c r="F203" s="11" t="inlineStr">
        <is>
          <t>Generació de la marca</t>
        </is>
      </c>
      <c r="G203" s="11" t="inlineStr">
        <is>
          <t>no</t>
        </is>
      </c>
      <c r="H203" s="11" t="inlineStr">
        <is>
          <t>si</t>
        </is>
      </c>
      <c r="I203" s="11" t="inlineStr">
        <is>
          <t>MITJANA</t>
        </is>
      </c>
      <c r="J203" s="11" t="inlineStr">
        <is>
          <t>SENP</t>
        </is>
      </c>
      <c r="K203" s="11" t="inlineStr">
        <is>
          <t>Lluis Balaguer</t>
        </is>
      </c>
      <c r="L203" s="11" t="inlineStr">
        <is>
          <t>APROFITAR ELS RECURSOS NATURALS DE FORMA SOSTENIBLE mitjançant desenvolupament dels aprofitaments tradicionals de forma compatible amb la conservació de l'espai</t>
        </is>
      </c>
      <c r="M203" s="11" t="inlineStr">
        <is>
          <t>Millorar la valorització i comercialització dels productes generats a l'ENP que contribueixen al desenvolupament socioeconòmic i la conservació del patrimoni de l'ENP</t>
        </is>
      </c>
      <c r="N203" s="11" t="inlineStr">
        <is>
          <t>Comú</t>
        </is>
      </c>
      <c r="O203" s="11" t="inlineStr">
        <is>
          <t>Optatiu</t>
        </is>
      </c>
      <c r="P203" s="11" t="inlineStr">
        <is>
          <t>Si</t>
        </is>
      </c>
      <c r="Q203" s="11" t="inlineStr">
        <is>
          <t>08.3.1 · Generació d'un segell comú per a tota la xarxa de Parcs (responsabilitat de SENP) — Generació de la marca</t>
        </is>
      </c>
    </row>
    <row r="204">
      <c r="A204" s="11" t="inlineStr">
        <is>
          <t>4. Desenvolupament local</t>
        </is>
      </c>
      <c r="B204" s="11" t="inlineStr">
        <is>
          <t>08.3.1</t>
        </is>
      </c>
      <c r="C204" s="11" t="inlineStr">
        <is>
          <t>Implantar un distintiu de qualitat i compatibilitat amb la conservació dels productes de la Xarxa d'ENP o criteris de qualitat propis de l'ENP</t>
        </is>
      </c>
      <c r="D204" s="11" t="inlineStr">
        <is>
          <t>Implantar un distintiu de qualitat i compatibilitat amb la conservació dels productes de la Xarxa d'ENP o criteris de qualitat propis de l'ENP</t>
        </is>
      </c>
      <c r="E204" s="11" t="inlineStr">
        <is>
          <t>Establiment de criteris propis de l'ENP per poder facilitar identificació de productes de qualitat i respectuosos</t>
        </is>
      </c>
      <c r="F204" s="11" t="inlineStr">
        <is>
          <t>Establiment de criteris propis</t>
        </is>
      </c>
      <c r="G204" s="11" t="inlineStr">
        <is>
          <t>no</t>
        </is>
      </c>
      <c r="H204" s="11" t="inlineStr">
        <is>
          <t>si</t>
        </is>
      </c>
      <c r="I204" s="11" t="inlineStr">
        <is>
          <t>MITJANA</t>
        </is>
      </c>
      <c r="J204" s="11" t="inlineStr">
        <is>
          <t>Direccio</t>
        </is>
      </c>
      <c r="K204" s="11" t="inlineStr">
        <is>
          <t>Marc</t>
        </is>
      </c>
      <c r="L204" s="11" t="inlineStr">
        <is>
          <t>APROFITAR ELS RECURSOS NATURALS DE FORMA SOSTENIBLE mitjançant desenvolupament dels aprofitaments tradicionals de forma compatible amb la conservació de l'espai</t>
        </is>
      </c>
      <c r="M204" s="11" t="inlineStr">
        <is>
          <t>Millorar la valorització i comercialització dels productes generats a l'ENP que contribueixen al desenvolupament socioeconòmic i la conservació del patrimoni de l'ENP</t>
        </is>
      </c>
      <c r="N204" s="11" t="inlineStr">
        <is>
          <t>Comú</t>
        </is>
      </c>
      <c r="O204" s="11" t="inlineStr">
        <is>
          <t>Optatiu</t>
        </is>
      </c>
      <c r="P204" s="11" t="inlineStr">
        <is>
          <t>Si</t>
        </is>
      </c>
      <c r="Q204" s="11" t="inlineStr">
        <is>
          <t>08.3.1 · Establiment de criteris propis de l'ENP per poder facilitar identificació de productes de qualitat i respectuosos — Establiment de criteris propis</t>
        </is>
      </c>
    </row>
    <row r="205">
      <c r="A205" s="11" t="inlineStr">
        <is>
          <t>4. Desenvolupament local</t>
        </is>
      </c>
      <c r="B205" s="11" t="inlineStr">
        <is>
          <t>08.3.2</t>
        </is>
      </c>
      <c r="C205" s="11" t="inlineStr">
        <is>
          <t>Integrar els productes i activitats locals de qualitat en l'oferta d'activitats d'informació i turístiques de l'ENP</t>
        </is>
      </c>
      <c r="D205" s="11" t="inlineStr">
        <is>
          <t>Integrar els productes i activitats locals de qualitat en l'oferta d'activitats d'informació i turístiques de l'ENP</t>
        </is>
      </c>
      <c r="E205" s="11" t="inlineStr">
        <is>
          <t>Inclusió de visites a productors o artesans en el catàleg d'activitats de l'ENP</t>
        </is>
      </c>
      <c r="F205" s="11" t="inlineStr">
        <is>
          <t>Número propostes visita diferents a l'agenda d'activitats del Parc</t>
        </is>
      </c>
      <c r="G205" s="11" t="n">
        <v>2</v>
      </c>
      <c r="H205" s="11" t="n">
        <v>5</v>
      </c>
      <c r="I205" s="11" t="inlineStr">
        <is>
          <t>MITJANA</t>
        </is>
      </c>
      <c r="J205" s="11" t="inlineStr">
        <is>
          <t>Us public</t>
        </is>
      </c>
      <c r="K205" s="11" t="inlineStr">
        <is>
          <t>Moi</t>
        </is>
      </c>
      <c r="L205" s="11" t="inlineStr">
        <is>
          <t>APROFITAR ELS RECURSOS NATURALS DE FORMA SOSTENIBLE mitjançant desenvolupament dels aprofitaments tradicionals de forma compatible amb la conservació de l'espai</t>
        </is>
      </c>
      <c r="M205" s="11" t="inlineStr">
        <is>
          <t>Millorar la valorització i comercialització dels productes generats a l'ENP que contribueixen al desenvolupament socioeconòmic i la conservació del patrimoni de l'ENP</t>
        </is>
      </c>
      <c r="N205" s="11" t="inlineStr">
        <is>
          <t>Comú</t>
        </is>
      </c>
      <c r="O205" s="11" t="inlineStr">
        <is>
          <t>Obligatori</t>
        </is>
      </c>
      <c r="P205" s="11" t="inlineStr">
        <is>
          <t>Si</t>
        </is>
      </c>
      <c r="Q205" s="11" t="inlineStr">
        <is>
          <t>08.3.2 · Inclusió de visites a productors o artesans en el catàleg d'activitats de l'ENP — Número propostes visita diferents a l'agenda d'activitats del Parc</t>
        </is>
      </c>
    </row>
    <row r="206">
      <c r="A206" s="11" t="inlineStr">
        <is>
          <t>4. Desenvolupament local</t>
        </is>
      </c>
      <c r="B206" s="11" t="inlineStr">
        <is>
          <t>08.3.2</t>
        </is>
      </c>
      <c r="C206" s="11" t="inlineStr">
        <is>
          <t>Integrar els productes i activitats locals de qualitat en l'oferta d'activitats d'informació i turístiques de l'ENP</t>
        </is>
      </c>
      <c r="D206" s="11" t="inlineStr">
        <is>
          <t>Integrar els productes i activitats locals de qualitat en l'oferta d'activitats d'informació i turístiques de l'ENP</t>
        </is>
      </c>
      <c r="E206" s="11" t="inlineStr">
        <is>
          <t>Elaboració i actualització periòdica del catàleg de productors agroalimentaris</t>
        </is>
      </c>
      <c r="F206" s="11" t="inlineStr">
        <is>
          <t>Número de fitxes del catàleg creades</t>
        </is>
      </c>
      <c r="G206" s="11" t="n">
        <v>50</v>
      </c>
      <c r="H206" s="11" t="n">
        <v>70</v>
      </c>
      <c r="I206" s="11" t="inlineStr">
        <is>
          <t>ALTA</t>
        </is>
      </c>
      <c r="J206" s="11" t="inlineStr">
        <is>
          <t>Direccio</t>
        </is>
      </c>
      <c r="K206" s="11" t="inlineStr">
        <is>
          <t>Marc</t>
        </is>
      </c>
      <c r="L206" s="11" t="inlineStr">
        <is>
          <t>APROFITAR ELS RECURSOS NATURALS DE FORMA SOSTENIBLE mitjançant desenvolupament dels aprofitaments tradicionals de forma compatible amb la conservació de l'espai</t>
        </is>
      </c>
      <c r="M206" s="11" t="inlineStr">
        <is>
          <t>Millorar la valorització i comercialització dels productes generats a l'ENP que contribueixen al desenvolupament socioeconòmic i la conservació del patrimoni de l'ENP</t>
        </is>
      </c>
      <c r="N206" s="11" t="inlineStr">
        <is>
          <t>Comú</t>
        </is>
      </c>
      <c r="O206" s="11" t="inlineStr">
        <is>
          <t>Obligatori</t>
        </is>
      </c>
      <c r="P206" s="11" t="inlineStr">
        <is>
          <t>Si</t>
        </is>
      </c>
      <c r="Q206" s="11" t="inlineStr">
        <is>
          <t>08.3.2 · Elaboració i actualització periòdica del catàleg de productors agroalimentaris — Número de fitxes del catàleg creades</t>
        </is>
      </c>
    </row>
    <row r="207">
      <c r="A207" s="11" t="inlineStr">
        <is>
          <t>4. Desenvolupament local</t>
        </is>
      </c>
      <c r="B207" s="11" t="inlineStr">
        <is>
          <t>08.3.2</t>
        </is>
      </c>
      <c r="C207" s="11" t="inlineStr">
        <is>
          <t>Integrar els productes i activitats locals de qualitat en l'oferta d'activitats d'informació i turístiques de l'ENP</t>
        </is>
      </c>
      <c r="D207" s="11" t="inlineStr">
        <is>
          <t>Integrar els productes i activitats locals de qualitat en l'oferta d'activitats d'informació i turístiques de l'ENP</t>
        </is>
      </c>
      <c r="E207" s="11" t="inlineStr">
        <is>
          <t>Elaboració nou catàleg d'artesans</t>
        </is>
      </c>
      <c r="F207" s="11" t="inlineStr">
        <is>
          <t>Número de fitxes del catàleg creades</t>
        </is>
      </c>
      <c r="G207" s="11" t="n">
        <v>10</v>
      </c>
      <c r="H207" s="11" t="n">
        <v>30</v>
      </c>
      <c r="I207" s="11" t="inlineStr">
        <is>
          <t>MITJANA</t>
        </is>
      </c>
      <c r="J207" s="11" t="inlineStr">
        <is>
          <t>Direccio</t>
        </is>
      </c>
      <c r="K207" s="11" t="inlineStr">
        <is>
          <t>Marc</t>
        </is>
      </c>
      <c r="L207" s="11" t="inlineStr">
        <is>
          <t>APROFITAR ELS RECURSOS NATURALS DE FORMA SOSTENIBLE mitjançant desenvolupament dels aprofitaments tradicionals de forma compatible amb la conservació de l'espai</t>
        </is>
      </c>
      <c r="M207" s="11" t="inlineStr">
        <is>
          <t>Millorar la valorització i comercialització dels productes generats a l'ENP que contribueixen al desenvolupament socioeconòmic i la conservació del patrimoni de l'ENP</t>
        </is>
      </c>
      <c r="N207" s="11" t="inlineStr">
        <is>
          <t>Comú</t>
        </is>
      </c>
      <c r="O207" s="11" t="inlineStr">
        <is>
          <t>Obligatori</t>
        </is>
      </c>
      <c r="P207" s="11" t="inlineStr">
        <is>
          <t>Si</t>
        </is>
      </c>
      <c r="Q207" s="11" t="inlineStr">
        <is>
          <t>08.3.2 · Elaboració nou catàleg d'artesans — Número de fitxes del catàleg creades</t>
        </is>
      </c>
    </row>
    <row r="208">
      <c r="A208" s="11" t="inlineStr">
        <is>
          <t>4. Desenvolupament local</t>
        </is>
      </c>
      <c r="B208" s="11" t="inlineStr">
        <is>
          <t>08.3.3</t>
        </is>
      </c>
      <c r="C208" s="11" t="inlineStr">
        <is>
          <t>Promoure fires d'artesania i productes locals de l'ENP</t>
        </is>
      </c>
      <c r="D208" s="11" t="inlineStr">
        <is>
          <t>Promoure fires d'artesania i productes locals de l'ENP</t>
        </is>
      </c>
      <c r="E208" s="11" t="inlineStr">
        <is>
          <t>Realitzar la Fira dels Productes del Parc</t>
        </is>
      </c>
      <c r="F208" s="11" t="inlineStr">
        <is>
          <t>Número edicions de la Fira</t>
        </is>
      </c>
      <c r="G208" s="11" t="n">
        <v>3</v>
      </c>
      <c r="H208" s="11" t="n">
        <v>4</v>
      </c>
      <c r="I208" s="11" t="inlineStr">
        <is>
          <t>ALTA</t>
        </is>
      </c>
      <c r="J208" s="11" t="inlineStr">
        <is>
          <t>Direccio</t>
        </is>
      </c>
      <c r="K208" s="11" t="inlineStr">
        <is>
          <t>Marc</t>
        </is>
      </c>
      <c r="L208" s="11" t="inlineStr">
        <is>
          <t>APROFITAR ELS RECURSOS NATURALS DE FORMA SOSTENIBLE mitjançant desenvolupament dels aprofitaments tradicionals de forma compatible amb la conservació de l'espai</t>
        </is>
      </c>
      <c r="M208" s="11" t="inlineStr">
        <is>
          <t>Millorar la valorització i comercialització dels productes generats a l'ENP que contribueixen al desenvolupament socioeconòmic i la conservació del patrimoni de l'ENP</t>
        </is>
      </c>
      <c r="N208" s="11" t="inlineStr">
        <is>
          <t>Comú</t>
        </is>
      </c>
      <c r="O208" s="11" t="inlineStr">
        <is>
          <t>Optatiu</t>
        </is>
      </c>
      <c r="P208" s="11" t="inlineStr">
        <is>
          <t>Si</t>
        </is>
      </c>
      <c r="Q208" s="11" t="inlineStr">
        <is>
          <t>08.3.3 · Realitzar la Fira dels Productes del Parc — Número edicions de la Fira</t>
        </is>
      </c>
    </row>
    <row r="209">
      <c r="A209" s="11" t="inlineStr">
        <is>
          <t>4. Desenvolupament local</t>
        </is>
      </c>
      <c r="B209" s="11" t="inlineStr">
        <is>
          <t>08.3.3</t>
        </is>
      </c>
      <c r="C209" s="11" t="inlineStr">
        <is>
          <t>Promoure fires d'artesania i productes locals de l'ENP</t>
        </is>
      </c>
      <c r="D209" s="11" t="inlineStr">
        <is>
          <t>Promoure fires d'artesania i productes locals de l'ENP</t>
        </is>
      </c>
      <c r="E209" s="11" t="inlineStr">
        <is>
          <t>Donar suport a fires d'artesania i productes locals dels municipis de la CETS Alt Pirineu</t>
        </is>
      </c>
      <c r="F209" s="11" t="inlineStr">
        <is>
          <t>Número edicions de fires es dona suport</t>
        </is>
      </c>
      <c r="G209" s="11" t="n">
        <v>16</v>
      </c>
      <c r="H209" s="11" t="n">
        <v>32</v>
      </c>
      <c r="I209" s="11" t="inlineStr">
        <is>
          <t>MITJANA</t>
        </is>
      </c>
      <c r="J209" s="11" t="inlineStr">
        <is>
          <t>Direccio</t>
        </is>
      </c>
      <c r="K209" s="11" t="inlineStr">
        <is>
          <t>Marc</t>
        </is>
      </c>
      <c r="L209" s="11" t="inlineStr">
        <is>
          <t>APROFITAR ELS RECURSOS NATURALS DE FORMA SOSTENIBLE mitjançant desenvolupament dels aprofitaments tradicionals de forma compatible amb la conservació de l'espai</t>
        </is>
      </c>
      <c r="M209" s="11" t="inlineStr">
        <is>
          <t>Millorar la valorització i comercialització dels productes generats a l'ENP que contribueixen al desenvolupament socioeconòmic i la conservació del patrimoni de l'ENP</t>
        </is>
      </c>
      <c r="N209" s="11" t="inlineStr">
        <is>
          <t>Comú</t>
        </is>
      </c>
      <c r="O209" s="11" t="inlineStr">
        <is>
          <t>Optatiu</t>
        </is>
      </c>
      <c r="P209" s="11" t="inlineStr">
        <is>
          <t>Si</t>
        </is>
      </c>
      <c r="Q209" s="11" t="inlineStr">
        <is>
          <t>08.3.3 · Donar suport a fires d'artesania i productes locals dels municipis de la CETS Alt Pirineu — Número edicions de fires es dona suport</t>
        </is>
      </c>
    </row>
    <row r="210">
      <c r="A210" s="11" t="inlineStr">
        <is>
          <t>4. Desenvolupament local</t>
        </is>
      </c>
      <c r="B210" s="11" t="inlineStr">
        <is>
          <t>08.3.4</t>
        </is>
      </c>
      <c r="C210" s="11" t="inlineStr">
        <is>
          <t>Generar aliances entre el sector primari, el turisme, la restauració i altres per fomentar la gastronomia local</t>
        </is>
      </c>
      <c r="D210" s="11" t="inlineStr">
        <is>
          <t>Generar aliances entre el sector primari, el turisme, la restauració i altres per fomentar la gastronomia local</t>
        </is>
      </c>
      <c r="E210" s="11" t="inlineStr">
        <is>
          <t>Accions de suport a l'Escola Slow Food del Pallars</t>
        </is>
      </c>
      <c r="F210" s="11" t="inlineStr">
        <is>
          <t>Número accions de suport</t>
        </is>
      </c>
      <c r="G210" s="11" t="n">
        <v>1</v>
      </c>
      <c r="H210" s="11" t="n">
        <v>4</v>
      </c>
      <c r="I210" s="11" t="inlineStr">
        <is>
          <t>MITJANA</t>
        </is>
      </c>
      <c r="J210" s="11" t="inlineStr">
        <is>
          <t>Direccio</t>
        </is>
      </c>
      <c r="K210" s="11" t="inlineStr">
        <is>
          <t>Marc</t>
        </is>
      </c>
      <c r="L210" s="11" t="inlineStr">
        <is>
          <t>APROFITAR ELS RECURSOS NATURALS DE FORMA SOSTENIBLE mitjançant desenvolupament dels aprofitaments tradicionals de forma compatible amb la conservació de l'espai</t>
        </is>
      </c>
      <c r="M210" s="11" t="inlineStr">
        <is>
          <t>Millorar la valorització i comercialització dels productes generats a l'ENP que contribueixen al desenvolupament socioeconòmic i la conservació del patrimoni de l'ENP</t>
        </is>
      </c>
      <c r="N210" s="11" t="inlineStr">
        <is>
          <t>Comú</t>
        </is>
      </c>
      <c r="O210" s="11" t="inlineStr">
        <is>
          <t>Optatiu</t>
        </is>
      </c>
      <c r="P210" s="11" t="inlineStr">
        <is>
          <t>Si</t>
        </is>
      </c>
      <c r="Q210" s="11" t="inlineStr">
        <is>
          <t>08.3.4 · Accions de suport a l'Escola Slow Food del Pallars — Número accions de suport</t>
        </is>
      </c>
    </row>
    <row r="211">
      <c r="A211" s="11" t="inlineStr">
        <is>
          <t>4. Desenvolupament local</t>
        </is>
      </c>
      <c r="B211" s="11" t="inlineStr">
        <is>
          <t>08.3.4</t>
        </is>
      </c>
      <c r="C211" s="11" t="inlineStr">
        <is>
          <t>Generar aliances entre el sector primari, el turisme, la restauració i altres per fomentar la gastronomia local</t>
        </is>
      </c>
      <c r="D211" s="11" t="inlineStr">
        <is>
          <t>Generar aliances entre el sector primari, el turisme, la restauració i altres per fomentar la gastronomia local</t>
        </is>
      </c>
      <c r="E211" s="11" t="inlineStr">
        <is>
          <t>Creació i posada en funcionament de l'obrador compartit de Casa Bringué</t>
        </is>
      </c>
      <c r="F211" s="11" t="inlineStr">
        <is>
          <t>Es crea i es posa en marxa obrador</t>
        </is>
      </c>
      <c r="G211" s="11" t="inlineStr">
        <is>
          <t>no</t>
        </is>
      </c>
      <c r="H211" s="11" t="inlineStr">
        <is>
          <t>si</t>
        </is>
      </c>
      <c r="I211" s="11" t="inlineStr">
        <is>
          <t>BAIXA</t>
        </is>
      </c>
      <c r="J211" s="11" t="inlineStr">
        <is>
          <t>Direccio</t>
        </is>
      </c>
      <c r="K211" s="11" t="inlineStr">
        <is>
          <t>Marc</t>
        </is>
      </c>
      <c r="L211" s="11" t="inlineStr">
        <is>
          <t>APROFITAR ELS RECURSOS NATURALS DE FORMA SOSTENIBLE mitjançant desenvolupament dels aprofitaments tradicionals de forma compatible amb la conservació de l'espai</t>
        </is>
      </c>
      <c r="M211" s="11" t="inlineStr">
        <is>
          <t>Millorar la valorització i comercialització dels productes generats a l'ENP que contribueixen al desenvolupament socioeconòmic i la conservació del patrimoni de l'ENP</t>
        </is>
      </c>
      <c r="N211" s="11" t="inlineStr">
        <is>
          <t>Comú</t>
        </is>
      </c>
      <c r="O211" s="11" t="inlineStr">
        <is>
          <t>Optatiu</t>
        </is>
      </c>
      <c r="P211" s="11" t="inlineStr">
        <is>
          <t>Si</t>
        </is>
      </c>
      <c r="Q211" s="11" t="inlineStr">
        <is>
          <t>08.3.4 · Creació i posada en funcionament de l'obrador compartit de Casa Bringué — Es crea i es posa en marxa obrador</t>
        </is>
      </c>
    </row>
    <row r="212">
      <c r="A212" s="11" t="inlineStr">
        <is>
          <t>4. Desenvolupament local</t>
        </is>
      </c>
      <c r="B212" s="11" t="inlineStr">
        <is>
          <t>08.3.4</t>
        </is>
      </c>
      <c r="C212" s="11" t="inlineStr">
        <is>
          <t>Generar aliances entre el sector primari, el turisme, la restauració i altres per fomentar la gastronomia local</t>
        </is>
      </c>
      <c r="D212" s="11" t="inlineStr">
        <is>
          <t>Generar aliances entre el sector primari, el turisme, la restauració i altres per fomentar la gastronomia local</t>
        </is>
      </c>
      <c r="E212" s="11" t="inlineStr">
        <is>
          <t>Accions de suport a l'obrador comunitari i escorxador de Sort</t>
        </is>
      </c>
      <c r="F212" s="11" t="inlineStr">
        <is>
          <t>Número accions de suport</t>
        </is>
      </c>
      <c r="G212" s="11" t="n">
        <v>1</v>
      </c>
      <c r="H212" s="11" t="n">
        <v>4</v>
      </c>
      <c r="I212" s="11" t="inlineStr">
        <is>
          <t>MITJANA</t>
        </is>
      </c>
      <c r="J212" s="11" t="inlineStr">
        <is>
          <t>Direccio</t>
        </is>
      </c>
      <c r="K212" s="11" t="inlineStr">
        <is>
          <t>Marc</t>
        </is>
      </c>
      <c r="L212" s="11" t="inlineStr">
        <is>
          <t>APROFITAR ELS RECURSOS NATURALS DE FORMA SOSTENIBLE mitjançant desenvolupament dels aprofitaments tradicionals de forma compatible amb la conservació de l'espai</t>
        </is>
      </c>
      <c r="M212" s="11" t="inlineStr">
        <is>
          <t>Millorar la valorització i comercialització dels productes generats a l'ENP que contribueixen al desenvolupament socioeconòmic i la conservació del patrimoni de l'ENP</t>
        </is>
      </c>
      <c r="N212" s="11" t="inlineStr">
        <is>
          <t>Comú</t>
        </is>
      </c>
      <c r="O212" s="11" t="inlineStr">
        <is>
          <t>Optatiu</t>
        </is>
      </c>
      <c r="P212" s="11" t="inlineStr">
        <is>
          <t>Si</t>
        </is>
      </c>
      <c r="Q212" s="11" t="inlineStr">
        <is>
          <t>08.3.4 · Accions de suport a l'obrador comunitari i escorxador de Sort — Número accions de suport</t>
        </is>
      </c>
    </row>
    <row r="213">
      <c r="A213" s="11" t="inlineStr">
        <is>
          <t>4. Desenvolupament local</t>
        </is>
      </c>
      <c r="B213" s="11" t="inlineStr">
        <is>
          <t>08.3.5</t>
        </is>
      </c>
      <c r="C213" s="11" t="inlineStr">
        <is>
          <t>Elaborar una diagnòsi del teixit productiu local i un pla d’acció amb línies de treball i actuacions concretes per donar-li suport</t>
        </is>
      </c>
      <c r="D213" s="11" t="inlineStr">
        <is>
          <t>Elaborar una diagnòsi del teixit productiu local i un pla d’acció amb línies de treball i actuacions concretes per donar-li suport</t>
        </is>
      </c>
      <c r="E213" s="11" t="inlineStr"/>
      <c r="F213" s="11" t="inlineStr"/>
      <c r="G213" s="11" t="n"/>
      <c r="H213" s="11" t="n"/>
      <c r="I213" s="11" t="inlineStr"/>
      <c r="J213" s="11" t="inlineStr"/>
      <c r="K213" s="11" t="inlineStr"/>
      <c r="L213" s="11" t="inlineStr">
        <is>
          <t>APROFITAR ELS RECURSOS NATURALS DE FORMA SOSTENIBLE mitjançant desenvolupament dels aprofitaments tradicionals de forma compatible amb la conservació de l'espai</t>
        </is>
      </c>
      <c r="M213" s="11" t="inlineStr">
        <is>
          <t>Millorar la valorització i comercialització dels productes generats a l'ENP que contribueixen al desenvolupament socioeconòmic i la conservació del patrimoni de l'ENP</t>
        </is>
      </c>
      <c r="N213" s="11" t="inlineStr">
        <is>
          <t>Comú</t>
        </is>
      </c>
      <c r="O213" s="11" t="inlineStr">
        <is>
          <t>Optatiu</t>
        </is>
      </c>
      <c r="P213" s="11" t="inlineStr"/>
      <c r="Q213" s="11" t="inlineStr">
        <is>
          <t>08.3.5 · (cap acció definida al Pla)</t>
        </is>
      </c>
    </row>
    <row r="214">
      <c r="A214" s="11" t="inlineStr">
        <is>
          <t>4. Desenvolupament local</t>
        </is>
      </c>
      <c r="B214" s="11" t="inlineStr">
        <is>
          <t>08.3.6</t>
        </is>
      </c>
      <c r="C214" s="11" t="inlineStr">
        <is>
          <t>Elaborar una guia per promocionar els agents del territori que potencien i difonen els productes alimentaris locals i de qualitat (allotjaments, restaurants, cellers, establiments, elaboradors i productors)</t>
        </is>
      </c>
      <c r="D214" s="11" t="inlineStr">
        <is>
          <t>Elaborar una guia per promocionar els agents del territori que potencien i difonen els productes alimentaris locals i de qualitat (allotjaments, restaurants, cellers, establiments, elaboradors i productors)</t>
        </is>
      </c>
      <c r="E214" s="11" t="inlineStr">
        <is>
          <t>Suport al projecte Pallars Gastronòmic de treball comú del sector agroalimentari i restauració al Pallars</t>
        </is>
      </c>
      <c r="F214" s="11" t="inlineStr">
        <is>
          <t>Número accions de suport</t>
        </is>
      </c>
      <c r="G214" s="11" t="n">
        <v>1</v>
      </c>
      <c r="H214" s="11" t="n">
        <v>4</v>
      </c>
      <c r="I214" s="11" t="inlineStr">
        <is>
          <t>MITJANA</t>
        </is>
      </c>
      <c r="J214" s="11" t="inlineStr">
        <is>
          <t>Direccio</t>
        </is>
      </c>
      <c r="K214" s="11" t="inlineStr">
        <is>
          <t>Marc</t>
        </is>
      </c>
      <c r="L214" s="11" t="inlineStr">
        <is>
          <t>APROFITAR ELS RECURSOS NATURALS DE FORMA SOSTENIBLE mitjançant desenvolupament dels aprofitaments tradicionals de forma compatible amb la conservació de l'espai</t>
        </is>
      </c>
      <c r="M214" s="11" t="inlineStr">
        <is>
          <t>Millorar la valorització i comercialització dels productes generats a l'ENP que contribueixen al desenvolupament socioeconòmic i la conservació del patrimoni de l'ENP</t>
        </is>
      </c>
      <c r="N214" s="11" t="inlineStr">
        <is>
          <t>Comú</t>
        </is>
      </c>
      <c r="O214" s="11" t="inlineStr">
        <is>
          <t>Optatiu</t>
        </is>
      </c>
      <c r="P214" s="11" t="inlineStr">
        <is>
          <t>Si</t>
        </is>
      </c>
      <c r="Q214" s="11" t="inlineStr">
        <is>
          <t>08.3.6 · Suport al projecte Pallars Gastronòmic de treball comú del sector agroalimentari i restauració al Pallars — Número accions de suport</t>
        </is>
      </c>
    </row>
    <row r="215">
      <c r="A215" s="11" t="inlineStr">
        <is>
          <t>4. Desenvolupament local</t>
        </is>
      </c>
      <c r="B215" s="11" t="inlineStr">
        <is>
          <t>08.3.6</t>
        </is>
      </c>
      <c r="C215" s="11" t="inlineStr">
        <is>
          <t>Elaborar una guia per promocionar els agents del territori que potencien i difonen els productes alimentaris locals i de qualitat (allotjaments, restaurants, cellers, establiments, elaboradors i productors)</t>
        </is>
      </c>
      <c r="D215" s="11" t="inlineStr">
        <is>
          <t>Elaborar una guia per promocionar els agents del territori que potencien i difonen els productes alimentaris locals i de qualitat (allotjaments, restaurants, cellers, establiments, elaboradors i productors)</t>
        </is>
      </c>
      <c r="E215" s="11" t="inlineStr">
        <is>
          <t>Donar visibilitat als establiments turístics adherits a la CETS de l'Alt Pirineu, fet que inclou el seu compromís envers el producte local</t>
        </is>
      </c>
      <c r="F215" s="11" t="inlineStr">
        <is>
          <t>Nombre de canals comunicatius del Parc usats per donar visibilitat a les empreses adherides a la CETS</t>
        </is>
      </c>
      <c r="G215" s="11" t="n">
        <v>1</v>
      </c>
      <c r="H215" s="11" t="n">
        <v>5</v>
      </c>
      <c r="I215" s="11" t="inlineStr">
        <is>
          <t>MITJANA</t>
        </is>
      </c>
      <c r="J215" s="11" t="inlineStr">
        <is>
          <t>Us Públic</t>
        </is>
      </c>
      <c r="K215" s="11" t="inlineStr">
        <is>
          <t>Nuria</t>
        </is>
      </c>
      <c r="L215" s="11" t="inlineStr">
        <is>
          <t>APROFITAR ELS RECURSOS NATURALS DE FORMA SOSTENIBLE mitjançant desenvolupament dels aprofitaments tradicionals de forma compatible amb la conservació de l'espai</t>
        </is>
      </c>
      <c r="M215" s="11" t="inlineStr">
        <is>
          <t>Millorar la valorització i comercialització dels productes generats a l'ENP que contribueixen al desenvolupament socioeconòmic i la conservació del patrimoni de l'ENP</t>
        </is>
      </c>
      <c r="N215" s="11" t="inlineStr">
        <is>
          <t>Comú</t>
        </is>
      </c>
      <c r="O215" s="11" t="inlineStr">
        <is>
          <t>Optatiu</t>
        </is>
      </c>
      <c r="P215" s="11" t="inlineStr">
        <is>
          <t>Si</t>
        </is>
      </c>
      <c r="Q215" s="11" t="inlineStr">
        <is>
          <t>08.3.6 · Donar visibilitat als establiments turístics adherits a la CETS de l'Alt Pirineu, fet que inclou el seu compromís envers el producte local — Nombre de canals comunicatius del Parc usats per donar visibilitat a les empreses adherides a la CET</t>
        </is>
      </c>
    </row>
    <row r="216">
      <c r="A216" s="11" t="inlineStr">
        <is>
          <t>4. Desenvolupament local</t>
        </is>
      </c>
      <c r="B216" s="11" t="inlineStr">
        <is>
          <t>08.4.1</t>
        </is>
      </c>
      <c r="C216" s="11" t="inlineStr">
        <is>
          <t>Treballar amb l'autoritat competent per garantir objectius de conservació d’espècies i hàbitats en la revisió dels Plans de Gestió Cinegètica</t>
        </is>
      </c>
      <c r="D216" s="11" t="inlineStr">
        <is>
          <t>Treballar amb l'autoritat competent per garantir objectius de conservació d’espècies i hàbitats en la revisió dels Plans de Gestió Cinegètica</t>
        </is>
      </c>
      <c r="E216" s="11" t="inlineStr">
        <is>
          <t>Col·laboració amb la Reserva Nacional de Caça de l'Alt Pallars per a incorporar objectius de conservació d’espècies i hàbitats en la gestió de la reserva</t>
        </is>
      </c>
      <c r="F216" s="11" t="inlineStr">
        <is>
          <t>Número de reunions</t>
        </is>
      </c>
      <c r="G216" s="11" t="n">
        <v>4</v>
      </c>
      <c r="H216" s="11" t="n">
        <v>8</v>
      </c>
      <c r="I216" s="11" t="inlineStr">
        <is>
          <t>MITJANA</t>
        </is>
      </c>
      <c r="J216" s="11" t="inlineStr">
        <is>
          <t>Direccio</t>
        </is>
      </c>
      <c r="K216" s="11" t="inlineStr">
        <is>
          <t>Marc</t>
        </is>
      </c>
      <c r="L216" s="11" t="inlineStr">
        <is>
          <t>APROFITAR ELS RECURSOS NATURALS DE FORMA SOSTENIBLE mitjançant desenvolupament dels aprofitaments tradicionals de forma compatible amb la conservació de l'espai</t>
        </is>
      </c>
      <c r="M216" s="11" t="inlineStr">
        <is>
          <t>Contribuir a una correcta planificació i gestió dels recursos cinegètics i piscícoles de forma compatible amb els valors de l'ENP</t>
        </is>
      </c>
      <c r="N216" s="11" t="inlineStr">
        <is>
          <t>Comú</t>
        </is>
      </c>
      <c r="O216" s="11" t="inlineStr">
        <is>
          <t>Obligatori</t>
        </is>
      </c>
      <c r="P216" s="11" t="inlineStr">
        <is>
          <t>Si</t>
        </is>
      </c>
      <c r="Q216" s="11" t="inlineStr">
        <is>
          <t>08.4.1 · Col·laboració amb la Reserva Nacional de Caça de l'Alt Pallars per a incorporar objectius de conservació d’espècies i hàbitats en la gestió de la rese — Número de reunions</t>
        </is>
      </c>
    </row>
    <row r="217">
      <c r="A217" s="11" t="inlineStr">
        <is>
          <t>4. Desenvolupament local</t>
        </is>
      </c>
      <c r="B217" s="11" t="inlineStr">
        <is>
          <t>08.4.1</t>
        </is>
      </c>
      <c r="C217" s="11" t="inlineStr">
        <is>
          <t>Treballar amb l'autoritat competent per garantir objectius de conservació d’espècies i hàbitats en la revisió dels Plans de Gestió Cinegètica</t>
        </is>
      </c>
      <c r="D217" s="11" t="inlineStr">
        <is>
          <t>Treballar amb l'autoritat competent per garantir objectius de conservació d’espècies i hàbitats en la revisió dels Plans de Gestió Cinegètica</t>
        </is>
      </c>
      <c r="E217" s="11" t="inlineStr">
        <is>
          <t>Col·laboració amb la Zona de Caça Controlada de Sort, Soriguera i Rialp per a incorporar objectius de conservació d’espècies i hàbitats en la ZCC</t>
        </is>
      </c>
      <c r="F217" s="11" t="inlineStr">
        <is>
          <t>Número de reunions</t>
        </is>
      </c>
      <c r="G217" s="11" t="n">
        <v>4</v>
      </c>
      <c r="H217" s="11" t="n">
        <v>8</v>
      </c>
      <c r="I217" s="11" t="inlineStr">
        <is>
          <t>MITJANA</t>
        </is>
      </c>
      <c r="J217" s="11" t="inlineStr">
        <is>
          <t>Direccio</t>
        </is>
      </c>
      <c r="K217" s="11" t="inlineStr">
        <is>
          <t>Marc</t>
        </is>
      </c>
      <c r="L217" s="11" t="inlineStr">
        <is>
          <t>APROFITAR ELS RECURSOS NATURALS DE FORMA SOSTENIBLE mitjançant desenvolupament dels aprofitaments tradicionals de forma compatible amb la conservació de l'espai</t>
        </is>
      </c>
      <c r="M217" s="11" t="inlineStr">
        <is>
          <t>Contribuir a una correcta planificació i gestió dels recursos cinegètics i piscícoles de forma compatible amb els valors de l'ENP</t>
        </is>
      </c>
      <c r="N217" s="11" t="inlineStr">
        <is>
          <t>Comú</t>
        </is>
      </c>
      <c r="O217" s="11" t="inlineStr">
        <is>
          <t>Obligatori</t>
        </is>
      </c>
      <c r="P217" s="11" t="inlineStr">
        <is>
          <t>Si</t>
        </is>
      </c>
      <c r="Q217" s="11" t="inlineStr">
        <is>
          <t>08.4.1 · Col·laboració amb la Zona de Caça Controlada de Sort, Soriguera i Rialp per a incorporar objectius de conservació d’espècies i hàbitats en la ZCC — Número de reunions</t>
        </is>
      </c>
    </row>
    <row r="218">
      <c r="A218" s="11" t="inlineStr">
        <is>
          <t>4. Desenvolupament local</t>
        </is>
      </c>
      <c r="B218" s="11" t="inlineStr">
        <is>
          <t>08.4.1</t>
        </is>
      </c>
      <c r="C218" s="11" t="inlineStr">
        <is>
          <t>Treballar amb l'autoritat competent per garantir objectius de conservació d’espècies i hàbitats en la revisió dels Plans de Gestió Cinegètica</t>
        </is>
      </c>
      <c r="D218" s="11" t="inlineStr">
        <is>
          <t>Treballar amb l'autoritat competent per garantir objectius de conservació d’espècies i hàbitats en la revisió dels Plans de Gestió Cinegètica</t>
        </is>
      </c>
      <c r="E218" s="11" t="inlineStr">
        <is>
          <t>Foment d'acords amb les Societats de Caçadors per a incorporar objectius de conservació d’espècies i hàbitats en la revisió dels Plans de Gestió Cinegètica</t>
        </is>
      </c>
      <c r="F218" s="11" t="inlineStr">
        <is>
          <t>Número d'acords</t>
        </is>
      </c>
      <c r="G218" s="11" t="n">
        <v>2</v>
      </c>
      <c r="H218" s="11" t="n">
        <v>4</v>
      </c>
      <c r="I218" s="11" t="inlineStr">
        <is>
          <t>BAIXA</t>
        </is>
      </c>
      <c r="J218" s="11" t="inlineStr">
        <is>
          <t>Patrimoni</t>
        </is>
      </c>
      <c r="K218" s="11" t="inlineStr">
        <is>
          <t>Eli</t>
        </is>
      </c>
      <c r="L218" s="11" t="inlineStr">
        <is>
          <t>APROFITAR ELS RECURSOS NATURALS DE FORMA SOSTENIBLE mitjançant desenvolupament dels aprofitaments tradicionals de forma compatible amb la conservació de l'espai</t>
        </is>
      </c>
      <c r="M218" s="11" t="inlineStr">
        <is>
          <t>Contribuir a una correcta planificació i gestió dels recursos cinegètics i piscícoles de forma compatible amb els valors de l'ENP</t>
        </is>
      </c>
      <c r="N218" s="11" t="inlineStr">
        <is>
          <t>Comú</t>
        </is>
      </c>
      <c r="O218" s="11" t="inlineStr">
        <is>
          <t>Obligatori</t>
        </is>
      </c>
      <c r="P218" s="11" t="inlineStr">
        <is>
          <t>Si</t>
        </is>
      </c>
      <c r="Q218" s="11" t="inlineStr">
        <is>
          <t>08.4.1 · Foment d'acords amb les Societats de Caçadors per a incorporar objectius de conservació d’espècies i hàbitats en la revisió dels Plans de Gestió Cineg — Número d'acords</t>
        </is>
      </c>
    </row>
    <row r="219">
      <c r="A219" s="11" t="inlineStr">
        <is>
          <t>4. Desenvolupament local</t>
        </is>
      </c>
      <c r="B219" s="11" t="inlineStr">
        <is>
          <t>08.4.2</t>
        </is>
      </c>
      <c r="C219" s="11" t="inlineStr">
        <is>
          <t>Col·laborar en la regulació i ordenació de la caça i la pesca en zones sensibles o amb risc d'afectació d'elements clau objecte de conservació</t>
        </is>
      </c>
      <c r="D219" s="11" t="inlineStr">
        <is>
          <t>Col·laborar en la regulació i ordenació de la caça i la pesca en zones sensibles o amb risc d'afectació d'elements clau objecte de conservació</t>
        </is>
      </c>
      <c r="E219" s="11" t="inlineStr">
        <is>
          <t>Impuls a la declaració de refugis de caça i pesca, i zones de pesca sense mort amb l’autoritat competent</t>
        </is>
      </c>
      <c r="F219" s="11" t="inlineStr">
        <is>
          <t>Número de refugis creats</t>
        </is>
      </c>
      <c r="G219" s="11" t="n">
        <v>1</v>
      </c>
      <c r="H219" s="11" t="n">
        <v>3</v>
      </c>
      <c r="I219" s="11" t="inlineStr">
        <is>
          <t>ALTA</t>
        </is>
      </c>
      <c r="J219" s="11" t="inlineStr">
        <is>
          <t>Patrimoni</t>
        </is>
      </c>
      <c r="K219" s="11" t="inlineStr">
        <is>
          <t>Eli</t>
        </is>
      </c>
      <c r="L219" s="11" t="inlineStr">
        <is>
          <t>APROFITAR ELS RECURSOS NATURALS DE FORMA SOSTENIBLE mitjançant desenvolupament dels aprofitaments tradicionals de forma compatible amb la conservació de l'espai</t>
        </is>
      </c>
      <c r="M219" s="11" t="inlineStr">
        <is>
          <t>Contribuir a una correcta planificació i gestió dels recursos cinegètics i piscícoles de forma compatible amb els valors de l'ENP</t>
        </is>
      </c>
      <c r="N219" s="11" t="inlineStr">
        <is>
          <t>Comú</t>
        </is>
      </c>
      <c r="O219" s="11" t="inlineStr">
        <is>
          <t>Obligatori</t>
        </is>
      </c>
      <c r="P219" s="11" t="inlineStr">
        <is>
          <t>Si</t>
        </is>
      </c>
      <c r="Q219" s="11" t="inlineStr">
        <is>
          <t>08.4.2 · Impuls a la declaració de refugis de caça i pesca, i zones de pesca sense mort amb l’autoritat competent — Número de refugis creats</t>
        </is>
      </c>
    </row>
    <row r="220">
      <c r="A220" s="11" t="inlineStr">
        <is>
          <t>4. Desenvolupament local</t>
        </is>
      </c>
      <c r="B220" s="11" t="inlineStr">
        <is>
          <t>08.4.2</t>
        </is>
      </c>
      <c r="C220" s="11" t="inlineStr">
        <is>
          <t>Col·laborar en la regulació i ordenació de la caça i la pesca en zones sensibles o amb risc d'afectació d'elements clau objecte de conservació</t>
        </is>
      </c>
      <c r="D220" s="11" t="inlineStr">
        <is>
          <t>Col·laborar en la regulació i ordenació de la caça i la pesca en zones sensibles o amb risc d'afectació d'elements clau objecte de conservació</t>
        </is>
      </c>
      <c r="E220" s="11" t="inlineStr">
        <is>
          <t>Foment de la implicació dels caçadors i pescadors del territori en la conservació dels valors de l'espai i en promoure la pesca i la caça per a la conservació i restauració d’hàbitats i regulació de les sobrepoblacions de fauna</t>
        </is>
      </c>
      <c r="F220" s="11" t="inlineStr">
        <is>
          <t>Número accions</t>
        </is>
      </c>
      <c r="G220" s="11" t="n">
        <v>1</v>
      </c>
      <c r="H220" s="11" t="n">
        <v>2</v>
      </c>
      <c r="I220" s="11" t="inlineStr">
        <is>
          <t>ALTA</t>
        </is>
      </c>
      <c r="J220" s="11" t="inlineStr">
        <is>
          <t>Patrimoni</t>
        </is>
      </c>
      <c r="K220" s="11" t="inlineStr">
        <is>
          <t>Eli</t>
        </is>
      </c>
      <c r="L220" s="11" t="inlineStr">
        <is>
          <t>APROFITAR ELS RECURSOS NATURALS DE FORMA SOSTENIBLE mitjançant desenvolupament dels aprofitaments tradicionals de forma compatible amb la conservació de l'espai</t>
        </is>
      </c>
      <c r="M220" s="11" t="inlineStr">
        <is>
          <t>Contribuir a una correcta planificació i gestió dels recursos cinegètics i piscícoles de forma compatible amb els valors de l'ENP</t>
        </is>
      </c>
      <c r="N220" s="11" t="inlineStr">
        <is>
          <t>Comú</t>
        </is>
      </c>
      <c r="O220" s="11" t="inlineStr">
        <is>
          <t>Obligatori</t>
        </is>
      </c>
      <c r="P220" s="11" t="inlineStr">
        <is>
          <t>Si</t>
        </is>
      </c>
      <c r="Q220" s="11" t="inlineStr">
        <is>
          <t>08.4.2 · Foment de la implicació dels caçadors i pescadors del territori en la conservació dels valors de l'espai i en promoure la pesca i la caça per a la con — Número accions</t>
        </is>
      </c>
    </row>
    <row r="221">
      <c r="A221" s="11" t="inlineStr">
        <is>
          <t>4. Desenvolupament local</t>
        </is>
      </c>
      <c r="B221" s="11" t="inlineStr">
        <is>
          <t>08.4.2</t>
        </is>
      </c>
      <c r="C221" s="11" t="inlineStr">
        <is>
          <t>Col·laborar en la regulació i ordenació de la caça i la pesca en zones sensibles o amb risc d'afectació d'elements clau objecte de conservació</t>
        </is>
      </c>
      <c r="D221" s="11" t="inlineStr">
        <is>
          <t>Col·laborar en la regulació i ordenació de la caça i la pesca en zones sensibles o amb risc d'afectació d'elements clau objecte de conservació</t>
        </is>
      </c>
      <c r="E221" s="11" t="inlineStr">
        <is>
          <t>Junt amb l’autoritat competent, catalogar, conservar i fomentar les zones de fresa de peixos</t>
        </is>
      </c>
      <c r="F221" s="11" t="inlineStr">
        <is>
          <t>Número de zones de fresa de peixos catalogades</t>
        </is>
      </c>
      <c r="G221" s="11" t="n">
        <v>5</v>
      </c>
      <c r="H221" s="11" t="n">
        <v>20</v>
      </c>
      <c r="I221" s="11" t="inlineStr">
        <is>
          <t>MITJANA</t>
        </is>
      </c>
      <c r="J221" s="11" t="inlineStr"/>
      <c r="K221" s="11" t="inlineStr"/>
      <c r="L221" s="11" t="inlineStr">
        <is>
          <t>APROFITAR ELS RECURSOS NATURALS DE FORMA SOSTENIBLE mitjançant desenvolupament dels aprofitaments tradicionals de forma compatible amb la conservació de l'espai</t>
        </is>
      </c>
      <c r="M221" s="11" t="inlineStr">
        <is>
          <t>Contribuir a una correcta planificació i gestió dels recursos cinegètics i piscícoles de forma compatible amb els valors de l'ENP</t>
        </is>
      </c>
      <c r="N221" s="11" t="inlineStr">
        <is>
          <t>Comú</t>
        </is>
      </c>
      <c r="O221" s="11" t="inlineStr">
        <is>
          <t>Obligatori</t>
        </is>
      </c>
      <c r="P221" s="11" t="inlineStr">
        <is>
          <t>Si</t>
        </is>
      </c>
      <c r="Q221" s="11" t="inlineStr">
        <is>
          <t>08.4.2 · Junt amb l’autoritat competent, catalogar, conservar i fomentar les zones de fresa de peixos — Número de zones de fresa de peixos catalogades</t>
        </is>
      </c>
    </row>
    <row r="222">
      <c r="A222" s="11" t="inlineStr">
        <is>
          <t>4. Desenvolupament local</t>
        </is>
      </c>
      <c r="B222" s="11" t="inlineStr">
        <is>
          <t>08.4.2</t>
        </is>
      </c>
      <c r="C222" s="11" t="inlineStr">
        <is>
          <t>Col·laborar en la regulació i ordenació de la caça i la pesca en zones sensibles o amb risc d'afectació d'elements clau objecte de conservació</t>
        </is>
      </c>
      <c r="D222" s="11" t="inlineStr">
        <is>
          <t>Col·laborar en la regulació i ordenació de la caça i la pesca en zones sensibles o amb risc d'afectació d'elements clau objecte de conservació</t>
        </is>
      </c>
      <c r="E222" s="11" t="inlineStr">
        <is>
          <t>Foment del voluntariat ambiental entre els pescadors i caçadors i les seves entitats</t>
        </is>
      </c>
      <c r="F222" s="11" t="inlineStr">
        <is>
          <t>Número d’accions de voluntariat realitzades</t>
        </is>
      </c>
      <c r="G222" s="11" t="n">
        <v>2</v>
      </c>
      <c r="H222" s="11" t="n">
        <v>8</v>
      </c>
      <c r="I222" s="11" t="inlineStr">
        <is>
          <t>MITJANA</t>
        </is>
      </c>
      <c r="J222" s="11" t="inlineStr"/>
      <c r="K222" s="11" t="inlineStr"/>
      <c r="L222" s="11" t="inlineStr">
        <is>
          <t>APROFITAR ELS RECURSOS NATURALS DE FORMA SOSTENIBLE mitjançant desenvolupament dels aprofitaments tradicionals de forma compatible amb la conservació de l'espai</t>
        </is>
      </c>
      <c r="M222" s="11" t="inlineStr">
        <is>
          <t>Contribuir a una correcta planificació i gestió dels recursos cinegètics i piscícoles de forma compatible amb els valors de l'ENP</t>
        </is>
      </c>
      <c r="N222" s="11" t="inlineStr">
        <is>
          <t>Comú</t>
        </is>
      </c>
      <c r="O222" s="11" t="inlineStr">
        <is>
          <t>Obligatori</t>
        </is>
      </c>
      <c r="P222" s="11" t="inlineStr">
        <is>
          <t>Si</t>
        </is>
      </c>
      <c r="Q222" s="11" t="inlineStr">
        <is>
          <t>08.4.2 · Foment del voluntariat ambiental entre els pescadors i caçadors i les seves entitats — Número d’accions de voluntariat realitzades</t>
        </is>
      </c>
    </row>
    <row r="223">
      <c r="A223" s="11" t="inlineStr">
        <is>
          <t>4. Desenvolupament local</t>
        </is>
      </c>
      <c r="B223" s="11" t="inlineStr">
        <is>
          <t>08.4.2</t>
        </is>
      </c>
      <c r="C223" s="11" t="inlineStr">
        <is>
          <t>Col·laborar en la regulació i ordenació de la caça i la pesca en zones sensibles o amb risc d'afectació d'elements clau objecte de conservació</t>
        </is>
      </c>
      <c r="D223" s="11" t="inlineStr">
        <is>
          <t>Col·laborar en la regulació i ordenació de la caça i la pesca en zones sensibles o amb risc d'afectació d'elements clau objecte de conservació</t>
        </is>
      </c>
      <c r="E223" s="11" t="inlineStr">
        <is>
          <t>Junt amb l’autoritat competent, mantenir el millor tractament per als pescadors riberencs com a eina d’integració local</t>
        </is>
      </c>
      <c r="F223" s="11" t="inlineStr">
        <is>
          <t>Acció realitzada</t>
        </is>
      </c>
      <c r="G223" s="11" t="inlineStr">
        <is>
          <t>no</t>
        </is>
      </c>
      <c r="H223" s="11" t="inlineStr">
        <is>
          <t>si</t>
        </is>
      </c>
      <c r="I223" s="11" t="inlineStr">
        <is>
          <t>MITJANA</t>
        </is>
      </c>
      <c r="J223" s="11" t="inlineStr"/>
      <c r="K223" s="11" t="inlineStr"/>
      <c r="L223" s="11" t="inlineStr">
        <is>
          <t>APROFITAR ELS RECURSOS NATURALS DE FORMA SOSTENIBLE mitjançant desenvolupament dels aprofitaments tradicionals de forma compatible amb la conservació de l'espai</t>
        </is>
      </c>
      <c r="M223" s="11" t="inlineStr">
        <is>
          <t>Contribuir a una correcta planificació i gestió dels recursos cinegètics i piscícoles de forma compatible amb els valors de l'ENP</t>
        </is>
      </c>
      <c r="N223" s="11" t="inlineStr">
        <is>
          <t>Comú</t>
        </is>
      </c>
      <c r="O223" s="11" t="inlineStr">
        <is>
          <t>Obligatori</t>
        </is>
      </c>
      <c r="P223" s="11" t="inlineStr">
        <is>
          <t>Si</t>
        </is>
      </c>
      <c r="Q223" s="11" t="inlineStr">
        <is>
          <t>08.4.2 · Junt amb l’autoritat competent, mantenir el millor tractament per als pescadors riberencs com a eina d’integració local — Acció realitzada</t>
        </is>
      </c>
    </row>
    <row r="224">
      <c r="A224" s="11" t="inlineStr">
        <is>
          <t>4. Desenvolupament local</t>
        </is>
      </c>
      <c r="B224" s="11" t="inlineStr">
        <is>
          <t>08.4.2</t>
        </is>
      </c>
      <c r="C224" s="11" t="inlineStr">
        <is>
          <t>Col·laborar en la regulació i ordenació de la caça i la pesca en zones sensibles o amb risc d'afectació d'elements clau objecte de conservació</t>
        </is>
      </c>
      <c r="D224" s="11" t="inlineStr">
        <is>
          <t>Col·laborar en la regulació i ordenació de la caça i la pesca en zones sensibles o amb risc d'afectació d'elements clau objecte de conservació</t>
        </is>
      </c>
      <c r="E224" s="11" t="inlineStr">
        <is>
          <t>Participació de l’òrgan gestor del PN en l’elaboració i criteris del Pla anual de gestió dels corbs marins i d'altres espècies amb perill potencial</t>
        </is>
      </c>
      <c r="F224" s="11" t="inlineStr">
        <is>
          <t>Número de reunions realitzades</t>
        </is>
      </c>
      <c r="G224" s="11" t="n">
        <v>1</v>
      </c>
      <c r="H224" s="11" t="n">
        <v>4</v>
      </c>
      <c r="I224" s="11" t="inlineStr">
        <is>
          <t>BAIXA</t>
        </is>
      </c>
      <c r="J224" s="11" t="inlineStr"/>
      <c r="K224" s="11" t="inlineStr"/>
      <c r="L224" s="11" t="inlineStr">
        <is>
          <t>APROFITAR ELS RECURSOS NATURALS DE FORMA SOSTENIBLE mitjançant desenvolupament dels aprofitaments tradicionals de forma compatible amb la conservació de l'espai</t>
        </is>
      </c>
      <c r="M224" s="11" t="inlineStr">
        <is>
          <t>Contribuir a una correcta planificació i gestió dels recursos cinegètics i piscícoles de forma compatible amb els valors de l'ENP</t>
        </is>
      </c>
      <c r="N224" s="11" t="inlineStr">
        <is>
          <t>Comú</t>
        </is>
      </c>
      <c r="O224" s="11" t="inlineStr">
        <is>
          <t>Obligatori</t>
        </is>
      </c>
      <c r="P224" s="11" t="inlineStr">
        <is>
          <t>Si</t>
        </is>
      </c>
      <c r="Q224" s="11" t="inlineStr">
        <is>
          <t>08.4.2 · Participació de l’òrgan gestor del PN en l’elaboració i criteris del Pla anual de gestió dels corbs marins i d'altres espècies amb perill potencial — Número de reunions realitzades</t>
        </is>
      </c>
    </row>
    <row r="225">
      <c r="A225" s="11" t="inlineStr">
        <is>
          <t>4. Desenvolupament local</t>
        </is>
      </c>
      <c r="B225" s="11" t="inlineStr">
        <is>
          <t>08.4.2</t>
        </is>
      </c>
      <c r="C225" s="11" t="inlineStr">
        <is>
          <t>Col·laborar en la regulació i ordenació de la caça i la pesca en zones sensibles o amb risc d'afectació d'elements clau objecte de conservació</t>
        </is>
      </c>
      <c r="D225" s="11" t="inlineStr">
        <is>
          <t>Col·laborar en la regulació i ordenació de la caça i la pesca en zones sensibles o amb risc d'afectació d'elements clau objecte de conservació</t>
        </is>
      </c>
      <c r="E225" s="11" t="inlineStr">
        <is>
          <t>Col·laborar amb l’autoritat competent del DARP per establir un sistema de comunicació àgil i efectiu de les batudes a la població local i visitant del Parc</t>
        </is>
      </c>
      <c r="F225" s="11" t="inlineStr">
        <is>
          <t>S’ha establert el sistema i és funcional</t>
        </is>
      </c>
      <c r="G225" s="11" t="inlineStr">
        <is>
          <t>no</t>
        </is>
      </c>
      <c r="H225" s="11" t="inlineStr">
        <is>
          <t>si</t>
        </is>
      </c>
      <c r="I225" s="11" t="inlineStr">
        <is>
          <t>ALTA</t>
        </is>
      </c>
      <c r="J225" s="11" t="inlineStr"/>
      <c r="K225" s="11" t="inlineStr"/>
      <c r="L225" s="11" t="inlineStr">
        <is>
          <t>APROFITAR ELS RECURSOS NATURALS DE FORMA SOSTENIBLE mitjançant desenvolupament dels aprofitaments tradicionals de forma compatible amb la conservació de l'espai</t>
        </is>
      </c>
      <c r="M225" s="11" t="inlineStr">
        <is>
          <t>Contribuir a una correcta planificació i gestió dels recursos cinegètics i piscícoles de forma compatible amb els valors de l'ENP</t>
        </is>
      </c>
      <c r="N225" s="11" t="inlineStr">
        <is>
          <t>Comú</t>
        </is>
      </c>
      <c r="O225" s="11" t="inlineStr">
        <is>
          <t>Obligatori</t>
        </is>
      </c>
      <c r="P225" s="11" t="inlineStr">
        <is>
          <t>Si</t>
        </is>
      </c>
      <c r="Q225" s="11" t="inlineStr">
        <is>
          <t>08.4.2 · Col·laborar amb l’autoritat competent del DARP per establir un sistema de comunicació àgil i efectiu de les batudes a la població local i visitant del — S’ha establert el sistema i és funcional</t>
        </is>
      </c>
    </row>
    <row r="226">
      <c r="A226" s="11" t="inlineStr">
        <is>
          <t>4. Desenvolupament local</t>
        </is>
      </c>
      <c r="B226" s="11" t="inlineStr">
        <is>
          <t>08.4.3</t>
        </is>
      </c>
      <c r="C226" s="11" t="inlineStr">
        <is>
          <t>Donar suport en la gestió de poblacions que generen danys a les activitats econòmiques de l'ENP</t>
        </is>
      </c>
      <c r="D226" s="11" t="inlineStr">
        <is>
          <t>Donar suport en la gestió de poblacions que generen danys a les activitats econòmiques de l'ENP</t>
        </is>
      </c>
      <c r="E226" s="11" t="inlineStr"/>
      <c r="F226" s="11" t="inlineStr"/>
      <c r="G226" s="11" t="n"/>
      <c r="H226" s="11" t="n"/>
      <c r="I226" s="11" t="inlineStr"/>
      <c r="J226" s="11" t="inlineStr"/>
      <c r="K226" s="11" t="inlineStr"/>
      <c r="L226" s="11" t="inlineStr">
        <is>
          <t>APROFITAR ELS RECURSOS NATURALS DE FORMA SOSTENIBLE mitjançant desenvolupament dels aprofitaments tradicionals de forma compatible amb la conservació de l'espai</t>
        </is>
      </c>
      <c r="M226" s="11" t="inlineStr">
        <is>
          <t>Contribuir a una correcta planificació i gestió dels recursos cinegètics i piscícoles de forma compatible amb els valors de l'ENP</t>
        </is>
      </c>
      <c r="N226" s="11" t="inlineStr">
        <is>
          <t>Comú</t>
        </is>
      </c>
      <c r="O226" s="11" t="inlineStr">
        <is>
          <t>Obligatori</t>
        </is>
      </c>
      <c r="P226" s="11" t="inlineStr">
        <is>
          <t>No</t>
        </is>
      </c>
      <c r="Q226" s="11" t="inlineStr">
        <is>
          <t>08.4.3 · (cap acció definida al Pla)</t>
        </is>
      </c>
    </row>
    <row r="227">
      <c r="A227" s="11" t="inlineStr">
        <is>
          <t>4. Desenvolupament local</t>
        </is>
      </c>
      <c r="B227" s="11" t="inlineStr">
        <is>
          <t>09.1.1</t>
        </is>
      </c>
      <c r="C227" s="11" t="inlineStr">
        <is>
          <t>Desplegar la Carta Europea de Turisme Sostenible (CETS)</t>
        </is>
      </c>
      <c r="D227" s="11" t="inlineStr">
        <is>
          <t>Desplegar la Carta Europea de Turisme Sostenible (CETS)</t>
        </is>
      </c>
      <c r="E227" s="11" t="inlineStr">
        <is>
          <t>Continuar amb el desplegament de la CETS de l'Alt Pirineu: Fase I: execució del Programa d'Actuacions 2023-2027, memòries anuals i seguiment d'indicadors</t>
        </is>
      </c>
      <c r="F227" s="11" t="inlineStr">
        <is>
          <t>Número d'accions del Pla realitzades</t>
        </is>
      </c>
      <c r="G227" s="11" t="n">
        <v>25</v>
      </c>
      <c r="H227" s="11" t="n">
        <v>35</v>
      </c>
      <c r="I227" s="11" t="inlineStr">
        <is>
          <t>ALTA</t>
        </is>
      </c>
      <c r="J227" s="11" t="inlineStr">
        <is>
          <t>Us Public</t>
        </is>
      </c>
      <c r="K227" s="11" t="inlineStr">
        <is>
          <t>Nuria</t>
        </is>
      </c>
      <c r="L227" s="11" t="inlineStr">
        <is>
          <t>FOMENTAR UN TURISME SOSTENIBLE compatible amb la conservació de l'espai</t>
        </is>
      </c>
      <c r="M227" s="11" t="inlineStr">
        <is>
          <t>Fomentar un model de turisme que promogui els valors dels espais naturals protegits d'acord amb els agents turístics del territori</t>
        </is>
      </c>
      <c r="N227" s="11" t="inlineStr">
        <is>
          <t>Comú</t>
        </is>
      </c>
      <c r="O227" s="11" t="inlineStr">
        <is>
          <t>Optatiu</t>
        </is>
      </c>
      <c r="P227" s="11" t="inlineStr">
        <is>
          <t>Si</t>
        </is>
      </c>
      <c r="Q227" s="11" t="inlineStr">
        <is>
          <t>09.1.1 · Continuar amb el desplegament de la CETS de l'Alt Pirineu: Fase I: execució del Programa d'Actuacions 2023-2027, memòries anuals i seguiment d'indicad — Número d'accions del Pla realitzades</t>
        </is>
      </c>
    </row>
    <row r="228">
      <c r="A228" s="11" t="inlineStr">
        <is>
          <t>4. Desenvolupament local</t>
        </is>
      </c>
      <c r="B228" s="11" t="inlineStr">
        <is>
          <t>09.1.1</t>
        </is>
      </c>
      <c r="C228" s="11" t="inlineStr">
        <is>
          <t>Desplegar la Carta Europea de Turisme Sostenible (CETS)</t>
        </is>
      </c>
      <c r="D228" s="11" t="inlineStr">
        <is>
          <t>Desplegar la Carta Europea de Turisme Sostenible (CETS)</t>
        </is>
      </c>
      <c r="E228" s="11" t="inlineStr">
        <is>
          <t>Continuar la Fase II: adhesió d'empreses turístiques a la CETS Alt Pirineu</t>
        </is>
      </c>
      <c r="F228" s="11" t="inlineStr">
        <is>
          <t>Número empreses adherides noves CETS a partir del 2025</t>
        </is>
      </c>
      <c r="G228" s="11" t="n">
        <v>10</v>
      </c>
      <c r="H228" s="11" t="n">
        <v>30</v>
      </c>
      <c r="I228" s="11" t="inlineStr">
        <is>
          <t>ALTA</t>
        </is>
      </c>
      <c r="J228" s="11" t="inlineStr">
        <is>
          <t>Us Public</t>
        </is>
      </c>
      <c r="K228" s="11" t="inlineStr">
        <is>
          <t>Nuria</t>
        </is>
      </c>
      <c r="L228" s="11" t="inlineStr">
        <is>
          <t>FOMENTAR UN TURISME SOSTENIBLE compatible amb la conservació de l'espai</t>
        </is>
      </c>
      <c r="M228" s="11" t="inlineStr">
        <is>
          <t>Fomentar un model de turisme que promogui els valors dels espais naturals protegits d'acord amb els agents turístics del territori</t>
        </is>
      </c>
      <c r="N228" s="11" t="inlineStr">
        <is>
          <t>Comú</t>
        </is>
      </c>
      <c r="O228" s="11" t="inlineStr">
        <is>
          <t>Optatiu</t>
        </is>
      </c>
      <c r="P228" s="11" t="inlineStr">
        <is>
          <t>Si</t>
        </is>
      </c>
      <c r="Q228" s="11" t="inlineStr">
        <is>
          <t>09.1.1 · Continuar la Fase II: adhesió d'empreses turístiques a la CETS Alt Pirineu — Número empreses adherides noves CETS a partir del 2025</t>
        </is>
      </c>
    </row>
    <row r="229">
      <c r="A229" s="11" t="inlineStr">
        <is>
          <t>4. Desenvolupament local</t>
        </is>
      </c>
      <c r="B229" s="11" t="inlineStr">
        <is>
          <t>09.1.1</t>
        </is>
      </c>
      <c r="C229" s="11" t="inlineStr">
        <is>
          <t>Desplegar la Carta Europea de Turisme Sostenible (CETS)</t>
        </is>
      </c>
      <c r="D229" s="11" t="inlineStr">
        <is>
          <t>Desplegar la Carta Europea de Turisme Sostenible (CETS)</t>
        </is>
      </c>
      <c r="E229" s="11" t="inlineStr">
        <is>
          <t>Iniciar Fase III: adhesió d'agències de viatges el 2028</t>
        </is>
      </c>
      <c r="F229" s="11" t="inlineStr">
        <is>
          <t>Número agencies adherides</t>
        </is>
      </c>
      <c r="G229" s="11" t="n">
        <v>1</v>
      </c>
      <c r="H229" s="11" t="n">
        <v>3</v>
      </c>
      <c r="I229" s="11" t="inlineStr">
        <is>
          <t>BAIXA</t>
        </is>
      </c>
      <c r="J229" s="11" t="inlineStr">
        <is>
          <t>Us Public</t>
        </is>
      </c>
      <c r="K229" s="11" t="inlineStr">
        <is>
          <t>Nuria</t>
        </is>
      </c>
      <c r="L229" s="11" t="inlineStr">
        <is>
          <t>FOMENTAR UN TURISME SOSTENIBLE compatible amb la conservació de l'espai</t>
        </is>
      </c>
      <c r="M229" s="11" t="inlineStr">
        <is>
          <t>Fomentar un model de turisme que promogui els valors dels espais naturals protegits d'acord amb els agents turístics del territori</t>
        </is>
      </c>
      <c r="N229" s="11" t="inlineStr">
        <is>
          <t>Comú</t>
        </is>
      </c>
      <c r="O229" s="11" t="inlineStr">
        <is>
          <t>Optatiu</t>
        </is>
      </c>
      <c r="P229" s="11" t="inlineStr">
        <is>
          <t>Si</t>
        </is>
      </c>
      <c r="Q229" s="11" t="inlineStr">
        <is>
          <t>09.1.1 · Iniciar Fase III: adhesió d'agències de viatges el 2028 — Número agencies adherides</t>
        </is>
      </c>
    </row>
    <row r="230">
      <c r="A230" s="11" t="inlineStr">
        <is>
          <t>4. Desenvolupament local</t>
        </is>
      </c>
      <c r="B230" s="11" t="inlineStr">
        <is>
          <t>09.1.1</t>
        </is>
      </c>
      <c r="C230" s="11" t="inlineStr">
        <is>
          <t>Desplegar la Carta Europea de Turisme Sostenible (CETS)</t>
        </is>
      </c>
      <c r="D230" s="11" t="inlineStr">
        <is>
          <t>Desplegar la Carta Europea de Turisme Sostenible (CETS)</t>
        </is>
      </c>
      <c r="E230" s="11" t="inlineStr">
        <is>
          <t>Coordinar les tasques i contractació de la secretaria tècnica que acompanya el projecte</t>
        </is>
      </c>
      <c r="F230" s="11" t="inlineStr">
        <is>
          <t>Formalització del nou contracte de secretaria tècnica</t>
        </is>
      </c>
      <c r="G230" s="11" t="inlineStr">
        <is>
          <t>no</t>
        </is>
      </c>
      <c r="H230" s="11" t="inlineStr">
        <is>
          <t>si</t>
        </is>
      </c>
      <c r="I230" s="11" t="inlineStr">
        <is>
          <t>MÀXIMA</t>
        </is>
      </c>
      <c r="J230" s="11" t="inlineStr">
        <is>
          <t>Us Public</t>
        </is>
      </c>
      <c r="K230" s="11" t="inlineStr">
        <is>
          <t>Nuria</t>
        </is>
      </c>
      <c r="L230" s="11" t="inlineStr">
        <is>
          <t>FOMENTAR UN TURISME SOSTENIBLE compatible amb la conservació de l'espai</t>
        </is>
      </c>
      <c r="M230" s="11" t="inlineStr">
        <is>
          <t>Fomentar un model de turisme que promogui els valors dels espais naturals protegits d'acord amb els agents turístics del territori</t>
        </is>
      </c>
      <c r="N230" s="11" t="inlineStr">
        <is>
          <t>Comú</t>
        </is>
      </c>
      <c r="O230" s="11" t="inlineStr">
        <is>
          <t>Optatiu</t>
        </is>
      </c>
      <c r="P230" s="11" t="inlineStr">
        <is>
          <t>Si</t>
        </is>
      </c>
      <c r="Q230" s="11" t="inlineStr">
        <is>
          <t>09.1.1 · Coordinar les tasques i contractació de la secretaria tècnica que acompanya el projecte — Formalització del nou contracte de secretaria tècnica</t>
        </is>
      </c>
    </row>
    <row r="231">
      <c r="A231" s="11" t="inlineStr">
        <is>
          <t>4. Desenvolupament local</t>
        </is>
      </c>
      <c r="B231" s="11" t="inlineStr">
        <is>
          <t>09.1.1</t>
        </is>
      </c>
      <c r="C231" s="11" t="inlineStr">
        <is>
          <t>Desplegar la Carta Europea de Turisme Sostenible (CETS)</t>
        </is>
      </c>
      <c r="D231" s="11" t="inlineStr">
        <is>
          <t>Desplegar la Carta Europea de Turisme Sostenible (CETS)</t>
        </is>
      </c>
      <c r="E231" s="11" t="inlineStr">
        <is>
          <t>Coordinació amb el grup CETSCAT de Parcs Naturals de Catalunya que desenvolupen la CETS</t>
        </is>
      </c>
      <c r="F231" s="11" t="inlineStr">
        <is>
          <t>Número de reunions assistides</t>
        </is>
      </c>
      <c r="G231" s="11" t="n">
        <v>4</v>
      </c>
      <c r="H231" s="11" t="n">
        <v>6</v>
      </c>
      <c r="I231" s="11" t="inlineStr">
        <is>
          <t>ALTA</t>
        </is>
      </c>
      <c r="J231" s="11" t="inlineStr">
        <is>
          <t>Us Public</t>
        </is>
      </c>
      <c r="K231" s="11" t="inlineStr">
        <is>
          <t>Nuria</t>
        </is>
      </c>
      <c r="L231" s="11" t="inlineStr">
        <is>
          <t>FOMENTAR UN TURISME SOSTENIBLE compatible amb la conservació de l'espai</t>
        </is>
      </c>
      <c r="M231" s="11" t="inlineStr">
        <is>
          <t>Fomentar un model de turisme que promogui els valors dels espais naturals protegits d'acord amb els agents turístics del territori</t>
        </is>
      </c>
      <c r="N231" s="11" t="inlineStr">
        <is>
          <t>Comú</t>
        </is>
      </c>
      <c r="O231" s="11" t="inlineStr">
        <is>
          <t>Optatiu</t>
        </is>
      </c>
      <c r="P231" s="11" t="inlineStr">
        <is>
          <t>Si</t>
        </is>
      </c>
      <c r="Q231" s="11" t="inlineStr">
        <is>
          <t>09.1.1 · Coordinació amb el grup CETSCAT de Parcs Naturals de Catalunya que desenvolupen la CETS — Número de reunions assistides</t>
        </is>
      </c>
    </row>
    <row r="232">
      <c r="A232" s="11" t="inlineStr">
        <is>
          <t>4. Desenvolupament local</t>
        </is>
      </c>
      <c r="B232" s="11" t="inlineStr">
        <is>
          <t>09.1.2</t>
        </is>
      </c>
      <c r="C232" s="11" t="inlineStr">
        <is>
          <t>Tramitar la certificació Biosphere</t>
        </is>
      </c>
      <c r="D232" s="11" t="inlineStr">
        <is>
          <t>Tramitar la certificació Wild Rivers</t>
        </is>
      </c>
      <c r="E232" s="11" t="inlineStr">
        <is>
          <t>Tramitar l'acreditació Wild Rivers</t>
        </is>
      </c>
      <c r="F232" s="11" t="inlineStr">
        <is>
          <t>Aprovació de l'acreditació</t>
        </is>
      </c>
      <c r="G232" s="11" t="inlineStr">
        <is>
          <t>no</t>
        </is>
      </c>
      <c r="H232" s="11" t="inlineStr">
        <is>
          <t>si</t>
        </is>
      </c>
      <c r="I232" s="11" t="inlineStr">
        <is>
          <t>ALTA</t>
        </is>
      </c>
      <c r="J232" s="11" t="inlineStr">
        <is>
          <t>Direcció</t>
        </is>
      </c>
      <c r="K232" s="11" t="inlineStr">
        <is>
          <t>Marc</t>
        </is>
      </c>
      <c r="L232" s="11" t="inlineStr">
        <is>
          <t>FOMENTAR UN TURISME SOSTENIBLE compatible amb la conservació de l'espai</t>
        </is>
      </c>
      <c r="M232" s="11" t="inlineStr">
        <is>
          <t>Fomentar un model de turisme que promogui els valors dels espais naturals protegits d'acord amb els agents turístics del territori</t>
        </is>
      </c>
      <c r="N232" s="11" t="inlineStr">
        <is>
          <t>Comú</t>
        </is>
      </c>
      <c r="O232" s="11" t="inlineStr">
        <is>
          <t>Optatiu</t>
        </is>
      </c>
      <c r="P232" s="11" t="inlineStr">
        <is>
          <t>Si</t>
        </is>
      </c>
      <c r="Q232" s="11" t="inlineStr">
        <is>
          <t>09.1.2 · Tramitar l'acreditació Wild Rivers — Aprovació de l'acreditació</t>
        </is>
      </c>
    </row>
    <row r="233">
      <c r="A233" s="11" t="inlineStr">
        <is>
          <t>4. Desenvolupament local</t>
        </is>
      </c>
      <c r="B233" s="11" t="inlineStr">
        <is>
          <t>09.1.2</t>
        </is>
      </c>
      <c r="C233" s="11" t="inlineStr">
        <is>
          <t>Tramitar la certificació Biosphere</t>
        </is>
      </c>
      <c r="D233" s="11" t="inlineStr">
        <is>
          <t>Tramitar la certificació Wild Rivers</t>
        </is>
      </c>
      <c r="E233" s="11" t="inlineStr">
        <is>
          <t>Desplegar les accions previstes al Pla d'acció 2025-2029</t>
        </is>
      </c>
      <c r="F233" s="11" t="inlineStr">
        <is>
          <t>Número d'accions del Pla realitzades</t>
        </is>
      </c>
      <c r="G233" s="11" t="n">
        <v>15</v>
      </c>
      <c r="H233" s="11" t="n">
        <v>29</v>
      </c>
      <c r="I233" s="11" t="inlineStr">
        <is>
          <t>MITJANA</t>
        </is>
      </c>
      <c r="J233" s="11" t="inlineStr">
        <is>
          <t>Direcció</t>
        </is>
      </c>
      <c r="K233" s="11" t="inlineStr">
        <is>
          <t>Marc</t>
        </is>
      </c>
      <c r="L233" s="11" t="inlineStr">
        <is>
          <t>FOMENTAR UN TURISME SOSTENIBLE compatible amb la conservació de l'espai</t>
        </is>
      </c>
      <c r="M233" s="11" t="inlineStr">
        <is>
          <t>Fomentar un model de turisme que promogui els valors dels espais naturals protegits d'acord amb els agents turístics del territori</t>
        </is>
      </c>
      <c r="N233" s="11" t="inlineStr">
        <is>
          <t>Comú</t>
        </is>
      </c>
      <c r="O233" s="11" t="inlineStr">
        <is>
          <t>Optatiu</t>
        </is>
      </c>
      <c r="P233" s="11" t="inlineStr">
        <is>
          <t>Si</t>
        </is>
      </c>
      <c r="Q233" s="11" t="inlineStr">
        <is>
          <t>09.1.2 · Desplegar les accions previstes al Pla d'acció 2025-2029 — Número d'accions del Pla realitzades</t>
        </is>
      </c>
    </row>
    <row r="234">
      <c r="A234" s="11" t="inlineStr">
        <is>
          <t>4. Desenvolupament local</t>
        </is>
      </c>
      <c r="B234" s="11" t="inlineStr">
        <is>
          <t>09.1.3</t>
        </is>
      </c>
      <c r="C234" s="11" t="inlineStr">
        <is>
          <t>Fomentar el guiatge interpretatiu al Parc Natural</t>
        </is>
      </c>
      <c r="D234" s="11" t="inlineStr">
        <is>
          <t>Fomentar el guiatge interpretatiu al Parc Natural</t>
        </is>
      </c>
      <c r="E234" s="11" t="inlineStr">
        <is>
          <t>Afavorir els guies intèrprets acreditats pel Parc com actors principals en la difusió dels valors i el patrimoni del Parc, tot donant-los prioritat en la realització d’activitats i guiatges, en especial aquells acreditats per la CETS</t>
        </is>
      </c>
      <c r="F234" s="11" t="inlineStr">
        <is>
          <t>Número d’accions de foment</t>
        </is>
      </c>
      <c r="G234" s="11" t="n">
        <v>8</v>
      </c>
      <c r="H234" s="11" t="n">
        <v>24</v>
      </c>
      <c r="I234" s="11" t="inlineStr">
        <is>
          <t>MITJANA</t>
        </is>
      </c>
      <c r="J234" s="11" t="inlineStr"/>
      <c r="K234" s="11" t="inlineStr"/>
      <c r="L234" s="11" t="inlineStr">
        <is>
          <t>FOMENTAR UN TURISME SOSTENIBLE compatible amb la conservació de l'espai</t>
        </is>
      </c>
      <c r="M234" s="11" t="inlineStr">
        <is>
          <t>Fomentar un model de turisme que promogui els valors dels espais naturals protegits d'acord amb els agents turístics del territori</t>
        </is>
      </c>
      <c r="N234" s="11" t="inlineStr">
        <is>
          <t>Comú</t>
        </is>
      </c>
      <c r="O234" s="11" t="inlineStr">
        <is>
          <t>Optatiu</t>
        </is>
      </c>
      <c r="P234" s="11" t="inlineStr">
        <is>
          <t>Si</t>
        </is>
      </c>
      <c r="Q234" s="11" t="inlineStr">
        <is>
          <t>09.1.3 · Afavorir els guies intèrprets acreditats pel Parc com actors principals en la difusió dels valors i el patrimoni del Parc, tot donant-los prioritat en — Número d’accions de foment</t>
        </is>
      </c>
    </row>
    <row r="235">
      <c r="A235" s="11" t="inlineStr">
        <is>
          <t>4. Desenvolupament local</t>
        </is>
      </c>
      <c r="B235" s="11" t="inlineStr">
        <is>
          <t>09.1.3</t>
        </is>
      </c>
      <c r="C235" s="11" t="inlineStr">
        <is>
          <t>Fomentar el guiatge interpretatiu al Parc Natural</t>
        </is>
      </c>
      <c r="D235" s="11" t="inlineStr">
        <is>
          <t>Fomentar el guiatge interpretatiu al Parc Natural</t>
        </is>
      </c>
      <c r="E235" s="11" t="inlineStr">
        <is>
          <t>Promocionar les activitats dels guies intèrprets acreditats del Parc en els mitjans de difusió del Parc</t>
        </is>
      </c>
      <c r="F235" s="11" t="inlineStr">
        <is>
          <t>Número d’accions de difusió realitzades</t>
        </is>
      </c>
      <c r="G235" s="11" t="n">
        <v>20</v>
      </c>
      <c r="H235" s="11" t="n">
        <v>50</v>
      </c>
      <c r="I235" s="11" t="inlineStr">
        <is>
          <t>ALTA</t>
        </is>
      </c>
      <c r="J235" s="11" t="inlineStr"/>
      <c r="K235" s="11" t="inlineStr"/>
      <c r="L235" s="11" t="inlineStr">
        <is>
          <t>FOMENTAR UN TURISME SOSTENIBLE compatible amb la conservació de l'espai</t>
        </is>
      </c>
      <c r="M235" s="11" t="inlineStr">
        <is>
          <t>Fomentar un model de turisme que promogui els valors dels espais naturals protegits d'acord amb els agents turístics del territori</t>
        </is>
      </c>
      <c r="N235" s="11" t="inlineStr">
        <is>
          <t>Comú</t>
        </is>
      </c>
      <c r="O235" s="11" t="inlineStr">
        <is>
          <t>Optatiu</t>
        </is>
      </c>
      <c r="P235" s="11" t="inlineStr">
        <is>
          <t>Si</t>
        </is>
      </c>
      <c r="Q235" s="11" t="inlineStr">
        <is>
          <t>09.1.3 · Promocionar les activitats dels guies intèrprets acreditats del Parc en els mitjans de difusió del Parc — Número d’accions de difusió realitzades</t>
        </is>
      </c>
    </row>
    <row r="236">
      <c r="A236" s="11" t="inlineStr">
        <is>
          <t>4. Desenvolupament local</t>
        </is>
      </c>
      <c r="B236" s="11" t="inlineStr">
        <is>
          <t>09.2.1</t>
        </is>
      </c>
      <c r="C236" s="11" t="inlineStr">
        <is>
          <t>Treballar amb les empreses turístiques per trobar eines de canvi cap a un model de turisme sostenible i de qualitat</t>
        </is>
      </c>
      <c r="D236" s="11" t="inlineStr">
        <is>
          <t>Treballar amb les empreses turístiques per trobar eines de canvi cap a un model de turisme regeneratiu</t>
        </is>
      </c>
      <c r="E236" s="11" t="inlineStr">
        <is>
          <t>Fomentar les compensacions del carboni generat pels visitants a través de Gratitud Pallars</t>
        </is>
      </c>
      <c r="F236" s="11" t="inlineStr">
        <is>
          <t>Número de causes tancades mitjançant donació</t>
        </is>
      </c>
      <c r="G236" s="11" t="n">
        <v>3</v>
      </c>
      <c r="H236" s="11" t="n">
        <v>10</v>
      </c>
      <c r="I236" s="11" t="inlineStr">
        <is>
          <t>ALTA</t>
        </is>
      </c>
      <c r="J236" s="11" t="inlineStr">
        <is>
          <t>Us Public</t>
        </is>
      </c>
      <c r="K236" s="11" t="inlineStr">
        <is>
          <t>Moi</t>
        </is>
      </c>
      <c r="L236" s="11" t="inlineStr">
        <is>
          <t>FOMENTAR UN TURISME SOSTENIBLE compatible amb la conservació de l'espai</t>
        </is>
      </c>
      <c r="M236" s="11" t="inlineStr">
        <is>
          <t>Promoure la coordinació amb els agents turístics del territori (empreses, industries, administració).</t>
        </is>
      </c>
      <c r="N236" s="11" t="inlineStr">
        <is>
          <t>Comú</t>
        </is>
      </c>
      <c r="O236" s="11" t="inlineStr">
        <is>
          <t>Optatiu</t>
        </is>
      </c>
      <c r="P236" s="11" t="inlineStr">
        <is>
          <t>Si</t>
        </is>
      </c>
      <c r="Q236" s="11" t="inlineStr">
        <is>
          <t>09.2.1 · Fomentar les compensacions del carboni generat pels visitants a través de Gratitud Pallars — Número de causes tancades mitjançant donació</t>
        </is>
      </c>
    </row>
    <row r="237">
      <c r="A237" s="11" t="inlineStr">
        <is>
          <t>4. Desenvolupament local</t>
        </is>
      </c>
      <c r="B237" s="11" t="inlineStr">
        <is>
          <t>09.2.2</t>
        </is>
      </c>
      <c r="C237" s="11" t="inlineStr">
        <is>
          <t>Crear productes i paquets turístics amb associacions d’empreses turístiques i operadors turístics</t>
        </is>
      </c>
      <c r="D237" s="11" t="inlineStr">
        <is>
          <t>Promoure grups de treball específics en els diferetns àmbits del sector turístic</t>
        </is>
      </c>
      <c r="E237" s="11" t="inlineStr">
        <is>
          <t>Creació i desplegament dels grups de treball en l'àmbit turístic (cultura, esqui, dades, empreses CETS, etc..)</t>
        </is>
      </c>
      <c r="F237" s="11" t="inlineStr">
        <is>
          <t>Número de sessions de treball realitzades</t>
        </is>
      </c>
      <c r="G237" s="11" t="n">
        <v>10</v>
      </c>
      <c r="H237" s="11" t="n">
        <v>30</v>
      </c>
      <c r="I237" s="11" t="inlineStr">
        <is>
          <t>MITJANA</t>
        </is>
      </c>
      <c r="J237" s="11" t="inlineStr">
        <is>
          <t>Us Public</t>
        </is>
      </c>
      <c r="K237" s="11" t="inlineStr">
        <is>
          <t>Nuria</t>
        </is>
      </c>
      <c r="L237" s="11" t="inlineStr">
        <is>
          <t>FOMENTAR UN TURISME SOSTENIBLE compatible amb la conservació de l'espai</t>
        </is>
      </c>
      <c r="M237" s="11" t="inlineStr">
        <is>
          <t>Promoure la coordinació amb els agents turístics del territori (empreses, industries, administració).</t>
        </is>
      </c>
      <c r="N237" s="11" t="inlineStr">
        <is>
          <t>Comú</t>
        </is>
      </c>
      <c r="O237" s="11" t="inlineStr">
        <is>
          <t>Optatiu</t>
        </is>
      </c>
      <c r="P237" s="11" t="inlineStr">
        <is>
          <t>Si</t>
        </is>
      </c>
      <c r="Q237" s="11" t="inlineStr">
        <is>
          <t>09.2.2 · Creació i desplegament dels grups de treball en l'àmbit turístic (cultura, esqui, dades, empreses CETS, etc..) — Número de sessions de treball realitzades</t>
        </is>
      </c>
    </row>
    <row r="238">
      <c r="A238" s="11" t="inlineStr">
        <is>
          <t>4. Desenvolupament local</t>
        </is>
      </c>
      <c r="B238" s="11" t="inlineStr">
        <is>
          <t>09.2.2</t>
        </is>
      </c>
      <c r="C238" s="11" t="inlineStr">
        <is>
          <t>Crear productes i paquets turístics amb associacions d’empreses turístiques i operadors turístics</t>
        </is>
      </c>
      <c r="D238" s="11" t="inlineStr">
        <is>
          <t>Promoure grups de treball específics en els diferetns àmbits del sector turístic</t>
        </is>
      </c>
      <c r="E238" s="11" t="inlineStr">
        <is>
          <t>Donar continuïtat al conveni de col·laboració amb l’estació de Port Ainé (FGC) per la realització d’accions conjuntes en matèria ambiental, adaptació al canvi climàtic i d’ús públic a l’entorn de l’estació</t>
        </is>
      </c>
      <c r="F238" s="11" t="inlineStr">
        <is>
          <t>Número d’accions realitzades via conveni</t>
        </is>
      </c>
      <c r="G238" s="11" t="n">
        <v>10</v>
      </c>
      <c r="H238" s="11" t="n">
        <v>25</v>
      </c>
      <c r="I238" s="11" t="inlineStr">
        <is>
          <t>MITJANA</t>
        </is>
      </c>
      <c r="J238" s="11" t="inlineStr"/>
      <c r="K238" s="11" t="inlineStr"/>
      <c r="L238" s="11" t="inlineStr">
        <is>
          <t>FOMENTAR UN TURISME SOSTENIBLE compatible amb la conservació de l'espai</t>
        </is>
      </c>
      <c r="M238" s="11" t="inlineStr">
        <is>
          <t>Promoure la coordinació amb els agents turístics del territori (empreses, industries, administració).</t>
        </is>
      </c>
      <c r="N238" s="11" t="inlineStr">
        <is>
          <t>Comú</t>
        </is>
      </c>
      <c r="O238" s="11" t="inlineStr">
        <is>
          <t>Optatiu</t>
        </is>
      </c>
      <c r="P238" s="11" t="inlineStr">
        <is>
          <t>Si</t>
        </is>
      </c>
      <c r="Q238" s="11" t="inlineStr">
        <is>
          <t>09.2.2 · Donar continuïtat al conveni de col·laboració amb l’estació de Port Ainé (FGC) per la realització d’accions conjuntes en matèria ambiental, adaptació  — Número d’accions realitzades via conveni</t>
        </is>
      </c>
    </row>
    <row r="239">
      <c r="A239" s="11" t="inlineStr">
        <is>
          <t>4. Desenvolupament local</t>
        </is>
      </c>
      <c r="B239" s="11" t="inlineStr">
        <is>
          <t>09.2.2</t>
        </is>
      </c>
      <c r="C239" s="11" t="inlineStr">
        <is>
          <t>Crear productes i paquets turístics amb associacions d’empreses turístiques i operadors turístics</t>
        </is>
      </c>
      <c r="D239" s="11" t="inlineStr">
        <is>
          <t>Promoure grups de treball específics en els diferetns àmbits del sector turístic</t>
        </is>
      </c>
      <c r="E239" s="11" t="inlineStr">
        <is>
          <t>Realitzar nous convenis de col·laboració amb la resta d’estacions de muntanya de l’àmbit del Parc (Tavascan, Virós Vallferrera, Sant Joan de l’Erm i Baqueira) ) per la realització d’accions conjuntes en matèria ambiental, adaptació al canvi climàtic i d’ús públic a l’entorn de les estacions</t>
        </is>
      </c>
      <c r="F239" s="11" t="inlineStr">
        <is>
          <t>Número de convenis realitzats</t>
        </is>
      </c>
      <c r="G239" s="11" t="n">
        <v>0</v>
      </c>
      <c r="H239" s="11" t="n">
        <v>4</v>
      </c>
      <c r="I239" s="11" t="inlineStr">
        <is>
          <t>MITJANA</t>
        </is>
      </c>
      <c r="J239" s="11" t="inlineStr"/>
      <c r="K239" s="11" t="inlineStr"/>
      <c r="L239" s="11" t="inlineStr">
        <is>
          <t>FOMENTAR UN TURISME SOSTENIBLE compatible amb la conservació de l'espai</t>
        </is>
      </c>
      <c r="M239" s="11" t="inlineStr">
        <is>
          <t>Promoure la coordinació amb els agents turístics del territori (empreses, industries, administració).</t>
        </is>
      </c>
      <c r="N239" s="11" t="inlineStr">
        <is>
          <t>Comú</t>
        </is>
      </c>
      <c r="O239" s="11" t="inlineStr">
        <is>
          <t>Optatiu</t>
        </is>
      </c>
      <c r="P239" s="11" t="inlineStr">
        <is>
          <t>Si</t>
        </is>
      </c>
      <c r="Q239" s="11" t="inlineStr">
        <is>
          <t>09.2.2 · Realitzar nous convenis de col·laboració amb la resta d’estacions de muntanya de l’àmbit del Parc (Tavascan, Virós Vallferrera, Sant Joan de l’Erm i B — Número de convenis realitzats</t>
        </is>
      </c>
    </row>
    <row r="240">
      <c r="A240" s="11" t="inlineStr">
        <is>
          <t>4. Desenvolupament local</t>
        </is>
      </c>
      <c r="B240" s="11" t="inlineStr">
        <is>
          <t>09.2.2</t>
        </is>
      </c>
      <c r="C240" s="11" t="inlineStr">
        <is>
          <t>Crear productes i paquets turístics amb associacions d’empreses turístiques i operadors turístics</t>
        </is>
      </c>
      <c r="D240" s="11" t="inlineStr">
        <is>
          <t>Promoure grups de treball específics en els diferetns àmbits del sector turístic</t>
        </is>
      </c>
      <c r="E240" s="11" t="inlineStr">
        <is>
          <t>Participar com agent col·laborador al Pla de Turisme Sostenible de Sort 2024-2028 en les diferents accions previstes relacionades amb el Parc</t>
        </is>
      </c>
      <c r="F240" s="11" t="inlineStr">
        <is>
          <t>Número d’accions en que s’ha participat</t>
        </is>
      </c>
      <c r="G240" s="11" t="n">
        <v>4</v>
      </c>
      <c r="H240" s="11" t="n">
        <v>20</v>
      </c>
      <c r="I240" s="11" t="inlineStr">
        <is>
          <t>MITJANA</t>
        </is>
      </c>
      <c r="J240" s="11" t="inlineStr"/>
      <c r="K240" s="11" t="inlineStr"/>
      <c r="L240" s="11" t="inlineStr">
        <is>
          <t>FOMENTAR UN TURISME SOSTENIBLE compatible amb la conservació de l'espai</t>
        </is>
      </c>
      <c r="M240" s="11" t="inlineStr">
        <is>
          <t>Promoure la coordinació amb els agents turístics del territori (empreses, industries, administració).</t>
        </is>
      </c>
      <c r="N240" s="11" t="inlineStr">
        <is>
          <t>Comú</t>
        </is>
      </c>
      <c r="O240" s="11" t="inlineStr">
        <is>
          <t>Optatiu</t>
        </is>
      </c>
      <c r="P240" s="11" t="inlineStr">
        <is>
          <t>Si</t>
        </is>
      </c>
      <c r="Q240" s="11" t="inlineStr">
        <is>
          <t>09.2.2 · Participar com agent col·laborador al Pla de Turisme Sostenible de Sort 2024-2028 en les diferents accions previstes relacionades amb el Parc — Número d’accions en que s’ha participat</t>
        </is>
      </c>
    </row>
    <row r="241">
      <c r="A241" s="11" t="inlineStr">
        <is>
          <t>5. Ús públic i social</t>
        </is>
      </c>
      <c r="B241" s="11" t="inlineStr">
        <is>
          <t>10.1.1</t>
        </is>
      </c>
      <c r="C241" s="11" t="inlineStr">
        <is>
          <t>Establir un model de construcció a l'ENP en base al model de Pla de protecció</t>
        </is>
      </c>
      <c r="D241" s="11" t="inlineStr">
        <is>
          <t>Establir un model arquitectònic de construcció a l'ENP adaptat als seus valors naturals i culturals</t>
        </is>
      </c>
      <c r="E241" s="11" t="inlineStr">
        <is>
          <t>Actualitzar, imprimir i divulgar la nova guia de bones pràctiques de rehabilitació de construccions rurals aïllades del PNAP</t>
        </is>
      </c>
      <c r="F241" s="11" t="inlineStr">
        <is>
          <t>Accions de divulgació</t>
        </is>
      </c>
      <c r="G241" s="11" t="n">
        <v>1</v>
      </c>
      <c r="H241" s="11" t="n">
        <v>3</v>
      </c>
      <c r="I241" s="11" t="inlineStr">
        <is>
          <t>ALTA</t>
        </is>
      </c>
      <c r="J241" s="11" t="inlineStr">
        <is>
          <t>Direccio</t>
        </is>
      </c>
      <c r="K241" s="11" t="inlineStr">
        <is>
          <t>Marc</t>
        </is>
      </c>
      <c r="L241" s="11" t="inlineStr">
        <is>
          <t>ORDENAR ELS USOS I APROFITAMENTS per garantir l'equilibri de les activitats humanes amb la conservació de la biodiversitat</t>
        </is>
      </c>
      <c r="M241" s="11" t="inlineStr">
        <is>
          <t>Estandarditzar de regulació d'usos i aprofitaments en base al model de Pla de protecció</t>
        </is>
      </c>
      <c r="N241" s="11" t="inlineStr">
        <is>
          <t>Comú</t>
        </is>
      </c>
      <c r="O241" s="11" t="inlineStr">
        <is>
          <t>Obligatori</t>
        </is>
      </c>
      <c r="P241" s="11" t="inlineStr">
        <is>
          <t>Si</t>
        </is>
      </c>
      <c r="Q241" s="11" t="inlineStr">
        <is>
          <t>10.1.1 · Actualitzar, imprimir i divulgar la nova guia de bones pràctiques de rehabilitació de construccions rurals aïllades del PNAP — Accions de divulgació</t>
        </is>
      </c>
    </row>
    <row r="242">
      <c r="A242" s="11" t="inlineStr">
        <is>
          <t>5. Ús públic i social</t>
        </is>
      </c>
      <c r="B242" s="11" t="inlineStr">
        <is>
          <t>11.1.1</t>
        </is>
      </c>
      <c r="C242" s="11" t="inlineStr">
        <is>
          <t>Regular l'acampada i pernoctació en base al model de Pla de protecció</t>
        </is>
      </c>
      <c r="D242" s="11" t="inlineStr">
        <is>
          <t>Regular l'acampada i pernoctació</t>
        </is>
      </c>
      <c r="E242" s="11" t="inlineStr">
        <is>
          <t>Mantenir, divulgar i supervisar la regulació d'acampada i pernoctació en base a lo acordat en Junta Rectora</t>
        </is>
      </c>
      <c r="F242" s="11" t="inlineStr">
        <is>
          <t>Percentatge de tramitació d'autoritzacions d'acampada sol·licitades</t>
        </is>
      </c>
      <c r="G242" s="11" t="n">
        <v>0.4</v>
      </c>
      <c r="H242" s="11" t="n">
        <v>1</v>
      </c>
      <c r="I242" s="11" t="inlineStr">
        <is>
          <t>ALTA</t>
        </is>
      </c>
      <c r="J242" s="11" t="inlineStr">
        <is>
          <t>Us Public</t>
        </is>
      </c>
      <c r="K242" s="11" t="inlineStr">
        <is>
          <t>Moi</t>
        </is>
      </c>
      <c r="L242" s="11" t="inlineStr">
        <is>
          <t>ORDENAR L'ÚS PÚBLIC I SOCIAL per a la protecció dels hàbitats, espècies i elements geològics</t>
        </is>
      </c>
      <c r="M242" s="11" t="inlineStr">
        <is>
          <t>Estandaritzar regulació de l’ús públic i social en base al model acordat per govern</t>
        </is>
      </c>
      <c r="N242" s="11" t="inlineStr">
        <is>
          <t>Comú</t>
        </is>
      </c>
      <c r="O242" s="11" t="inlineStr">
        <is>
          <t>Obligatori</t>
        </is>
      </c>
      <c r="P242" s="11" t="inlineStr">
        <is>
          <t>Si</t>
        </is>
      </c>
      <c r="Q242" s="11" t="inlineStr">
        <is>
          <t>11.1.1 · Mantenir, divulgar i supervisar la regulació d'acampada i pernoctació en base a lo acordat en Junta Rectora — Percentatge de tramitació d'autoritzacions d'acampada sol·licitades</t>
        </is>
      </c>
    </row>
    <row r="243">
      <c r="A243" s="11" t="inlineStr">
        <is>
          <t>5. Ús públic i social</t>
        </is>
      </c>
      <c r="B243" s="11" t="inlineStr">
        <is>
          <t>11.1.2</t>
        </is>
      </c>
      <c r="C243" s="11" t="inlineStr">
        <is>
          <t>Regular la circulació rodada no motoritzada en base al model de Pla de protecció</t>
        </is>
      </c>
      <c r="D243" s="11" t="inlineStr">
        <is>
          <t>Regular la circulació rodada no motoritzada (BTT)</t>
        </is>
      </c>
      <c r="E243" s="11" t="inlineStr">
        <is>
          <t>Requerir i tramitar autorització empreses BTT fan circuits al Parc</t>
        </is>
      </c>
      <c r="F243" s="11" t="inlineStr">
        <is>
          <t>Percentatge de tramitació d'autoritzacions per part de les empreses BTT existents</t>
        </is>
      </c>
      <c r="G243" s="11" t="n">
        <v>0.25</v>
      </c>
      <c r="H243" s="11" t="n">
        <v>1</v>
      </c>
      <c r="I243" s="11" t="inlineStr">
        <is>
          <t>MITJANA</t>
        </is>
      </c>
      <c r="J243" s="11" t="inlineStr">
        <is>
          <t>Us Public</t>
        </is>
      </c>
      <c r="K243" s="11" t="inlineStr">
        <is>
          <t>Moi</t>
        </is>
      </c>
      <c r="L243" s="11" t="inlineStr">
        <is>
          <t>ORDENAR L'ÚS PÚBLIC I SOCIAL per a la protecció dels hàbitats, espècies i elements geològics</t>
        </is>
      </c>
      <c r="M243" s="11" t="inlineStr">
        <is>
          <t>Estandaritzar regulació de l’ús públic i social en base al model acordat per govern</t>
        </is>
      </c>
      <c r="N243" s="11" t="inlineStr">
        <is>
          <t>Comú</t>
        </is>
      </c>
      <c r="O243" s="11" t="inlineStr">
        <is>
          <t>Obligatori</t>
        </is>
      </c>
      <c r="P243" s="11" t="inlineStr">
        <is>
          <t>Si</t>
        </is>
      </c>
      <c r="Q243" s="11" t="inlineStr">
        <is>
          <t>11.1.2 · Requerir i tramitar autorització empreses BTT fan circuits al Parc — Percentatge de tramitació d'autoritzacions per part de les empreses BTT existents</t>
        </is>
      </c>
    </row>
    <row r="244">
      <c r="A244" s="11" t="inlineStr">
        <is>
          <t>5. Ús públic i social</t>
        </is>
      </c>
      <c r="B244" s="11" t="inlineStr">
        <is>
          <t>11.1.3</t>
        </is>
      </c>
      <c r="C244" s="11" t="inlineStr">
        <is>
          <t>Regular l'escalada i alpinisme, barranquisme, i espeleologia en base al model de Pla de protecció</t>
        </is>
      </c>
      <c r="D244" s="11" t="inlineStr">
        <is>
          <t>Regular vies ferrades, activitats hivernals de neu, barranquisme, i espeleologia</t>
        </is>
      </c>
      <c r="E244" s="11" t="inlineStr">
        <is>
          <t>Actualització de l'acord de regulació de l'espeleologia</t>
        </is>
      </c>
      <c r="F244" s="11" t="inlineStr">
        <is>
          <t>Acord actualitzat i implementat</t>
        </is>
      </c>
      <c r="G244" s="11" t="inlineStr">
        <is>
          <t>no</t>
        </is>
      </c>
      <c r="H244" s="11" t="inlineStr">
        <is>
          <t>si</t>
        </is>
      </c>
      <c r="I244" s="11" t="inlineStr">
        <is>
          <t>ALTA</t>
        </is>
      </c>
      <c r="J244" s="11" t="inlineStr">
        <is>
          <t>Us Public</t>
        </is>
      </c>
      <c r="K244" s="11" t="inlineStr">
        <is>
          <t>Moi</t>
        </is>
      </c>
      <c r="L244" s="11" t="inlineStr">
        <is>
          <t>ORDENAR L'ÚS PÚBLIC I SOCIAL per a la protecció dels hàbitats, espècies i elements geològics</t>
        </is>
      </c>
      <c r="M244" s="11" t="inlineStr">
        <is>
          <t>Estandaritzar regulació de l’ús públic i social en base al model acordat per govern</t>
        </is>
      </c>
      <c r="N244" s="11" t="inlineStr">
        <is>
          <t>Específic</t>
        </is>
      </c>
      <c r="O244" s="11" t="inlineStr">
        <is>
          <t>Obligatori</t>
        </is>
      </c>
      <c r="P244" s="11" t="inlineStr">
        <is>
          <t>Si</t>
        </is>
      </c>
      <c r="Q244" s="11" t="inlineStr">
        <is>
          <t>11.1.3 · Actualització de l'acord de regulació de l'espeleologia — Acord actualitzat i implementat</t>
        </is>
      </c>
    </row>
    <row r="245">
      <c r="A245" s="11" t="inlineStr">
        <is>
          <t>5. Ús públic i social</t>
        </is>
      </c>
      <c r="B245" s="11" t="inlineStr">
        <is>
          <t>11.1.3</t>
        </is>
      </c>
      <c r="C245" s="11" t="inlineStr">
        <is>
          <t>Regular l'escalada i alpinisme, barranquisme, i espeleologia en base al model de Pla de protecció</t>
        </is>
      </c>
      <c r="D245" s="11" t="inlineStr">
        <is>
          <t>Regular vies ferrades, activitats hivernals de neu, barranquisme, i espeleologia</t>
        </is>
      </c>
      <c r="E245" s="11" t="inlineStr">
        <is>
          <t>Realització d'un acord de regulació del barranquisme</t>
        </is>
      </c>
      <c r="F245" s="11" t="inlineStr">
        <is>
          <t>Acord realitzat i implementat</t>
        </is>
      </c>
      <c r="G245" s="11" t="inlineStr">
        <is>
          <t>no</t>
        </is>
      </c>
      <c r="H245" s="11" t="inlineStr">
        <is>
          <t>si</t>
        </is>
      </c>
      <c r="I245" s="11" t="inlineStr">
        <is>
          <t>ALTA</t>
        </is>
      </c>
      <c r="J245" s="11" t="inlineStr">
        <is>
          <t>Us Public</t>
        </is>
      </c>
      <c r="K245" s="11" t="inlineStr">
        <is>
          <t>Moi</t>
        </is>
      </c>
      <c r="L245" s="11" t="inlineStr">
        <is>
          <t>ORDENAR L'ÚS PÚBLIC I SOCIAL per a la protecció dels hàbitats, espècies i elements geològics</t>
        </is>
      </c>
      <c r="M245" s="11" t="inlineStr">
        <is>
          <t>Estandaritzar regulació de l’ús públic i social en base al model acordat per govern</t>
        </is>
      </c>
      <c r="N245" s="11" t="inlineStr">
        <is>
          <t>Específic</t>
        </is>
      </c>
      <c r="O245" s="11" t="inlineStr">
        <is>
          <t>Obligatori</t>
        </is>
      </c>
      <c r="P245" s="11" t="inlineStr">
        <is>
          <t>Si</t>
        </is>
      </c>
      <c r="Q245" s="11" t="inlineStr">
        <is>
          <t>11.1.3 · Realització d'un acord de regulació del barranquisme — Acord realitzat i implementat</t>
        </is>
      </c>
    </row>
    <row r="246">
      <c r="A246" s="11" t="inlineStr">
        <is>
          <t>5. Ús públic i social</t>
        </is>
      </c>
      <c r="B246" s="11" t="inlineStr">
        <is>
          <t>11.1.3</t>
        </is>
      </c>
      <c r="C246" s="11" t="inlineStr">
        <is>
          <t>Regular l'escalada i alpinisme, barranquisme, i espeleologia en base al model de Pla de protecció</t>
        </is>
      </c>
      <c r="D246" s="11" t="inlineStr">
        <is>
          <t>Regular vies ferrades, activitats hivernals de neu, barranquisme, i espeleologia</t>
        </is>
      </c>
      <c r="E246" s="11" t="inlineStr">
        <is>
          <t>Creació i divulgació d'àrees de tranquil·litat hivernal per fer compatible activitats hivernals de neu amb la conservació de fauna sensible</t>
        </is>
      </c>
      <c r="F246" s="11" t="inlineStr">
        <is>
          <t>Número àrees de tranquil·litat hivernal creades</t>
        </is>
      </c>
      <c r="G246" s="11" t="n">
        <v>4</v>
      </c>
      <c r="H246" s="11" t="n">
        <v>10</v>
      </c>
      <c r="I246" s="11" t="inlineStr">
        <is>
          <t>ALTA</t>
        </is>
      </c>
      <c r="J246" s="11" t="inlineStr">
        <is>
          <t>Patrimoni</t>
        </is>
      </c>
      <c r="K246" s="11" t="inlineStr">
        <is>
          <t>Eli</t>
        </is>
      </c>
      <c r="L246" s="11" t="inlineStr">
        <is>
          <t>ORDENAR L'ÚS PÚBLIC I SOCIAL per a la protecció dels hàbitats, espècies i elements geològics</t>
        </is>
      </c>
      <c r="M246" s="11" t="inlineStr">
        <is>
          <t>Estandaritzar regulació de l’ús públic i social en base al model acordat per govern</t>
        </is>
      </c>
      <c r="N246" s="11" t="inlineStr">
        <is>
          <t>Específic</t>
        </is>
      </c>
      <c r="O246" s="11" t="inlineStr">
        <is>
          <t>Obligatori</t>
        </is>
      </c>
      <c r="P246" s="11" t="inlineStr">
        <is>
          <t>Si</t>
        </is>
      </c>
      <c r="Q246" s="11" t="inlineStr">
        <is>
          <t>11.1.3 · Creació i divulgació d'àrees de tranquil·litat hivernal per fer compatible activitats hivernals de neu amb la conservació de fauna sensible — Número àrees de tranquil·litat hivernal creades</t>
        </is>
      </c>
    </row>
    <row r="247">
      <c r="A247" s="11" t="inlineStr">
        <is>
          <t>5. Ús públic i social</t>
        </is>
      </c>
      <c r="B247" s="11" t="inlineStr">
        <is>
          <t>11.1.4</t>
        </is>
      </c>
      <c r="C247" s="11" t="inlineStr">
        <is>
          <t>Regular les curses i altres activitats esportives organitzades en base al model de Pla de protecció</t>
        </is>
      </c>
      <c r="D247" s="11" t="inlineStr">
        <is>
          <t>Regular les curses i altres activitats esportives organitzades</t>
        </is>
      </c>
      <c r="E247" s="11" t="inlineStr">
        <is>
          <t>Implementació del protocol de regulació de curses i altres activitats esportives organitzades a través de segells de qualitat (Segell verd o GREEN CXM Trail)</t>
        </is>
      </c>
      <c r="F247" s="11" t="inlineStr">
        <is>
          <t>Número de curses acreditades amb segell</t>
        </is>
      </c>
      <c r="G247" s="11" t="n">
        <v>0</v>
      </c>
      <c r="H247" s="11" t="n">
        <v>3</v>
      </c>
      <c r="I247" s="11" t="inlineStr">
        <is>
          <t>MITJANA</t>
        </is>
      </c>
      <c r="J247" s="11" t="inlineStr">
        <is>
          <t>Direcció</t>
        </is>
      </c>
      <c r="K247" s="11" t="inlineStr">
        <is>
          <t>Marc</t>
        </is>
      </c>
      <c r="L247" s="11" t="inlineStr">
        <is>
          <t>ORDENAR L'ÚS PÚBLIC I SOCIAL per a la protecció dels hàbitats, espècies i elements geològics</t>
        </is>
      </c>
      <c r="M247" s="11" t="inlineStr">
        <is>
          <t>Estandaritzar regulació de l’ús públic i social en base al model acordat per govern</t>
        </is>
      </c>
      <c r="N247" s="11" t="inlineStr">
        <is>
          <t>Comú</t>
        </is>
      </c>
      <c r="O247" s="11" t="inlineStr">
        <is>
          <t>Obligatori</t>
        </is>
      </c>
      <c r="P247" s="11" t="inlineStr">
        <is>
          <t>Si</t>
        </is>
      </c>
      <c r="Q247" s="11" t="inlineStr">
        <is>
          <t>11.1.4 · Implementació del protocol de regulació de curses i altres activitats esportives organitzades a través de segells de qualitat (Segell verd o GREEN CXM — Número de curses acreditades amb segell</t>
        </is>
      </c>
    </row>
    <row r="248">
      <c r="A248" s="11" t="inlineStr">
        <is>
          <t>5. Ús públic i social</t>
        </is>
      </c>
      <c r="B248" s="11" t="inlineStr">
        <is>
          <t>11.1.5</t>
        </is>
      </c>
      <c r="C248" s="11" t="inlineStr">
        <is>
          <t>Regular els enregistraments i l'observació de fauna i natura en base al model de Pla de protecció</t>
        </is>
      </c>
      <c r="D248" s="11" t="inlineStr">
        <is>
          <t>Regular els enregistraments i l'observació de fauna i natura</t>
        </is>
      </c>
      <c r="E248" s="11" t="inlineStr">
        <is>
          <t>Divulgar la regulació d'enregistraments i observació de fauna i natura en base a la normativa sectorial, en especial el gall fer</t>
        </is>
      </c>
      <c r="F248" s="11" t="inlineStr">
        <is>
          <t>Número d'accions comunicatives</t>
        </is>
      </c>
      <c r="G248" s="11" t="n">
        <v>1</v>
      </c>
      <c r="H248" s="11" t="n">
        <v>3</v>
      </c>
      <c r="I248" s="11" t="inlineStr">
        <is>
          <t>MITJANA</t>
        </is>
      </c>
      <c r="J248" s="11" t="inlineStr">
        <is>
          <t>Patrimoni</t>
        </is>
      </c>
      <c r="K248" s="11" t="inlineStr">
        <is>
          <t>Eli</t>
        </is>
      </c>
      <c r="L248" s="11" t="inlineStr">
        <is>
          <t>ORDENAR L'ÚS PÚBLIC I SOCIAL per a la protecció dels hàbitats, espècies i elements geològics</t>
        </is>
      </c>
      <c r="M248" s="11" t="inlineStr">
        <is>
          <t>Estandaritzar regulació de l’ús públic i social en base al model acordat per govern</t>
        </is>
      </c>
      <c r="N248" s="11" t="inlineStr">
        <is>
          <t>Comú</t>
        </is>
      </c>
      <c r="O248" s="11" t="inlineStr">
        <is>
          <t>Obligatori</t>
        </is>
      </c>
      <c r="P248" s="11" t="inlineStr">
        <is>
          <t>Si</t>
        </is>
      </c>
      <c r="Q248" s="11" t="inlineStr">
        <is>
          <t>11.1.5 · Divulgar la regulació d'enregistraments i observació de fauna i natura en base a la normativa sectorial, en especial el gall fer — Número d'accions comunicatives</t>
        </is>
      </c>
    </row>
    <row r="249">
      <c r="A249" s="11" t="inlineStr">
        <is>
          <t>5. Ús públic i social</t>
        </is>
      </c>
      <c r="B249" s="11" t="inlineStr">
        <is>
          <t>11.1.6</t>
        </is>
      </c>
      <c r="C249" s="11" t="inlineStr">
        <is>
          <t>Regular les activitats científiques en base al model de Pla de protecció</t>
        </is>
      </c>
      <c r="D249" s="11" t="inlineStr">
        <is>
          <t>Regular les activitats científiques en base al Decret de creació del Parc</t>
        </is>
      </c>
      <c r="E249" s="11" t="inlineStr">
        <is>
          <t>Mantenir i supervisar la regulació de recerca científica</t>
        </is>
      </c>
      <c r="F249" s="11" t="inlineStr">
        <is>
          <t>Percentatge de tramitació d'autoritzacions de recerca sol·licitades</t>
        </is>
      </c>
      <c r="G249" s="11" t="n">
        <v>0.4</v>
      </c>
      <c r="H249" s="11" t="n">
        <v>1</v>
      </c>
      <c r="I249" s="11" t="inlineStr">
        <is>
          <t>MITJANA</t>
        </is>
      </c>
      <c r="J249" s="11" t="inlineStr">
        <is>
          <t>Patrimoni</t>
        </is>
      </c>
      <c r="K249" s="11" t="inlineStr">
        <is>
          <t>Oriol</t>
        </is>
      </c>
      <c r="L249" s="11" t="inlineStr">
        <is>
          <t>ORDENAR L'ÚS PÚBLIC I SOCIAL per a la protecció dels hàbitats, espècies i elements geològics</t>
        </is>
      </c>
      <c r="M249" s="11" t="inlineStr">
        <is>
          <t>Estandaritzar regulació de l’ús públic i social en base al model acordat per govern</t>
        </is>
      </c>
      <c r="N249" s="11" t="inlineStr">
        <is>
          <t>Comú</t>
        </is>
      </c>
      <c r="O249" s="11" t="inlineStr">
        <is>
          <t>Obligatori</t>
        </is>
      </c>
      <c r="P249" s="11" t="inlineStr">
        <is>
          <t>Si</t>
        </is>
      </c>
      <c r="Q249" s="11" t="inlineStr">
        <is>
          <t>11.1.6 · Mantenir i supervisar la regulació de recerca científica — Percentatge de tramitació d'autoritzacions de recerca sol·licitades</t>
        </is>
      </c>
    </row>
    <row r="250">
      <c r="A250" s="11" t="inlineStr">
        <is>
          <t>5. Ús públic i social</t>
        </is>
      </c>
      <c r="B250" s="11" t="inlineStr">
        <is>
          <t>11.1.7</t>
        </is>
      </c>
      <c r="C250" s="11" t="inlineStr">
        <is>
          <t>Regular les zones de bany</t>
        </is>
      </c>
      <c r="D250" s="11" t="inlineStr">
        <is>
          <t>Regular les zones de bany</t>
        </is>
      </c>
      <c r="E250" s="11" t="inlineStr">
        <is>
          <t>Divulgar la regulació del bany als ecosistemes aquàtics (senyals, web, XXSS,..)</t>
        </is>
      </c>
      <c r="F250" s="11" t="inlineStr">
        <is>
          <t>Número d'accions comunicatives</t>
        </is>
      </c>
      <c r="G250" s="11" t="n">
        <v>5</v>
      </c>
      <c r="H250" s="11" t="n">
        <v>15</v>
      </c>
      <c r="I250" s="11" t="inlineStr">
        <is>
          <t>ALTA</t>
        </is>
      </c>
      <c r="J250" s="11" t="inlineStr">
        <is>
          <t>Us Public</t>
        </is>
      </c>
      <c r="K250" s="11" t="inlineStr">
        <is>
          <t>Moi</t>
        </is>
      </c>
      <c r="L250" s="11" t="inlineStr">
        <is>
          <t>ORDENAR L'ÚS PÚBLIC I SOCIAL per a la protecció dels hàbitats, espècies i elements geològics</t>
        </is>
      </c>
      <c r="M250" s="11" t="inlineStr">
        <is>
          <t>Estandaritzar regulació de l’ús públic i social en base al model acordat per govern</t>
        </is>
      </c>
      <c r="N250" s="11" t="inlineStr">
        <is>
          <t>Específic</t>
        </is>
      </c>
      <c r="O250" s="11" t="inlineStr">
        <is>
          <t>Obligatori</t>
        </is>
      </c>
      <c r="P250" s="11" t="inlineStr">
        <is>
          <t>Si</t>
        </is>
      </c>
      <c r="Q250" s="11" t="inlineStr">
        <is>
          <t>11.1.7 · Divulgar la regulació del bany als ecosistemes aquàtics (senyals, web, XXSS,..) — Número d'accions comunicatives</t>
        </is>
      </c>
    </row>
    <row r="251">
      <c r="A251" s="11" t="inlineStr">
        <is>
          <t>5. Ús públic i social</t>
        </is>
      </c>
      <c r="B251" s="11" t="inlineStr">
        <is>
          <t>11.1.8</t>
        </is>
      </c>
      <c r="C251" s="11" t="inlineStr">
        <is>
          <t>Regular l'enlairament i aterratge sense motor</t>
        </is>
      </c>
      <c r="D251" s="11" t="inlineStr">
        <is>
          <t>Regular l'enlairament i aterratge sense motor</t>
        </is>
      </c>
      <c r="E251" s="11" t="inlineStr">
        <is>
          <t>Mantenir i supervisar la regulació de vol sense motor en base a la normativa sectorial</t>
        </is>
      </c>
      <c r="F251" s="11" t="inlineStr">
        <is>
          <t>Percentatge de tramitació d'autoritzacions de vol sol·licitades</t>
        </is>
      </c>
      <c r="G251" s="11" t="n">
        <v>0.4</v>
      </c>
      <c r="H251" s="11" t="n">
        <v>1</v>
      </c>
      <c r="I251" s="11" t="inlineStr">
        <is>
          <t>BAIXA</t>
        </is>
      </c>
      <c r="J251" s="11" t="inlineStr">
        <is>
          <t>Us Public</t>
        </is>
      </c>
      <c r="K251" s="11" t="inlineStr">
        <is>
          <t>Moi</t>
        </is>
      </c>
      <c r="L251" s="11" t="inlineStr">
        <is>
          <t>ORDENAR L'ÚS PÚBLIC I SOCIAL per a la protecció dels hàbitats, espècies i elements geològics</t>
        </is>
      </c>
      <c r="M251" s="11" t="inlineStr">
        <is>
          <t>Estandaritzar regulació de l’ús públic i social en base al model acordat per govern</t>
        </is>
      </c>
      <c r="N251" s="11" t="inlineStr">
        <is>
          <t>Específic</t>
        </is>
      </c>
      <c r="O251" s="11" t="inlineStr">
        <is>
          <t>Obligatori</t>
        </is>
      </c>
      <c r="P251" s="11" t="inlineStr">
        <is>
          <t>Si</t>
        </is>
      </c>
      <c r="Q251" s="11" t="inlineStr">
        <is>
          <t>11.1.8 · Mantenir i supervisar la regulació de vol sense motor en base a la normativa sectorial — Percentatge de tramitació d'autoritzacions de vol sol·licitades</t>
        </is>
      </c>
    </row>
    <row r="252">
      <c r="A252" s="11" t="inlineStr">
        <is>
          <t>5. Ús públic i social</t>
        </is>
      </c>
      <c r="B252" s="11" t="inlineStr">
        <is>
          <t>11.1.9</t>
        </is>
      </c>
      <c r="C252" s="11" t="inlineStr">
        <is>
          <t>Regular el submarinisme i l'snorkel</t>
        </is>
      </c>
      <c r="D252" s="11" t="inlineStr">
        <is>
          <t>Regular el submarinisme en estanys alpins</t>
        </is>
      </c>
      <c r="E252" s="11" t="inlineStr">
        <is>
          <t>Mantenir i supervisar la regulació de submarinisme en estanys en base a la normativa sectorial</t>
        </is>
      </c>
      <c r="F252" s="11" t="inlineStr">
        <is>
          <t>Percentatge de tramitació d'autoritzacions de submarinisme sol·licitades</t>
        </is>
      </c>
      <c r="G252" s="11" t="n">
        <v>0.4</v>
      </c>
      <c r="H252" s="11" t="n">
        <v>1</v>
      </c>
      <c r="I252" s="11" t="inlineStr">
        <is>
          <t>BAIXA</t>
        </is>
      </c>
      <c r="J252" s="11" t="inlineStr">
        <is>
          <t>Us Public</t>
        </is>
      </c>
      <c r="K252" s="11" t="inlineStr">
        <is>
          <t>Moi</t>
        </is>
      </c>
      <c r="L252" s="11" t="inlineStr">
        <is>
          <t>ORDENAR L'ÚS PÚBLIC I SOCIAL per a la protecció dels hàbitats, espècies i elements geològics</t>
        </is>
      </c>
      <c r="M252" s="11" t="inlineStr">
        <is>
          <t>Estandaritzar regulació de l’ús públic i social en base al model acordat per govern</t>
        </is>
      </c>
      <c r="N252" s="11" t="inlineStr">
        <is>
          <t>Específic</t>
        </is>
      </c>
      <c r="O252" s="11" t="inlineStr">
        <is>
          <t>Obligatori</t>
        </is>
      </c>
      <c r="P252" s="11" t="inlineStr">
        <is>
          <t>Si</t>
        </is>
      </c>
      <c r="Q252" s="11" t="inlineStr">
        <is>
          <t>11.1.9 · Mantenir i supervisar la regulació de submarinisme en estanys en base a la normativa sectorial — Percentatge de tramitació d'autoritzacions de submarinisme sol·licitades</t>
        </is>
      </c>
    </row>
    <row r="253">
      <c r="A253" s="11" t="inlineStr">
        <is>
          <t>5. Ús públic i social</t>
        </is>
      </c>
      <c r="B253" s="11" t="inlineStr">
        <is>
          <t>11.1.10</t>
        </is>
      </c>
      <c r="C253" s="11" t="inlineStr">
        <is>
          <t>Regular les activitats aquàtiques i nàutiques i zones de fondeig</t>
        </is>
      </c>
      <c r="D253" s="11" t="inlineStr">
        <is>
          <t>Regular les activitats aquàtiques (kayak) dins del Parc</t>
        </is>
      </c>
      <c r="E253" s="11" t="inlineStr">
        <is>
          <t>Mantenir i supervisar la regulació de navegació en base a la normativa sectorial als rius del Parc</t>
        </is>
      </c>
      <c r="F253" s="11" t="inlineStr">
        <is>
          <t>Percentatge de tramitació d'autoritzacions de kayak sol·licitades</t>
        </is>
      </c>
      <c r="G253" s="11" t="n">
        <v>0.4</v>
      </c>
      <c r="H253" s="11" t="n">
        <v>1</v>
      </c>
      <c r="I253" s="11" t="inlineStr">
        <is>
          <t>BAIXA</t>
        </is>
      </c>
      <c r="J253" s="11" t="inlineStr">
        <is>
          <t>Us Public</t>
        </is>
      </c>
      <c r="K253" s="11" t="inlineStr">
        <is>
          <t>Moi</t>
        </is>
      </c>
      <c r="L253" s="11" t="inlineStr">
        <is>
          <t>ORDENAR L'ÚS PÚBLIC I SOCIAL per a la protecció dels hàbitats, espècies i elements geològics</t>
        </is>
      </c>
      <c r="M253" s="11" t="inlineStr">
        <is>
          <t>Estandaritzar regulació de l’ús públic i social en base al model acordat per govern</t>
        </is>
      </c>
      <c r="N253" s="11" t="inlineStr">
        <is>
          <t>Específic</t>
        </is>
      </c>
      <c r="O253" s="11" t="inlineStr">
        <is>
          <t>Obligatori</t>
        </is>
      </c>
      <c r="P253" s="11" t="inlineStr">
        <is>
          <t>Si</t>
        </is>
      </c>
      <c r="Q253" s="11" t="inlineStr">
        <is>
          <t>11.1.10 · Mantenir i supervisar la regulació de navegació en base a la normativa sectorial als rius del Parc — Percentatge de tramitació d'autoritzacions de kayak sol·licitades</t>
        </is>
      </c>
    </row>
    <row r="254">
      <c r="A254" s="11" t="inlineStr">
        <is>
          <t>5. Ús públic i social</t>
        </is>
      </c>
      <c r="B254" s="11" t="inlineStr">
        <is>
          <t>11.1.10</t>
        </is>
      </c>
      <c r="C254" s="11" t="inlineStr">
        <is>
          <t>Regular les activitats aquàtiques i nàutiques i zones de fondeig</t>
        </is>
      </c>
      <c r="D254" s="11" t="inlineStr">
        <is>
          <t>Regular les activitats aquàtiques (kayak) dins del Parc</t>
        </is>
      </c>
      <c r="E254" s="11" t="inlineStr">
        <is>
          <t>Creació de punts de desinfecció d'embarcacions per prevenir entrada espècies invasores</t>
        </is>
      </c>
      <c r="F254" s="11" t="inlineStr">
        <is>
          <t>Número de punts de desinfecció realitzats en funcionament</t>
        </is>
      </c>
      <c r="G254" s="11" t="n">
        <v>0</v>
      </c>
      <c r="H254" s="11" t="n">
        <v>1</v>
      </c>
      <c r="I254" s="11" t="inlineStr">
        <is>
          <t>MITJANA</t>
        </is>
      </c>
      <c r="J254" s="11" t="inlineStr">
        <is>
          <t>Us Public</t>
        </is>
      </c>
      <c r="K254" s="11" t="inlineStr">
        <is>
          <t>Nuria</t>
        </is>
      </c>
      <c r="L254" s="11" t="inlineStr">
        <is>
          <t>ORDENAR L'ÚS PÚBLIC I SOCIAL per a la protecció dels hàbitats, espècies i elements geològics</t>
        </is>
      </c>
      <c r="M254" s="11" t="inlineStr">
        <is>
          <t>Estandaritzar regulació de l’ús públic i social en base al model acordat per govern</t>
        </is>
      </c>
      <c r="N254" s="11" t="inlineStr">
        <is>
          <t>Específic</t>
        </is>
      </c>
      <c r="O254" s="11" t="inlineStr">
        <is>
          <t>Obligatori</t>
        </is>
      </c>
      <c r="P254" s="11" t="inlineStr">
        <is>
          <t>Si</t>
        </is>
      </c>
      <c r="Q254" s="11" t="inlineStr">
        <is>
          <t>11.1.10 · Creació de punts de desinfecció d'embarcacions per prevenir entrada espècies invasores — Número de punts de desinfecció realitzats en funcionament</t>
        </is>
      </c>
    </row>
    <row r="255">
      <c r="A255" s="11" t="inlineStr">
        <is>
          <t>5. Ús públic i social</t>
        </is>
      </c>
      <c r="B255" s="11" t="inlineStr">
        <is>
          <t>11.1.11</t>
        </is>
      </c>
      <c r="C255" s="11" t="inlineStr">
        <is>
          <t>Regular la presència d'animals de companyia</t>
        </is>
      </c>
      <c r="D255" s="11" t="inlineStr">
        <is>
          <t>Regular la presència d'animals de companyia</t>
        </is>
      </c>
      <c r="E255" s="11" t="inlineStr">
        <is>
          <t>Divulgar la regulació de gos lligat per acord de Junta Rectora (senyals, web, XXSS,..)</t>
        </is>
      </c>
      <c r="F255" s="11" t="inlineStr">
        <is>
          <t>Número d'accions comunicatives</t>
        </is>
      </c>
      <c r="G255" s="11" t="n">
        <v>5</v>
      </c>
      <c r="H255" s="11" t="n">
        <v>15</v>
      </c>
      <c r="I255" s="11" t="inlineStr">
        <is>
          <t>ALTA</t>
        </is>
      </c>
      <c r="J255" s="11" t="inlineStr">
        <is>
          <t>Us Public</t>
        </is>
      </c>
      <c r="K255" s="11" t="inlineStr">
        <is>
          <t>Moi</t>
        </is>
      </c>
      <c r="L255" s="11" t="inlineStr">
        <is>
          <t>ORDENAR L'ÚS PÚBLIC I SOCIAL per a la protecció dels hàbitats, espècies i elements geològics</t>
        </is>
      </c>
      <c r="M255" s="11" t="inlineStr">
        <is>
          <t>Estandaritzar regulació de l’ús públic i social en base al model acordat per govern</t>
        </is>
      </c>
      <c r="N255" s="11" t="inlineStr">
        <is>
          <t>Comú</t>
        </is>
      </c>
      <c r="O255" s="11" t="inlineStr">
        <is>
          <t>Obligatori</t>
        </is>
      </c>
      <c r="P255" s="11" t="inlineStr">
        <is>
          <t>Si</t>
        </is>
      </c>
      <c r="Q255" s="11" t="inlineStr">
        <is>
          <t>11.1.11 · Divulgar la regulació de gos lligat per acord de Junta Rectora (senyals, web, XXSS,..) — Número d'accions comunicatives</t>
        </is>
      </c>
    </row>
    <row r="256">
      <c r="A256" s="11" t="inlineStr">
        <is>
          <t>5. Ús públic i social</t>
        </is>
      </c>
      <c r="B256" s="11" t="inlineStr">
        <is>
          <t>11.1.12</t>
        </is>
      </c>
      <c r="C256" s="11" t="inlineStr">
        <is>
          <t>Regular lels activitats d'educació ambiental i el lleure educatiu</t>
        </is>
      </c>
      <c r="D256" s="11" t="inlineStr">
        <is>
          <t>Estar informats de les activitats de lleure educatiu</t>
        </is>
      </c>
      <c r="E256" s="11" t="inlineStr">
        <is>
          <t>Coordinació amb agents implicats en la promoció i regulació les activitats de lleure educatiu</t>
        </is>
      </c>
      <c r="F256" s="11" t="inlineStr">
        <is>
          <t>Número de reunions de coordinació realitzades</t>
        </is>
      </c>
      <c r="G256" s="11" t="n">
        <v>2</v>
      </c>
      <c r="H256" s="11" t="n">
        <v>4</v>
      </c>
      <c r="I256" s="11" t="inlineStr">
        <is>
          <t>MITJANA</t>
        </is>
      </c>
      <c r="J256" s="11" t="inlineStr">
        <is>
          <t>Us Public</t>
        </is>
      </c>
      <c r="K256" s="11" t="inlineStr">
        <is>
          <t>Moi</t>
        </is>
      </c>
      <c r="L256" s="11" t="inlineStr">
        <is>
          <t>ORDENAR L'ÚS PÚBLIC I SOCIAL per a la protecció dels hàbitats, espècies i elements geològics</t>
        </is>
      </c>
      <c r="M256" s="11" t="inlineStr">
        <is>
          <t>Estandaritzar regulació de l’ús públic i social en base al model acordat per govern</t>
        </is>
      </c>
      <c r="N256" s="11" t="inlineStr">
        <is>
          <t>Comú</t>
        </is>
      </c>
      <c r="O256" s="11" t="inlineStr">
        <is>
          <t>Obligatori</t>
        </is>
      </c>
      <c r="P256" s="11" t="inlineStr">
        <is>
          <t>Si</t>
        </is>
      </c>
      <c r="Q256" s="11" t="inlineStr">
        <is>
          <t>11.1.12 · Coordinació amb agents implicats en la promoció i regulació les activitats de lleure educatiu — Número de reunions de coordinació realitzades</t>
        </is>
      </c>
    </row>
    <row r="257">
      <c r="A257" s="11" t="inlineStr">
        <is>
          <t>5. Ús públic i social</t>
        </is>
      </c>
      <c r="B257" s="11" t="inlineStr">
        <is>
          <t>11.1.12</t>
        </is>
      </c>
      <c r="C257" s="11" t="inlineStr">
        <is>
          <t>Regular lels activitats d'educació ambiental i el lleure educatiu</t>
        </is>
      </c>
      <c r="D257" s="11" t="inlineStr">
        <is>
          <t>Estar informats de les activitats de lleure educatiu</t>
        </is>
      </c>
      <c r="E257" s="11" t="inlineStr">
        <is>
          <t>Realització d'activitats d'educació ambiental a les estades de lleure educatiu</t>
        </is>
      </c>
      <c r="F257" s="11" t="inlineStr">
        <is>
          <t>Número d'activitats educatives realitzades</t>
        </is>
      </c>
      <c r="G257" s="11" t="n">
        <v>6</v>
      </c>
      <c r="H257" s="11" t="n">
        <v>12</v>
      </c>
      <c r="I257" s="11" t="inlineStr">
        <is>
          <t>MITJANA</t>
        </is>
      </c>
      <c r="J257" s="11" t="inlineStr">
        <is>
          <t>Us Public</t>
        </is>
      </c>
      <c r="K257" s="11" t="inlineStr">
        <is>
          <t>Moi</t>
        </is>
      </c>
      <c r="L257" s="11" t="inlineStr">
        <is>
          <t>ORDENAR L'ÚS PÚBLIC I SOCIAL per a la protecció dels hàbitats, espècies i elements geològics</t>
        </is>
      </c>
      <c r="M257" s="11" t="inlineStr">
        <is>
          <t>Estandaritzar regulació de l’ús públic i social en base al model acordat per govern</t>
        </is>
      </c>
      <c r="N257" s="11" t="inlineStr">
        <is>
          <t>Comú</t>
        </is>
      </c>
      <c r="O257" s="11" t="inlineStr">
        <is>
          <t>Obligatori</t>
        </is>
      </c>
      <c r="P257" s="11" t="inlineStr">
        <is>
          <t>Si</t>
        </is>
      </c>
      <c r="Q257" s="11" t="inlineStr">
        <is>
          <t>11.1.12 · Realització d'activitats d'educació ambiental a les estades de lleure educatiu — Número d'activitats educatives realitzades</t>
        </is>
      </c>
    </row>
    <row r="258">
      <c r="A258" s="11" t="inlineStr">
        <is>
          <t>5. Ús públic i social</t>
        </is>
      </c>
      <c r="B258" s="11" t="inlineStr">
        <is>
          <t>11.2.1</t>
        </is>
      </c>
      <c r="C258" s="11" t="inlineStr">
        <is>
          <t>Identificar i classificar la xarxa viària bàsica, secundària, senders i itineraris senyalitzats d'acord amb els ajuntaments</t>
        </is>
      </c>
      <c r="D258" s="11" t="inlineStr">
        <is>
          <t>Identificar i classificar la xarxa viària bàsica, secundària, senders i itineraris senyalitzats d'acord amb els ajuntaments</t>
        </is>
      </c>
      <c r="E258" s="11" t="inlineStr">
        <is>
          <t>Actualització del pla d'ordenació de la circulació motoritzada (2004) i de senderisme (2006) de forma participativa i tenint en compte les necessitats dels guies intèrprets acreditats i la població local</t>
        </is>
      </c>
      <c r="F258" s="11" t="inlineStr">
        <is>
          <t>Plans actualitzats</t>
        </is>
      </c>
      <c r="G258" s="11" t="n">
        <v>0</v>
      </c>
      <c r="H258" s="11" t="n">
        <v>2</v>
      </c>
      <c r="I258" s="11" t="inlineStr">
        <is>
          <t>MITJANA</t>
        </is>
      </c>
      <c r="J258" s="11" t="inlineStr">
        <is>
          <t>Direccció</t>
        </is>
      </c>
      <c r="K258" s="11" t="inlineStr">
        <is>
          <t>Marc</t>
        </is>
      </c>
      <c r="L258" s="11" t="inlineStr">
        <is>
          <t>ORDENAR L'ÚS PÚBLIC I SOCIAL per a la protecció dels hàbitats, espècies i elements geològics</t>
        </is>
      </c>
      <c r="M258" s="11" t="inlineStr">
        <is>
          <t>Disposar de la xarxa viària i itineraris oficials de l'ENP</t>
        </is>
      </c>
      <c r="N258" s="11" t="inlineStr">
        <is>
          <t>Comú</t>
        </is>
      </c>
      <c r="O258" s="11" t="inlineStr">
        <is>
          <t>Obligatori</t>
        </is>
      </c>
      <c r="P258" s="11" t="inlineStr">
        <is>
          <t>Si</t>
        </is>
      </c>
      <c r="Q258" s="11" t="inlineStr">
        <is>
          <t>11.2.1 · Actualització del pla d'ordenació de la circulació motoritzada (2004) i de senderisme (2006) de forma participativa i tenint en compte les necessitats — Plans actualitzats</t>
        </is>
      </c>
    </row>
    <row r="259">
      <c r="A259" s="11" t="inlineStr">
        <is>
          <t>5. Ús públic i social</t>
        </is>
      </c>
      <c r="B259" s="11" t="inlineStr">
        <is>
          <t>11.2.2</t>
        </is>
      </c>
      <c r="C259" s="11" t="inlineStr">
        <is>
          <t>Treballar conjuntament amb els principals canals d’informació de rutes per prioritzar itineraris oficials dins l’ENP</t>
        </is>
      </c>
      <c r="D259" s="11" t="inlineStr">
        <is>
          <t>Treballar conjuntament amb els principals canals d’informació de rutes per prioritzar itineraris oficials dins l’ENP</t>
        </is>
      </c>
      <c r="E259" s="11" t="inlineStr">
        <is>
          <t>Incorporació de les tecnologies de Wikiloc o Google Maps</t>
        </is>
      </c>
      <c r="F259" s="11" t="inlineStr">
        <is>
          <t>Número de rutes noves publicades</t>
        </is>
      </c>
      <c r="G259" s="11" t="n">
        <v>5</v>
      </c>
      <c r="H259" s="11" t="n">
        <v>20</v>
      </c>
      <c r="I259" s="11" t="inlineStr">
        <is>
          <t>ALTA</t>
        </is>
      </c>
      <c r="J259" s="11" t="inlineStr">
        <is>
          <t>Direccció</t>
        </is>
      </c>
      <c r="K259" s="11" t="inlineStr">
        <is>
          <t>Marc</t>
        </is>
      </c>
      <c r="L259" s="11" t="inlineStr">
        <is>
          <t>ORDENAR L'ÚS PÚBLIC I SOCIAL per a la protecció dels hàbitats, espècies i elements geològics</t>
        </is>
      </c>
      <c r="M259" s="11" t="inlineStr">
        <is>
          <t>Disposar de la xarxa viària i itineraris oficials de l'ENP</t>
        </is>
      </c>
      <c r="N259" s="11" t="inlineStr">
        <is>
          <t>Comú</t>
        </is>
      </c>
      <c r="O259" s="11" t="inlineStr">
        <is>
          <t>Obligatori</t>
        </is>
      </c>
      <c r="P259" s="11" t="inlineStr">
        <is>
          <t>Si</t>
        </is>
      </c>
      <c r="Q259" s="11" t="inlineStr">
        <is>
          <t>11.2.2 · Incorporació de les tecnologies de Wikiloc o Google Maps — Número de rutes noves publicades</t>
        </is>
      </c>
    </row>
    <row r="260">
      <c r="A260" s="11" t="inlineStr">
        <is>
          <t>5. Ús públic i social</t>
        </is>
      </c>
      <c r="B260" s="11" t="inlineStr">
        <is>
          <t>11.2.2</t>
        </is>
      </c>
      <c r="C260" s="11" t="inlineStr">
        <is>
          <t>Treballar conjuntament amb els principals canals d’informació de rutes per prioritzar itineraris oficials dins l’ENP</t>
        </is>
      </c>
      <c r="D260" s="11" t="inlineStr">
        <is>
          <t>Treballar conjuntament amb els principals canals d’informació de rutes per prioritzar itineraris oficials dins l’ENP</t>
        </is>
      </c>
      <c r="E260" s="11" t="inlineStr">
        <is>
          <t>Promoció dels itineraris i miradors accessibles</t>
        </is>
      </c>
      <c r="F260" s="11" t="inlineStr">
        <is>
          <t>Número d'accions de promoció</t>
        </is>
      </c>
      <c r="G260" s="11" t="n">
        <v>4</v>
      </c>
      <c r="H260" s="11" t="n">
        <v>8</v>
      </c>
      <c r="I260" s="11" t="inlineStr">
        <is>
          <t>MÀXIMA</t>
        </is>
      </c>
      <c r="J260" s="11" t="inlineStr">
        <is>
          <t>Us Public</t>
        </is>
      </c>
      <c r="K260" s="11" t="inlineStr">
        <is>
          <t>Moi</t>
        </is>
      </c>
      <c r="L260" s="11" t="inlineStr">
        <is>
          <t>ORDENAR L'ÚS PÚBLIC I SOCIAL per a la protecció dels hàbitats, espècies i elements geològics</t>
        </is>
      </c>
      <c r="M260" s="11" t="inlineStr">
        <is>
          <t>Disposar de la xarxa viària i itineraris oficials de l'ENP</t>
        </is>
      </c>
      <c r="N260" s="11" t="inlineStr">
        <is>
          <t>Comú</t>
        </is>
      </c>
      <c r="O260" s="11" t="inlineStr">
        <is>
          <t>Obligatori</t>
        </is>
      </c>
      <c r="P260" s="11" t="inlineStr">
        <is>
          <t>Si</t>
        </is>
      </c>
      <c r="Q260" s="11" t="inlineStr">
        <is>
          <t>11.2.2 · Promoció dels itineraris i miradors accessibles — Número d'accions de promoció</t>
        </is>
      </c>
    </row>
    <row r="261">
      <c r="A261" s="11" t="inlineStr">
        <is>
          <t>5. Ús públic i social</t>
        </is>
      </c>
      <c r="B261" s="11" t="inlineStr">
        <is>
          <t>11.3.1</t>
        </is>
      </c>
      <c r="C261" s="11" t="inlineStr">
        <is>
          <t>Regular l'accés i la circulació</t>
        </is>
      </c>
      <c r="D261" s="11" t="inlineStr">
        <is>
          <t>Regular l'accés i la circulació</t>
        </is>
      </c>
      <c r="E261" s="11" t="inlineStr">
        <is>
          <t>Promoció del pla de regulació de circulació rodada motoritzada</t>
        </is>
      </c>
      <c r="F261" s="11" t="inlineStr">
        <is>
          <t>Actualització i difusió del Planol de Mobilitat Sostenible</t>
        </is>
      </c>
      <c r="G261" s="11" t="n">
        <v>1</v>
      </c>
      <c r="H261" s="11" t="n">
        <v>3</v>
      </c>
      <c r="I261" s="11" t="inlineStr">
        <is>
          <t>MÀXIMA</t>
        </is>
      </c>
      <c r="J261" s="11" t="inlineStr">
        <is>
          <t>Us Public</t>
        </is>
      </c>
      <c r="K261" s="11" t="inlineStr">
        <is>
          <t>Moi</t>
        </is>
      </c>
      <c r="L261" s="11" t="inlineStr">
        <is>
          <t>ORDENAR L'ÚS PÚBLIC I SOCIAL per a la protecció dels hàbitats, espècies i elements geològics</t>
        </is>
      </c>
      <c r="M261" s="11" t="inlineStr">
        <is>
          <t>Implementar el protocol estandarditzat basat en el pla per la regulació al accés, circulació i ús de la xarxa viària</t>
        </is>
      </c>
      <c r="N261" s="11" t="inlineStr">
        <is>
          <t>Comú</t>
        </is>
      </c>
      <c r="O261" s="11" t="inlineStr">
        <is>
          <t>Obligatori</t>
        </is>
      </c>
      <c r="P261" s="11" t="inlineStr">
        <is>
          <t>Si</t>
        </is>
      </c>
      <c r="Q261" s="11" t="inlineStr">
        <is>
          <t>11.3.1 · Promoció del pla de regulació de circulació rodada motoritzada — Actualització i difusió del Planol de Mobilitat Sostenible</t>
        </is>
      </c>
    </row>
    <row r="262">
      <c r="A262" s="11" t="inlineStr">
        <is>
          <t>5. Ús públic i social</t>
        </is>
      </c>
      <c r="B262" s="11" t="inlineStr">
        <is>
          <t>11.3.1</t>
        </is>
      </c>
      <c r="C262" s="11" t="inlineStr">
        <is>
          <t>Regular l'accés i la circulació</t>
        </is>
      </c>
      <c r="D262" s="11" t="inlineStr">
        <is>
          <t>Regular l'accés i la circulació</t>
        </is>
      </c>
      <c r="E262" s="11" t="inlineStr">
        <is>
          <t>Continuar i millorar la regulació per reserva (Vall de Bonabe, Pica Estats,..)</t>
        </is>
      </c>
      <c r="F262" s="11" t="inlineStr">
        <is>
          <t>Regulacions per reserva operatives</t>
        </is>
      </c>
      <c r="G262" s="11" t="n">
        <v>2</v>
      </c>
      <c r="H262" s="11" t="n">
        <v>3</v>
      </c>
      <c r="I262" s="11" t="inlineStr">
        <is>
          <t>MÀXIMA</t>
        </is>
      </c>
      <c r="J262" s="11" t="inlineStr">
        <is>
          <t>Direccció</t>
        </is>
      </c>
      <c r="K262" s="11" t="inlineStr">
        <is>
          <t>Marc</t>
        </is>
      </c>
      <c r="L262" s="11" t="inlineStr">
        <is>
          <t>ORDENAR L'ÚS PÚBLIC I SOCIAL per a la protecció dels hàbitats, espècies i elements geològics</t>
        </is>
      </c>
      <c r="M262" s="11" t="inlineStr">
        <is>
          <t>Implementar el protocol estandarditzat basat en el pla per la regulació al accés, circulació i ús de la xarxa viària</t>
        </is>
      </c>
      <c r="N262" s="11" t="inlineStr">
        <is>
          <t>Comú</t>
        </is>
      </c>
      <c r="O262" s="11" t="inlineStr">
        <is>
          <t>Obligatori</t>
        </is>
      </c>
      <c r="P262" s="11" t="inlineStr">
        <is>
          <t>Si</t>
        </is>
      </c>
      <c r="Q262" s="11" t="inlineStr">
        <is>
          <t>11.3.1 · Continuar i millorar la regulació per reserva (Vall de Bonabe, Pica Estats,..) — Regulacions per reserva operatives</t>
        </is>
      </c>
    </row>
    <row r="263">
      <c r="A263" s="11" t="inlineStr">
        <is>
          <t>5. Ús públic i social</t>
        </is>
      </c>
      <c r="B263" s="11" t="inlineStr">
        <is>
          <t>11.3.2</t>
        </is>
      </c>
      <c r="C263" s="11" t="inlineStr">
        <is>
          <t>Regular la xarxa viària principal, secundària i restringida</t>
        </is>
      </c>
      <c r="D263" s="11" t="inlineStr">
        <is>
          <t>Regular la xarxa viària principal, secundària i restringida</t>
        </is>
      </c>
      <c r="E263" s="11" t="inlineStr">
        <is>
          <t>Instal·lació o renovació de barreres</t>
        </is>
      </c>
      <c r="F263" s="11" t="inlineStr">
        <is>
          <t>Número barreres instal·lades/renovades</t>
        </is>
      </c>
      <c r="G263" s="11" t="n">
        <v>5</v>
      </c>
      <c r="H263" s="11" t="n">
        <v>10</v>
      </c>
      <c r="I263" s="11" t="inlineStr">
        <is>
          <t>ALTA</t>
        </is>
      </c>
      <c r="J263" s="11" t="inlineStr">
        <is>
          <t>Millora Rural</t>
        </is>
      </c>
      <c r="K263" s="11" t="inlineStr">
        <is>
          <t>Natalia</t>
        </is>
      </c>
      <c r="L263" s="11" t="inlineStr">
        <is>
          <t>ORDENAR L'ÚS PÚBLIC I SOCIAL per a la protecció dels hàbitats, espècies i elements geològics</t>
        </is>
      </c>
      <c r="M263" s="11" t="inlineStr">
        <is>
          <t>Implementar el protocol estandarditzat basat en el pla per la regulació al accés, circulació i ús de la xarxa viària</t>
        </is>
      </c>
      <c r="N263" s="11" t="inlineStr">
        <is>
          <t>Comú</t>
        </is>
      </c>
      <c r="O263" s="11" t="inlineStr">
        <is>
          <t>Obligatori</t>
        </is>
      </c>
      <c r="P263" s="11" t="inlineStr">
        <is>
          <t>Si</t>
        </is>
      </c>
      <c r="Q263" s="11" t="inlineStr">
        <is>
          <t>11.3.2 · Instal·lació o renovació de barreres — Número barreres instal·lades/renovades</t>
        </is>
      </c>
    </row>
    <row r="264">
      <c r="A264" s="11" t="inlineStr">
        <is>
          <t>5. Ús públic i social</t>
        </is>
      </c>
      <c r="B264" s="11" t="inlineStr">
        <is>
          <t>11.3.2</t>
        </is>
      </c>
      <c r="C264" s="11" t="inlineStr">
        <is>
          <t>Regular la xarxa viària principal, secundària i restringida</t>
        </is>
      </c>
      <c r="D264" s="11" t="inlineStr">
        <is>
          <t>Regular la xarxa viària principal, secundària i restringida</t>
        </is>
      </c>
      <c r="E264" s="11" t="inlineStr">
        <is>
          <t>Instal·lació o renovació de senyas circulació motoritzada</t>
        </is>
      </c>
      <c r="F264" s="11" t="inlineStr">
        <is>
          <t>Número de senyals instal·lades/renovades</t>
        </is>
      </c>
      <c r="G264" s="11" t="n">
        <v>10</v>
      </c>
      <c r="H264" s="11" t="n">
        <v>20</v>
      </c>
      <c r="I264" s="11" t="inlineStr"/>
      <c r="J264" s="11" t="inlineStr">
        <is>
          <t>Millora Rural</t>
        </is>
      </c>
      <c r="K264" s="11" t="inlineStr">
        <is>
          <t>Natalia</t>
        </is>
      </c>
      <c r="L264" s="11" t="inlineStr">
        <is>
          <t>ORDENAR L'ÚS PÚBLIC I SOCIAL per a la protecció dels hàbitats, espècies i elements geològics</t>
        </is>
      </c>
      <c r="M264" s="11" t="inlineStr">
        <is>
          <t>Implementar el protocol estandarditzat basat en el pla per la regulació al accés, circulació i ús de la xarxa viària</t>
        </is>
      </c>
      <c r="N264" s="11" t="inlineStr">
        <is>
          <t>Comú</t>
        </is>
      </c>
      <c r="O264" s="11" t="inlineStr">
        <is>
          <t>Obligatori</t>
        </is>
      </c>
      <c r="P264" s="11" t="inlineStr">
        <is>
          <t>Si</t>
        </is>
      </c>
      <c r="Q264" s="11" t="inlineStr">
        <is>
          <t>11.3.2 · Instal·lació o renovació de senyas circulació motoritzada — Número de senyals instal·lades/renovades</t>
        </is>
      </c>
    </row>
    <row r="265">
      <c r="A265" s="11" t="inlineStr">
        <is>
          <t>5. Ús públic i social</t>
        </is>
      </c>
      <c r="B265" s="11" t="inlineStr">
        <is>
          <t>11.3.3</t>
        </is>
      </c>
      <c r="C265" s="11" t="inlineStr">
        <is>
          <t>Regular l'ús de drons, l'enlairament i l'aterratge</t>
        </is>
      </c>
      <c r="D265" s="11" t="inlineStr">
        <is>
          <t>Regular l'ús de drons, l'enlairament i l'aterratge</t>
        </is>
      </c>
      <c r="E265" s="11" t="inlineStr">
        <is>
          <t>Implementació del protocol de regulació de drons, d'enlairament i aterratge (mapa de zones d'exclusió de vol temporals)</t>
        </is>
      </c>
      <c r="F265" s="11" t="inlineStr">
        <is>
          <t>Percentatge de tramitació d'autoritzacions de vol de dron</t>
        </is>
      </c>
      <c r="G265" s="11" t="n">
        <v>0.4</v>
      </c>
      <c r="H265" s="11" t="n">
        <v>1</v>
      </c>
      <c r="I265" s="11" t="inlineStr">
        <is>
          <t>MITJANA</t>
        </is>
      </c>
      <c r="J265" s="11" t="inlineStr">
        <is>
          <t>Us Public</t>
        </is>
      </c>
      <c r="K265" s="11" t="inlineStr">
        <is>
          <t>Moi</t>
        </is>
      </c>
      <c r="L265" s="11" t="inlineStr">
        <is>
          <t>ORDENAR L'ÚS PÚBLIC I SOCIAL per a la protecció dels hàbitats, espècies i elements geològics</t>
        </is>
      </c>
      <c r="M265" s="11" t="inlineStr">
        <is>
          <t>Implementar el protocol estandarditzat basat en el pla per la regulació al accés, circulació i ús de la xarxa viària</t>
        </is>
      </c>
      <c r="N265" s="11" t="inlineStr">
        <is>
          <t>Específic</t>
        </is>
      </c>
      <c r="O265" s="11" t="inlineStr">
        <is>
          <t>Obligatori</t>
        </is>
      </c>
      <c r="P265" s="11" t="inlineStr">
        <is>
          <t>Si</t>
        </is>
      </c>
      <c r="Q265" s="11" t="inlineStr">
        <is>
          <t>11.3.3 · Implementació del protocol de regulació de drons, d'enlairament i aterratge (mapa de zones d'exclusió de vol temporals) — Percentatge de tramitació d'autoritzacions de vol de dron</t>
        </is>
      </c>
    </row>
    <row r="266">
      <c r="A266" s="11" t="inlineStr">
        <is>
          <t>5. Ús públic i social</t>
        </is>
      </c>
      <c r="B266" s="11" t="inlineStr">
        <is>
          <t>11.3.4</t>
        </is>
      </c>
      <c r="C266" s="11" t="inlineStr">
        <is>
          <t>Aplicar limitacions temporals d'accés o circulació</t>
        </is>
      </c>
      <c r="D266" s="11" t="inlineStr">
        <is>
          <t>Aplicar limitacions temporals d'accés o circulació</t>
        </is>
      </c>
      <c r="E266" s="11" t="inlineStr">
        <is>
          <t>Implementació de les regulacions temporals amb reserva d'aparcament d'estiu de Bonabé i Pica d'Estats</t>
        </is>
      </c>
      <c r="F266" s="11" t="inlineStr">
        <is>
          <t>Número de reserves realitzades</t>
        </is>
      </c>
      <c r="G266" s="11" t="inlineStr">
        <is>
          <t>?</t>
        </is>
      </c>
      <c r="H266" s="11" t="inlineStr">
        <is>
          <t>?</t>
        </is>
      </c>
      <c r="I266" s="11" t="inlineStr">
        <is>
          <t>MITJANA</t>
        </is>
      </c>
      <c r="J266" s="11" t="inlineStr">
        <is>
          <t>Administració</t>
        </is>
      </c>
      <c r="K266" s="11" t="inlineStr">
        <is>
          <t>Mercè</t>
        </is>
      </c>
      <c r="L266" s="11" t="inlineStr">
        <is>
          <t>ORDENAR L'ÚS PÚBLIC I SOCIAL per a la protecció dels hàbitats, espècies i elements geològics</t>
        </is>
      </c>
      <c r="M266" s="11" t="inlineStr">
        <is>
          <t>Implementar el protocol estandarditzat basat en el pla per la regulació al accés, circulació i ús de la xarxa viària</t>
        </is>
      </c>
      <c r="N266" s="11" t="inlineStr">
        <is>
          <t>Comú</t>
        </is>
      </c>
      <c r="O266" s="11" t="inlineStr">
        <is>
          <t>Obligatori</t>
        </is>
      </c>
      <c r="P266" s="11" t="inlineStr">
        <is>
          <t>Si</t>
        </is>
      </c>
      <c r="Q266" s="11" t="inlineStr">
        <is>
          <t>11.3.4 · Implementació de les regulacions temporals amb reserva d'aparcament d'estiu de Bonabé i Pica d'Estats — Número de reserves realitzades</t>
        </is>
      </c>
    </row>
    <row r="267">
      <c r="A267" s="11" t="inlineStr">
        <is>
          <t>5. Ús públic i social</t>
        </is>
      </c>
      <c r="B267" s="11" t="inlineStr">
        <is>
          <t>11.3.4</t>
        </is>
      </c>
      <c r="C267" s="11" t="inlineStr">
        <is>
          <t>Aplicar limitacions temporals d'accés o circulació</t>
        </is>
      </c>
      <c r="D267" s="11" t="inlineStr">
        <is>
          <t>Aplicar limitacions temporals d'accés o circulació</t>
        </is>
      </c>
      <c r="E267" s="11" t="inlineStr">
        <is>
          <t>Implementació de les regulacions temporals hivern-primavera per neu i fauna</t>
        </is>
      </c>
      <c r="F267" s="11" t="inlineStr">
        <is>
          <t>Número d'accions de difusió de regulació temporal</t>
        </is>
      </c>
      <c r="G267" s="11" t="n">
        <v>4</v>
      </c>
      <c r="H267" s="11" t="n">
        <v>8</v>
      </c>
      <c r="I267" s="11" t="inlineStr">
        <is>
          <t>ALTA</t>
        </is>
      </c>
      <c r="J267" s="11" t="inlineStr">
        <is>
          <t>Us Public</t>
        </is>
      </c>
      <c r="K267" s="11" t="inlineStr">
        <is>
          <t>Moi</t>
        </is>
      </c>
      <c r="L267" s="11" t="inlineStr">
        <is>
          <t>ORDENAR L'ÚS PÚBLIC I SOCIAL per a la protecció dels hàbitats, espècies i elements geològics</t>
        </is>
      </c>
      <c r="M267" s="11" t="inlineStr">
        <is>
          <t>Implementar el protocol estandarditzat basat en el pla per la regulació al accés, circulació i ús de la xarxa viària</t>
        </is>
      </c>
      <c r="N267" s="11" t="inlineStr">
        <is>
          <t>Comú</t>
        </is>
      </c>
      <c r="O267" s="11" t="inlineStr">
        <is>
          <t>Obligatori</t>
        </is>
      </c>
      <c r="P267" s="11" t="inlineStr">
        <is>
          <t>Si</t>
        </is>
      </c>
      <c r="Q267" s="11" t="inlineStr">
        <is>
          <t>11.3.4 · Implementació de les regulacions temporals hivern-primavera per neu i fauna — Número d'accions de difusió de regulació temporal</t>
        </is>
      </c>
    </row>
    <row r="268">
      <c r="A268" s="11" t="inlineStr">
        <is>
          <t>5. Ús públic i social</t>
        </is>
      </c>
      <c r="B268" s="11" t="inlineStr">
        <is>
          <t>11.3.4</t>
        </is>
      </c>
      <c r="C268" s="11" t="inlineStr">
        <is>
          <t>Aplicar limitacions temporals d'accés o circulació</t>
        </is>
      </c>
      <c r="D268" s="11" t="inlineStr">
        <is>
          <t>Aplicar limitacions temporals d'accés o circulació</t>
        </is>
      </c>
      <c r="E268" s="11" t="inlineStr">
        <is>
          <t>Coordinar amb el CAR les regulacions temporals d'accés i curculació (tant estiu com hivern)</t>
        </is>
      </c>
      <c r="F268" s="11" t="inlineStr">
        <is>
          <t>Reunions amb CAR sobre el tema</t>
        </is>
      </c>
      <c r="G268" s="11" t="n">
        <v>4</v>
      </c>
      <c r="H268" s="11" t="n">
        <v>8</v>
      </c>
      <c r="I268" s="11" t="inlineStr">
        <is>
          <t>ALTA</t>
        </is>
      </c>
      <c r="J268" s="11" t="inlineStr">
        <is>
          <t>Direccio</t>
        </is>
      </c>
      <c r="K268" s="11" t="inlineStr">
        <is>
          <t>Marc</t>
        </is>
      </c>
      <c r="L268" s="11" t="inlineStr">
        <is>
          <t>ORDENAR L'ÚS PÚBLIC I SOCIAL per a la protecció dels hàbitats, espècies i elements geològics</t>
        </is>
      </c>
      <c r="M268" s="11" t="inlineStr">
        <is>
          <t>Implementar el protocol estandarditzat basat en el pla per la regulació al accés, circulació i ús de la xarxa viària</t>
        </is>
      </c>
      <c r="N268" s="11" t="inlineStr">
        <is>
          <t>Comú</t>
        </is>
      </c>
      <c r="O268" s="11" t="inlineStr">
        <is>
          <t>Obligatori</t>
        </is>
      </c>
      <c r="P268" s="11" t="inlineStr">
        <is>
          <t>Si</t>
        </is>
      </c>
      <c r="Q268" s="11" t="inlineStr">
        <is>
          <t>11.3.4 · Coordinar amb el CAR les regulacions temporals d'accés i curculació (tant estiu com hivern) — Reunions amb CAR sobre el tema</t>
        </is>
      </c>
    </row>
    <row r="269">
      <c r="A269" s="11" t="inlineStr">
        <is>
          <t>5. Ús públic i social</t>
        </is>
      </c>
      <c r="B269" s="11" t="inlineStr">
        <is>
          <t>11.3.5</t>
        </is>
      </c>
      <c r="C269" s="11" t="inlineStr">
        <is>
          <t>Regular l'aparcament de vehícles</t>
        </is>
      </c>
      <c r="D269" s="11" t="inlineStr">
        <is>
          <t>Regular l'aparcament de vehícles</t>
        </is>
      </c>
      <c r="E269" s="11" t="inlineStr">
        <is>
          <t>Millora i manteniment dels aparcaments de vehicles existents de suport a la regulació</t>
        </is>
      </c>
      <c r="F269" s="11" t="inlineStr">
        <is>
          <t>Accions de millora i manteniment d'aparcaments</t>
        </is>
      </c>
      <c r="G269" s="11" t="n">
        <v>12</v>
      </c>
      <c r="H269" s="11" t="n">
        <v>52</v>
      </c>
      <c r="I269" s="11" t="inlineStr">
        <is>
          <t>MITJANA</t>
        </is>
      </c>
      <c r="J269" s="11" t="inlineStr">
        <is>
          <t>Millora Rural</t>
        </is>
      </c>
      <c r="K269" s="11" t="inlineStr">
        <is>
          <t>Natalia</t>
        </is>
      </c>
      <c r="L269" s="11" t="inlineStr">
        <is>
          <t>ORDENAR L'ÚS PÚBLIC I SOCIAL per a la protecció dels hàbitats, espècies i elements geològics</t>
        </is>
      </c>
      <c r="M269" s="11" t="inlineStr">
        <is>
          <t>Implementar el protocol estandarditzat basat en el pla per la regulació al accés, circulació i ús de la xarxa viària</t>
        </is>
      </c>
      <c r="N269" s="11" t="inlineStr">
        <is>
          <t>Comú</t>
        </is>
      </c>
      <c r="O269" s="11" t="inlineStr">
        <is>
          <t>Obligatori</t>
        </is>
      </c>
      <c r="P269" s="11" t="inlineStr">
        <is>
          <t>Si</t>
        </is>
      </c>
      <c r="Q269" s="11" t="inlineStr">
        <is>
          <t>11.3.5 · Millora i manteniment dels aparcaments de vehicles existents de suport a la regulació — Accions de millora i manteniment d'aparcaments</t>
        </is>
      </c>
    </row>
    <row r="270">
      <c r="A270" s="11" t="inlineStr">
        <is>
          <t>5. Ús públic i social</t>
        </is>
      </c>
      <c r="B270" s="11" t="inlineStr">
        <is>
          <t>11.4.1</t>
        </is>
      </c>
      <c r="C270" s="11" t="inlineStr">
        <is>
          <t>Implementar l'ordenació de l'ús públic en col·laboració amb els agents del territori</t>
        </is>
      </c>
      <c r="D270" s="11" t="inlineStr">
        <is>
          <t>Implementar l'ordenació de l'ús públic en col·laboració amb els agents del territori</t>
        </is>
      </c>
      <c r="E270" s="11" t="inlineStr">
        <is>
          <t>Jonades participatives de desplegament i seguiment de la gestió de l'UP</t>
        </is>
      </c>
      <c r="F270" s="11" t="inlineStr">
        <is>
          <t>Número de jornades de participació</t>
        </is>
      </c>
      <c r="G270" s="11" t="n">
        <v>8</v>
      </c>
      <c r="H270" s="11" t="n">
        <v>16</v>
      </c>
      <c r="I270" s="11" t="inlineStr">
        <is>
          <t>MÀXIMA</t>
        </is>
      </c>
      <c r="J270" s="11" t="inlineStr">
        <is>
          <t>Direccio</t>
        </is>
      </c>
      <c r="K270" s="11" t="inlineStr">
        <is>
          <t>Marc</t>
        </is>
      </c>
      <c r="L270" s="11" t="inlineStr">
        <is>
          <t>ORDENAR L'ÚS PÚBLIC I SOCIAL per a la protecció dels hàbitats, espècies i elements geològics</t>
        </is>
      </c>
      <c r="M270" s="11" t="inlineStr">
        <is>
          <t>Enfortir la col·laboració i coordinació amb els agents d'ús públic (empreses, entitats i ajuntaments)</t>
        </is>
      </c>
      <c r="N270" s="11" t="inlineStr">
        <is>
          <t>Comú</t>
        </is>
      </c>
      <c r="O270" s="11" t="inlineStr">
        <is>
          <t>Obligatori</t>
        </is>
      </c>
      <c r="P270" s="11" t="inlineStr">
        <is>
          <t>Si</t>
        </is>
      </c>
      <c r="Q270" s="11" t="inlineStr">
        <is>
          <t>11.4.1 · Jonades participatives de desplegament i seguiment de la gestió de l'UP — Número de jornades de participació</t>
        </is>
      </c>
    </row>
    <row r="271">
      <c r="A271" s="11" t="inlineStr">
        <is>
          <t>5. Ús públic i social</t>
        </is>
      </c>
      <c r="B271" s="11" t="inlineStr">
        <is>
          <t>11.4.2</t>
        </is>
      </c>
      <c r="C271" s="11" t="inlineStr">
        <is>
          <t>Promoció i acompanyament en l'ordenació de l'ús públic de l'ENP des de l'àmbit municipal</t>
        </is>
      </c>
      <c r="D271" s="11" t="inlineStr">
        <is>
          <t>Promoció i acompanyament en l'ordenació de l'ús públic de l'ENP des de l'àmbit municipal</t>
        </is>
      </c>
      <c r="E271" s="11" t="inlineStr">
        <is>
          <t>Aplicació del Manual jurídic d'UP i model d'ordenança municipal</t>
        </is>
      </c>
      <c r="F271" s="11" t="inlineStr">
        <is>
          <t>Número d'ordenances municipals noves o actualitzades</t>
        </is>
      </c>
      <c r="G271" s="11" t="n">
        <v>1</v>
      </c>
      <c r="H271" s="11" t="n">
        <v>4</v>
      </c>
      <c r="I271" s="11" t="inlineStr">
        <is>
          <t>ALTA</t>
        </is>
      </c>
      <c r="J271" s="11" t="inlineStr">
        <is>
          <t>Direccio</t>
        </is>
      </c>
      <c r="K271" s="11" t="inlineStr">
        <is>
          <t>Marc</t>
        </is>
      </c>
      <c r="L271" s="11" t="inlineStr">
        <is>
          <t>ORDENAR L'ÚS PÚBLIC I SOCIAL per a la protecció dels hàbitats, espècies i elements geològics</t>
        </is>
      </c>
      <c r="M271" s="11" t="inlineStr">
        <is>
          <t>Enfortir la col·laboració i coordinació amb els agents d'ús públic (empreses, entitats i ajuntaments)</t>
        </is>
      </c>
      <c r="N271" s="11" t="inlineStr">
        <is>
          <t>Comú</t>
        </is>
      </c>
      <c r="O271" s="11" t="inlineStr">
        <is>
          <t>Obligatori</t>
        </is>
      </c>
      <c r="P271" s="11" t="inlineStr">
        <is>
          <t>Si</t>
        </is>
      </c>
      <c r="Q271" s="11" t="inlineStr">
        <is>
          <t>11.4.2 · Aplicació del Manual jurídic d'UP i model d'ordenança municipal — Número d'ordenances municipals noves o actualitzades</t>
        </is>
      </c>
    </row>
    <row r="272">
      <c r="A272" s="11" t="inlineStr">
        <is>
          <t>5. Ús públic i social</t>
        </is>
      </c>
      <c r="B272" s="11" t="inlineStr">
        <is>
          <t>11.5.1</t>
        </is>
      </c>
      <c r="C272" s="11" t="inlineStr">
        <is>
          <t>Realitzar l'inventari de senyalització de l'ENP</t>
        </is>
      </c>
      <c r="D272" s="11" t="inlineStr">
        <is>
          <t>Realitzar l'inventari de senyalització de l'ENP</t>
        </is>
      </c>
      <c r="E272" s="11" t="inlineStr">
        <is>
          <t>Actualització de l'inventari de senyalització adaptant-ho a la metodologia de la resta de Parcs</t>
        </is>
      </c>
      <c r="F272" s="11" t="inlineStr">
        <is>
          <t>Número actualitzacions</t>
        </is>
      </c>
      <c r="G272" s="11" t="n">
        <v>1</v>
      </c>
      <c r="H272" s="11" t="n">
        <v>4</v>
      </c>
      <c r="I272" s="11" t="inlineStr">
        <is>
          <t>ALTA</t>
        </is>
      </c>
      <c r="J272" s="11" t="inlineStr">
        <is>
          <t>Millora Rural</t>
        </is>
      </c>
      <c r="K272" s="11" t="inlineStr">
        <is>
          <t>Natalia</t>
        </is>
      </c>
      <c r="L272" s="11" t="inlineStr">
        <is>
          <t>ORDENAR L'ÚS PÚBLIC I SOCIAL per a la protecció dels hàbitats, espècies i elements geològics</t>
        </is>
      </c>
      <c r="M272" s="11" t="inlineStr">
        <is>
          <t>Mantenir i millorar la senyalització de l'ENP</t>
        </is>
      </c>
      <c r="N272" s="11" t="inlineStr">
        <is>
          <t>Comú</t>
        </is>
      </c>
      <c r="O272" s="11" t="inlineStr">
        <is>
          <t>Obligatori</t>
        </is>
      </c>
      <c r="P272" s="11" t="inlineStr">
        <is>
          <t>Si</t>
        </is>
      </c>
      <c r="Q272" s="11" t="inlineStr">
        <is>
          <t>11.5.1 · Actualització de l'inventari de senyalització adaptant-ho a la metodologia de la resta de Parcs — Número actualitzacions</t>
        </is>
      </c>
    </row>
    <row r="273">
      <c r="A273" s="11" t="inlineStr">
        <is>
          <t>5. Ús públic i social</t>
        </is>
      </c>
      <c r="B273" s="11" t="inlineStr">
        <is>
          <t>11.5.2</t>
        </is>
      </c>
      <c r="C273" s="11" t="inlineStr">
        <is>
          <t>Implantar el programa de senyalització i manteniment</t>
        </is>
      </c>
      <c r="D273" s="11" t="inlineStr">
        <is>
          <t>Implantar el programa de senyalització i manteniment</t>
        </is>
      </c>
      <c r="E273" s="11" t="inlineStr">
        <is>
          <t>Realització de programes de senyalització informativa i direccional per sectors del Parc, incloent la de carreteres vinculada als valors del parc</t>
        </is>
      </c>
      <c r="F273" s="11" t="inlineStr">
        <is>
          <t>Número de programes de senyalització realitzats</t>
        </is>
      </c>
      <c r="G273" s="11" t="n">
        <v>2</v>
      </c>
      <c r="H273" s="11" t="n">
        <v>5</v>
      </c>
      <c r="I273" s="11" t="inlineStr">
        <is>
          <t>MITJANA</t>
        </is>
      </c>
      <c r="J273" s="11" t="inlineStr">
        <is>
          <t>Millora Rural</t>
        </is>
      </c>
      <c r="K273" s="11" t="inlineStr">
        <is>
          <t>Natalia</t>
        </is>
      </c>
      <c r="L273" s="11" t="inlineStr">
        <is>
          <t>ORDENAR L'ÚS PÚBLIC I SOCIAL per a la protecció dels hàbitats, espècies i elements geològics</t>
        </is>
      </c>
      <c r="M273" s="11" t="inlineStr">
        <is>
          <t>Mantenir i millorar la senyalització de l'ENP</t>
        </is>
      </c>
      <c r="N273" s="11" t="inlineStr">
        <is>
          <t>Comú</t>
        </is>
      </c>
      <c r="O273" s="11" t="inlineStr">
        <is>
          <t>Obligatori</t>
        </is>
      </c>
      <c r="P273" s="11" t="inlineStr">
        <is>
          <t>Si</t>
        </is>
      </c>
      <c r="Q273" s="11" t="inlineStr">
        <is>
          <t>11.5.2 · Realització de programes de senyalització informativa i direccional per sectors del Parc, incloent la de carreteres vinculada als valors del parc — Número de programes de senyalització realitzats</t>
        </is>
      </c>
    </row>
    <row r="274">
      <c r="A274" s="11" t="inlineStr">
        <is>
          <t>5. Ús públic i social</t>
        </is>
      </c>
      <c r="B274" s="11" t="inlineStr">
        <is>
          <t>11.5.2</t>
        </is>
      </c>
      <c r="C274" s="11" t="inlineStr">
        <is>
          <t>Implantar el programa de senyalització i manteniment</t>
        </is>
      </c>
      <c r="D274" s="11" t="inlineStr">
        <is>
          <t>Implantar el programa de senyalització i manteniment</t>
        </is>
      </c>
      <c r="E274" s="11" t="inlineStr">
        <is>
          <t>Revisió i actualització de la senyalització en base al manual de senyalització vigent</t>
        </is>
      </c>
      <c r="F274" s="11" t="inlineStr">
        <is>
          <t>Números senyals renovades/noves instal·lades</t>
        </is>
      </c>
      <c r="G274" s="11" t="n">
        <v>100</v>
      </c>
      <c r="H274" s="11" t="n">
        <v>250</v>
      </c>
      <c r="I274" s="11" t="inlineStr">
        <is>
          <t>ALTA</t>
        </is>
      </c>
      <c r="J274" s="11" t="inlineStr">
        <is>
          <t>Millora Rural</t>
        </is>
      </c>
      <c r="K274" s="11" t="inlineStr">
        <is>
          <t>Natalia</t>
        </is>
      </c>
      <c r="L274" s="11" t="inlineStr">
        <is>
          <t>ORDENAR L'ÚS PÚBLIC I SOCIAL per a la protecció dels hàbitats, espècies i elements geològics</t>
        </is>
      </c>
      <c r="M274" s="11" t="inlineStr">
        <is>
          <t>Mantenir i millorar la senyalització de l'ENP</t>
        </is>
      </c>
      <c r="N274" s="11" t="inlineStr">
        <is>
          <t>Comú</t>
        </is>
      </c>
      <c r="O274" s="11" t="inlineStr">
        <is>
          <t>Obligatori</t>
        </is>
      </c>
      <c r="P274" s="11" t="inlineStr">
        <is>
          <t>Si</t>
        </is>
      </c>
      <c r="Q274" s="11" t="inlineStr">
        <is>
          <t>11.5.2 · Revisió i actualització de la senyalització en base al manual de senyalització vigent — Números senyals renovades/noves instal·lades</t>
        </is>
      </c>
    </row>
    <row r="275">
      <c r="A275" s="11" t="inlineStr">
        <is>
          <t>5. Ús públic i social</t>
        </is>
      </c>
      <c r="B275" s="11" t="inlineStr">
        <is>
          <t>11.5.2</t>
        </is>
      </c>
      <c r="C275" s="11" t="inlineStr">
        <is>
          <t>Implantar el programa de senyalització i manteniment</t>
        </is>
      </c>
      <c r="D275" s="11" t="inlineStr">
        <is>
          <t>Implantar el programa de senyalització i manteniment</t>
        </is>
      </c>
      <c r="E275" s="11" t="inlineStr">
        <is>
          <t>Manteniment de senyalització existent</t>
        </is>
      </c>
      <c r="F275" s="11" t="inlineStr">
        <is>
          <t>Número senyals mantingudes</t>
        </is>
      </c>
      <c r="G275" s="11" t="n">
        <v>400</v>
      </c>
      <c r="H275" s="11" t="n">
        <v>600</v>
      </c>
      <c r="I275" s="11" t="inlineStr">
        <is>
          <t>MÀXIMA</t>
        </is>
      </c>
      <c r="J275" s="11" t="inlineStr">
        <is>
          <t>Millora Rural</t>
        </is>
      </c>
      <c r="K275" s="11" t="inlineStr">
        <is>
          <t>Natalia</t>
        </is>
      </c>
      <c r="L275" s="11" t="inlineStr">
        <is>
          <t>ORDENAR L'ÚS PÚBLIC I SOCIAL per a la protecció dels hàbitats, espècies i elements geològics</t>
        </is>
      </c>
      <c r="M275" s="11" t="inlineStr">
        <is>
          <t>Mantenir i millorar la senyalització de l'ENP</t>
        </is>
      </c>
      <c r="N275" s="11" t="inlineStr">
        <is>
          <t>Comú</t>
        </is>
      </c>
      <c r="O275" s="11" t="inlineStr">
        <is>
          <t>Obligatori</t>
        </is>
      </c>
      <c r="P275" s="11" t="inlineStr">
        <is>
          <t>Si</t>
        </is>
      </c>
      <c r="Q275" s="11" t="inlineStr">
        <is>
          <t>11.5.2 · Manteniment de senyalització existent — Número senyals mantingudes</t>
        </is>
      </c>
    </row>
    <row r="276">
      <c r="A276" s="11" t="inlineStr">
        <is>
          <t>5. Ús públic i social</t>
        </is>
      </c>
      <c r="B276" s="11" t="inlineStr">
        <is>
          <t>11.6.1</t>
        </is>
      </c>
      <c r="C276" s="11" t="inlineStr">
        <is>
          <t>Potenciar la visita a espais alternatius dins de l'àmbit d'influència de l'espai natural per reduir la pressió en zones sensibles</t>
        </is>
      </c>
      <c r="D276" s="11" t="inlineStr">
        <is>
          <t>Potenciar la visita a espais alternatius dins de l'àmbit d'influència de l'espai natural per reduir la pressió en zones sensibles</t>
        </is>
      </c>
      <c r="E276" s="11" t="inlineStr">
        <is>
          <t>Promoció del bany i navegació a la Torrassa i rius fora del Parc</t>
        </is>
      </c>
      <c r="F276" s="11" t="inlineStr">
        <is>
          <t>Número accions de promoció</t>
        </is>
      </c>
      <c r="G276" s="11" t="n">
        <v>1</v>
      </c>
      <c r="H276" s="11" t="n">
        <v>4</v>
      </c>
      <c r="I276" s="11" t="inlineStr">
        <is>
          <t>MITJANA</t>
        </is>
      </c>
      <c r="J276" s="11" t="inlineStr">
        <is>
          <t>Us Public</t>
        </is>
      </c>
      <c r="K276" s="11" t="inlineStr">
        <is>
          <t>Moi</t>
        </is>
      </c>
      <c r="L276" s="11" t="inlineStr">
        <is>
          <t>ORDENAR L'ÚS PÚBLIC I SOCIAL per a la protecció dels hàbitats, espècies i elements geològics</t>
        </is>
      </c>
      <c r="M276" s="11" t="inlineStr">
        <is>
          <t>Prevenir i gestionar els impactes derivats de la sobrefreqüentació</t>
        </is>
      </c>
      <c r="N276" s="11" t="inlineStr">
        <is>
          <t>Comú</t>
        </is>
      </c>
      <c r="O276" s="11" t="inlineStr">
        <is>
          <t>Optatiu</t>
        </is>
      </c>
      <c r="P276" s="11" t="inlineStr">
        <is>
          <t>Si</t>
        </is>
      </c>
      <c r="Q276" s="11" t="inlineStr">
        <is>
          <t>11.6.1 · Promoció del bany i navegació a la Torrassa i rius fora del Parc — Número accions de promoció</t>
        </is>
      </c>
    </row>
    <row r="277">
      <c r="A277" s="11" t="inlineStr">
        <is>
          <t>5. Ús públic i social</t>
        </is>
      </c>
      <c r="B277" s="11" t="inlineStr">
        <is>
          <t>11.6.2</t>
        </is>
      </c>
      <c r="C277" s="11" t="inlineStr">
        <is>
          <t>Implementar les mesures extraordinàries de regulació de l'ús públic</t>
        </is>
      </c>
      <c r="D277" s="11" t="inlineStr">
        <is>
          <t>Implementar les mesures extraordinàries de regulació de l'ús públic</t>
        </is>
      </c>
      <c r="E277" s="11" t="inlineStr">
        <is>
          <t>Mantenir el servei de reserves i vigilància de Fornet i Marimanha (Vall de Bonabé) i pista de Boet (Àreu Pica d'Estats) de mutu acord amb els ens locals implicats</t>
        </is>
      </c>
      <c r="F277" s="11" t="inlineStr">
        <is>
          <t>Serveis de vigilància mantinguts</t>
        </is>
      </c>
      <c r="G277" s="11" t="n">
        <v>0</v>
      </c>
      <c r="H277" s="11" t="n">
        <v>3</v>
      </c>
      <c r="I277" s="11" t="inlineStr">
        <is>
          <t>MÀXIMA</t>
        </is>
      </c>
      <c r="J277" s="11" t="inlineStr">
        <is>
          <t>Us Public</t>
        </is>
      </c>
      <c r="K277" s="11" t="inlineStr">
        <is>
          <t>Nuria</t>
        </is>
      </c>
      <c r="L277" s="11" t="inlineStr">
        <is>
          <t>ORDENAR L'ÚS PÚBLIC I SOCIAL per a la protecció dels hàbitats, espècies i elements geològics</t>
        </is>
      </c>
      <c r="M277" s="11" t="inlineStr">
        <is>
          <t>Prevenir i gestionar els impactes derivats de la sobrefreqüentació</t>
        </is>
      </c>
      <c r="N277" s="11" t="inlineStr">
        <is>
          <t>Comú</t>
        </is>
      </c>
      <c r="O277" s="11" t="inlineStr">
        <is>
          <t>Optatiu</t>
        </is>
      </c>
      <c r="P277" s="11" t="inlineStr">
        <is>
          <t>Si</t>
        </is>
      </c>
      <c r="Q277" s="11" t="inlineStr">
        <is>
          <t>11.6.2 · Mantenir el servei de reserves i vigilància de Fornet i Marimanha (Vall de Bonabé) i pista de Boet (Àreu Pica d'Estats) de mutu acord amb els ens loca — Serveis de vigilància mantinguts</t>
        </is>
      </c>
    </row>
    <row r="278">
      <c r="A278" s="11" t="inlineStr">
        <is>
          <t>5. Ús públic i social</t>
        </is>
      </c>
      <c r="B278" s="11" t="inlineStr">
        <is>
          <t>11.6.2</t>
        </is>
      </c>
      <c r="C278" s="11" t="inlineStr">
        <is>
          <t>Implementar les mesures extraordinàries de regulació de l'ús públic</t>
        </is>
      </c>
      <c r="D278" s="11" t="inlineStr">
        <is>
          <t>Implementar les mesures extraordinàries de regulació de l'ús públic</t>
        </is>
      </c>
      <c r="E278" s="11" t="inlineStr">
        <is>
          <t>Estudiar i implementar un nou servei de regulació i vigilància de l’accés motoritzat a l’accés a la presa de Montalto i Font de la Costa</t>
        </is>
      </c>
      <c r="F278" s="11" t="inlineStr">
        <is>
          <t>Nou sistema regulació implementat</t>
        </is>
      </c>
      <c r="G278" s="11" t="inlineStr">
        <is>
          <t>no</t>
        </is>
      </c>
      <c r="H278" s="11" t="inlineStr">
        <is>
          <t>si</t>
        </is>
      </c>
      <c r="I278" s="11" t="inlineStr">
        <is>
          <t>ALTA</t>
        </is>
      </c>
      <c r="J278" s="11" t="inlineStr"/>
      <c r="K278" s="11" t="inlineStr"/>
      <c r="L278" s="11" t="inlineStr">
        <is>
          <t>ORDENAR L'ÚS PÚBLIC I SOCIAL per a la protecció dels hàbitats, espècies i elements geològics</t>
        </is>
      </c>
      <c r="M278" s="11" t="inlineStr">
        <is>
          <t>Prevenir i gestionar els impactes derivats de la sobrefreqüentació</t>
        </is>
      </c>
      <c r="N278" s="11" t="inlineStr">
        <is>
          <t>Comú</t>
        </is>
      </c>
      <c r="O278" s="11" t="inlineStr">
        <is>
          <t>Optatiu</t>
        </is>
      </c>
      <c r="P278" s="11" t="inlineStr">
        <is>
          <t>Si</t>
        </is>
      </c>
      <c r="Q278" s="11" t="inlineStr">
        <is>
          <t>11.6.2 · Estudiar i implementar un nou servei de regulació i vigilància de l’accés motoritzat a l’accés a la presa de Montalto i Font de la Costa — Nou sistema regulació implementat</t>
        </is>
      </c>
    </row>
    <row r="279">
      <c r="A279" s="11" t="inlineStr">
        <is>
          <t>5. Ús públic i social</t>
        </is>
      </c>
      <c r="B279" s="11" t="inlineStr">
        <is>
          <t>11.6.2</t>
        </is>
      </c>
      <c r="C279" s="11" t="inlineStr">
        <is>
          <t>Implementar les mesures extraordinàries de regulació de l'ús públic</t>
        </is>
      </c>
      <c r="D279" s="11" t="inlineStr">
        <is>
          <t>Implementar les mesures extraordinàries de regulació de l'ús públic</t>
        </is>
      </c>
      <c r="E279" s="11" t="inlineStr">
        <is>
          <t>Mantenir i millorar la regulació temporal i permanent existent als accessos principals del Parc amb noves senyals i barreres</t>
        </is>
      </c>
      <c r="F279" s="11" t="inlineStr">
        <is>
          <t>Número de senyals instal·lades o reposades</t>
        </is>
      </c>
      <c r="G279" s="11" t="n">
        <v>10</v>
      </c>
      <c r="H279" s="11" t="n">
        <v>30</v>
      </c>
      <c r="I279" s="11" t="inlineStr">
        <is>
          <t>MITJANA</t>
        </is>
      </c>
      <c r="J279" s="11" t="inlineStr"/>
      <c r="K279" s="11" t="inlineStr"/>
      <c r="L279" s="11" t="inlineStr">
        <is>
          <t>ORDENAR L'ÚS PÚBLIC I SOCIAL per a la protecció dels hàbitats, espècies i elements geològics</t>
        </is>
      </c>
      <c r="M279" s="11" t="inlineStr">
        <is>
          <t>Prevenir i gestionar els impactes derivats de la sobrefreqüentació</t>
        </is>
      </c>
      <c r="N279" s="11" t="inlineStr">
        <is>
          <t>Comú</t>
        </is>
      </c>
      <c r="O279" s="11" t="inlineStr">
        <is>
          <t>Optatiu</t>
        </is>
      </c>
      <c r="P279" s="11" t="inlineStr">
        <is>
          <t>Si</t>
        </is>
      </c>
      <c r="Q279" s="11" t="inlineStr">
        <is>
          <t>11.6.2 · Mantenir i millorar la regulació temporal i permanent existent als accessos principals del Parc amb noves senyals i barreres — Número de senyals instal·lades o reposades</t>
        </is>
      </c>
    </row>
    <row r="280">
      <c r="A280" s="11" t="inlineStr">
        <is>
          <t>5. Ús públic i social</t>
        </is>
      </c>
      <c r="B280" s="11" t="inlineStr">
        <is>
          <t>11.6.2</t>
        </is>
      </c>
      <c r="C280" s="11" t="inlineStr">
        <is>
          <t>Implementar les mesures extraordinàries de regulació de l'ús públic</t>
        </is>
      </c>
      <c r="D280" s="11" t="inlineStr">
        <is>
          <t>Implementar les mesures extraordinàries de regulació de l'ús públic</t>
        </is>
      </c>
      <c r="E280" s="11" t="inlineStr">
        <is>
          <t>Promoure sistemes de transport públic en zones freqüentades de mutu acord amb els ens locals implicats, incloent l’opció de transport de bicicletes</t>
        </is>
      </c>
      <c r="F280" s="11" t="inlineStr">
        <is>
          <t>Número serveis de transport promoguts</t>
        </is>
      </c>
      <c r="G280" s="11" t="n">
        <v>0</v>
      </c>
      <c r="H280" s="11" t="n">
        <v>2</v>
      </c>
      <c r="I280" s="11" t="inlineStr">
        <is>
          <t>MITJANA</t>
        </is>
      </c>
      <c r="J280" s="11" t="inlineStr">
        <is>
          <t>Us Public</t>
        </is>
      </c>
      <c r="K280" s="11" t="inlineStr">
        <is>
          <t>Nuria</t>
        </is>
      </c>
      <c r="L280" s="11" t="inlineStr">
        <is>
          <t>ORDENAR L'ÚS PÚBLIC I SOCIAL per a la protecció dels hàbitats, espècies i elements geològics</t>
        </is>
      </c>
      <c r="M280" s="11" t="inlineStr">
        <is>
          <t>Prevenir i gestionar els impactes derivats de la sobrefreqüentació</t>
        </is>
      </c>
      <c r="N280" s="11" t="inlineStr">
        <is>
          <t>Comú</t>
        </is>
      </c>
      <c r="O280" s="11" t="inlineStr">
        <is>
          <t>Optatiu</t>
        </is>
      </c>
      <c r="P280" s="11" t="inlineStr">
        <is>
          <t>Si</t>
        </is>
      </c>
      <c r="Q280" s="11" t="inlineStr">
        <is>
          <t>11.6.2 · Promoure sistemes de transport públic en zones freqüentades de mutu acord amb els ens locals implicats, incloent l’opció de transport de bicicletes — Número serveis de transport promoguts</t>
        </is>
      </c>
    </row>
    <row r="281">
      <c r="A281" s="11" t="inlineStr">
        <is>
          <t>5. Ús públic i social</t>
        </is>
      </c>
      <c r="B281" s="11" t="inlineStr">
        <is>
          <t>11.7.1</t>
        </is>
      </c>
      <c r="C281" s="11" t="inlineStr">
        <is>
          <t>Adequar els principals accessos, aparcaments i centres d'interès amb un ús elevat</t>
        </is>
      </c>
      <c r="D281" s="11" t="inlineStr">
        <is>
          <t>Adequar els principals accessos, aparcaments i centres d'interès amb un ús elevat</t>
        </is>
      </c>
      <c r="E281" s="11" t="inlineStr">
        <is>
          <t>Millora i manteniment d'accessos rodats principals del Parc de forma planificada</t>
        </is>
      </c>
      <c r="F281" s="11" t="inlineStr">
        <is>
          <t>Km accessos mantinguts i/o millorats</t>
        </is>
      </c>
      <c r="G281" s="11" t="n">
        <v>60</v>
      </c>
      <c r="H281" s="11" t="n">
        <v>100</v>
      </c>
      <c r="I281" s="11" t="inlineStr">
        <is>
          <t>ALTA</t>
        </is>
      </c>
      <c r="J281" s="11" t="inlineStr">
        <is>
          <t>Millora Rural</t>
        </is>
      </c>
      <c r="K281" s="11" t="inlineStr">
        <is>
          <t>Natalia</t>
        </is>
      </c>
      <c r="L281" s="11" t="inlineStr">
        <is>
          <t>ORDENAR L'ÚS PÚBLIC I SOCIAL per a la protecció dels hàbitats, espècies i elements geològics</t>
        </is>
      </c>
      <c r="M281" s="11" t="inlineStr">
        <is>
          <t>Ordenar i estandaritzar els espais d'acollida de visitants i equipaments d'ús públic, i garantir un correcte servei d'atenció i acollida dels visitants</t>
        </is>
      </c>
      <c r="N281" s="11" t="inlineStr">
        <is>
          <t>Comú</t>
        </is>
      </c>
      <c r="O281" s="11" t="inlineStr">
        <is>
          <t>Obligatori</t>
        </is>
      </c>
      <c r="P281" s="11" t="inlineStr">
        <is>
          <t>Si</t>
        </is>
      </c>
      <c r="Q281" s="11" t="inlineStr">
        <is>
          <t>11.7.1 · Millora i manteniment d'accessos rodats principals del Parc de forma planificada — Km accessos mantinguts i/o millorats</t>
        </is>
      </c>
    </row>
    <row r="282">
      <c r="A282" s="11" t="inlineStr">
        <is>
          <t>5. Ús públic i social</t>
        </is>
      </c>
      <c r="B282" s="11" t="inlineStr">
        <is>
          <t>11.7.1</t>
        </is>
      </c>
      <c r="C282" s="11" t="inlineStr">
        <is>
          <t>Adequar els principals accessos, aparcaments i centres d'interès amb un ús elevat</t>
        </is>
      </c>
      <c r="D282" s="11" t="inlineStr">
        <is>
          <t>Adequar els principals accessos, aparcaments i centres d'interès amb un ús elevat</t>
        </is>
      </c>
      <c r="E282" s="11" t="inlineStr">
        <is>
          <t>Treballar amb els ens locals del Parc perquè el Pla zonal de Carreteres de la Diputació de Lleida incorpori més camins de titularitat municipal a la xarxa de carreteres legalment constituïda.</t>
        </is>
      </c>
      <c r="F282" s="11" t="inlineStr">
        <is>
          <t>Número de vials en que s’ha donat suport</t>
        </is>
      </c>
      <c r="G282" s="11" t="n">
        <v>1</v>
      </c>
      <c r="H282" s="11" t="n">
        <v>5</v>
      </c>
      <c r="I282" s="11" t="inlineStr">
        <is>
          <t>BAIXA</t>
        </is>
      </c>
      <c r="J282" s="11" t="inlineStr"/>
      <c r="K282" s="11" t="inlineStr"/>
      <c r="L282" s="11" t="inlineStr">
        <is>
          <t>ORDENAR L'ÚS PÚBLIC I SOCIAL per a la protecció dels hàbitats, espècies i elements geològics</t>
        </is>
      </c>
      <c r="M282" s="11" t="inlineStr">
        <is>
          <t>Ordenar i estandaritzar els espais d'acollida de visitants i equipaments d'ús públic, i garantir un correcte servei d'atenció i acollida dels visitants</t>
        </is>
      </c>
      <c r="N282" s="11" t="inlineStr">
        <is>
          <t>Comú</t>
        </is>
      </c>
      <c r="O282" s="11" t="inlineStr">
        <is>
          <t>Obligatori</t>
        </is>
      </c>
      <c r="P282" s="11" t="inlineStr">
        <is>
          <t>Si</t>
        </is>
      </c>
      <c r="Q282" s="11" t="inlineStr">
        <is>
          <t>11.7.1 · Treballar amb els ens locals del Parc perquè el Pla zonal de Carreteres de la Diputació de Lleida incorpori més camins de titularitat municipal a la x — Número de vials en que s’ha donat suport</t>
        </is>
      </c>
    </row>
    <row r="283">
      <c r="A283" s="11" t="inlineStr">
        <is>
          <t>5. Ús públic i social</t>
        </is>
      </c>
      <c r="B283" s="11" t="inlineStr">
        <is>
          <t>11.7.1</t>
        </is>
      </c>
      <c r="C283" s="11" t="inlineStr">
        <is>
          <t>Adequar els principals accessos, aparcaments i centres d'interès amb un ús elevat</t>
        </is>
      </c>
      <c r="D283" s="11" t="inlineStr">
        <is>
          <t>Adequar els principals accessos, aparcaments i centres d'interès amb un ús elevat</t>
        </is>
      </c>
      <c r="E283" s="11" t="inlineStr">
        <is>
          <t>Realitzar reunions periòdiques amb les Taules de Camins comarcals i de vegueria (IDAPA) per millorar la gestió del manteniment i millora dels camins implicant a tots els actors del territori</t>
        </is>
      </c>
      <c r="F283" s="11" t="inlineStr">
        <is>
          <t>Número de reunions realitzades</t>
        </is>
      </c>
      <c r="G283" s="11" t="n">
        <v>4</v>
      </c>
      <c r="H283" s="11" t="n">
        <v>12</v>
      </c>
      <c r="I283" s="11" t="inlineStr">
        <is>
          <t>MITJANA</t>
        </is>
      </c>
      <c r="J283" s="11" t="inlineStr"/>
      <c r="K283" s="11" t="inlineStr"/>
      <c r="L283" s="11" t="inlineStr">
        <is>
          <t>ORDENAR L'ÚS PÚBLIC I SOCIAL per a la protecció dels hàbitats, espècies i elements geològics</t>
        </is>
      </c>
      <c r="M283" s="11" t="inlineStr">
        <is>
          <t>Ordenar i estandaritzar els espais d'acollida de visitants i equipaments d'ús públic, i garantir un correcte servei d'atenció i acollida dels visitants</t>
        </is>
      </c>
      <c r="N283" s="11" t="inlineStr">
        <is>
          <t>Comú</t>
        </is>
      </c>
      <c r="O283" s="11" t="inlineStr">
        <is>
          <t>Obligatori</t>
        </is>
      </c>
      <c r="P283" s="11" t="inlineStr">
        <is>
          <t>Si</t>
        </is>
      </c>
      <c r="Q283" s="11" t="inlineStr">
        <is>
          <t>11.7.1 · Realitzar reunions periòdiques amb les Taules de Camins comarcals i de vegueria (IDAPA) per millorar la gestió del manteniment i millora dels camins i — Número de reunions realitzades</t>
        </is>
      </c>
    </row>
    <row r="284">
      <c r="A284" s="11" t="inlineStr">
        <is>
          <t>5. Ús públic i social</t>
        </is>
      </c>
      <c r="B284" s="11" t="inlineStr">
        <is>
          <t>11.7.1</t>
        </is>
      </c>
      <c r="C284" s="11" t="inlineStr">
        <is>
          <t>Adequar els principals accessos, aparcaments i centres d'interès amb un ús elevat</t>
        </is>
      </c>
      <c r="D284" s="11" t="inlineStr">
        <is>
          <t>Adequar els principals accessos, aparcaments i centres d'interès amb un ús elevat</t>
        </is>
      </c>
      <c r="E284" s="11" t="inlineStr">
        <is>
          <t>Millora i manteniment de la xarxa de camins senyalitzats a peu i la xarxa de camins ramaders públics</t>
        </is>
      </c>
      <c r="F284" s="11" t="inlineStr">
        <is>
          <t>Km camins senyalitzats mantinguts i/o millorats</t>
        </is>
      </c>
      <c r="G284" s="11" t="n">
        <v>1000</v>
      </c>
      <c r="H284" s="11" t="n">
        <v>1600</v>
      </c>
      <c r="I284" s="11" t="inlineStr">
        <is>
          <t>MÀXIMA</t>
        </is>
      </c>
      <c r="J284" s="11" t="inlineStr">
        <is>
          <t>Millora Rural</t>
        </is>
      </c>
      <c r="K284" s="11" t="inlineStr">
        <is>
          <t>Natalia</t>
        </is>
      </c>
      <c r="L284" s="11" t="inlineStr">
        <is>
          <t>ORDENAR L'ÚS PÚBLIC I SOCIAL per a la protecció dels hàbitats, espècies i elements geològics</t>
        </is>
      </c>
      <c r="M284" s="11" t="inlineStr">
        <is>
          <t>Ordenar i estandaritzar els espais d'acollida de visitants i equipaments d'ús públic, i garantir un correcte servei d'atenció i acollida dels visitants</t>
        </is>
      </c>
      <c r="N284" s="11" t="inlineStr">
        <is>
          <t>Comú</t>
        </is>
      </c>
      <c r="O284" s="11" t="inlineStr">
        <is>
          <t>Obligatori</t>
        </is>
      </c>
      <c r="P284" s="11" t="inlineStr">
        <is>
          <t>Si</t>
        </is>
      </c>
      <c r="Q284" s="11" t="inlineStr">
        <is>
          <t>11.7.1 · Millora i manteniment de la xarxa de camins senyalitzats a peu i la xarxa de camins ramaders públics — Km camins senyalitzats mantinguts i/o millorats</t>
        </is>
      </c>
    </row>
    <row r="285">
      <c r="A285" s="11" t="inlineStr">
        <is>
          <t>5. Ús públic i social</t>
        </is>
      </c>
      <c r="B285" s="11" t="inlineStr">
        <is>
          <t>11.7.1</t>
        </is>
      </c>
      <c r="C285" s="11" t="inlineStr">
        <is>
          <t>Adequar els principals accessos, aparcaments i centres d'interès amb un ús elevat</t>
        </is>
      </c>
      <c r="D285" s="11" t="inlineStr">
        <is>
          <t>Adequar els principals accessos, aparcaments i centres d'interès amb un ús elevat</t>
        </is>
      </c>
      <c r="E285" s="11" t="inlineStr">
        <is>
          <t>Millora i manteniment de centres d'interès amb un ús elevat (aparcaments, àrees d'esbarjo, miradors, refugis lliures, aixoplucs..)</t>
        </is>
      </c>
      <c r="F285" s="11" t="inlineStr">
        <is>
          <t>Número centres millorats/mantinguts</t>
        </is>
      </c>
      <c r="G285" s="11" t="n">
        <v>100</v>
      </c>
      <c r="H285" s="11" t="n">
        <v>160</v>
      </c>
      <c r="I285" s="11" t="inlineStr">
        <is>
          <t>ALTA</t>
        </is>
      </c>
      <c r="J285" s="11" t="inlineStr">
        <is>
          <t>Millora Rural</t>
        </is>
      </c>
      <c r="K285" s="11" t="inlineStr">
        <is>
          <t>Natalia</t>
        </is>
      </c>
      <c r="L285" s="11" t="inlineStr">
        <is>
          <t>ORDENAR L'ÚS PÚBLIC I SOCIAL per a la protecció dels hàbitats, espècies i elements geològics</t>
        </is>
      </c>
      <c r="M285" s="11" t="inlineStr">
        <is>
          <t>Ordenar i estandaritzar els espais d'acollida de visitants i equipaments d'ús públic, i garantir un correcte servei d'atenció i acollida dels visitants</t>
        </is>
      </c>
      <c r="N285" s="11" t="inlineStr">
        <is>
          <t>Comú</t>
        </is>
      </c>
      <c r="O285" s="11" t="inlineStr">
        <is>
          <t>Obligatori</t>
        </is>
      </c>
      <c r="P285" s="11" t="inlineStr">
        <is>
          <t>Si</t>
        </is>
      </c>
      <c r="Q285" s="11" t="inlineStr">
        <is>
          <t>11.7.1 · Millora i manteniment de centres d'interès amb un ús elevat (aparcaments, àrees d'esbarjo, miradors, refugis lliures, aixoplucs..) — Número centres millorats/mantinguts</t>
        </is>
      </c>
    </row>
    <row r="286">
      <c r="A286" s="11" t="inlineStr">
        <is>
          <t>5. Ús públic i social</t>
        </is>
      </c>
      <c r="B286" s="11" t="inlineStr">
        <is>
          <t>11.7.2</t>
        </is>
      </c>
      <c r="C286" s="11" t="inlineStr">
        <is>
          <t>Disposar dels equipaments i infraestructures necessàries, accessibles i inclusives per acollir, informar, facilitar la visita i garantir la seguretat dels visitants i la protecció de l'entorn</t>
        </is>
      </c>
      <c r="D286" s="11" t="inlineStr">
        <is>
          <t>Disposar dels equipaments i infraestructures necessàries, accessibles i inclusives per acollir, informar, facilitar la visita i garantir la seguretat dels visitants i la protecció de l'entorn</t>
        </is>
      </c>
      <c r="E286" s="11" t="inlineStr">
        <is>
          <t>Revisió i actualització els equipaments al SIEQ i la seva vinculació al SINATCAT</t>
        </is>
      </c>
      <c r="F286" s="11" t="inlineStr">
        <is>
          <t>Número actualitzacions equipaments</t>
        </is>
      </c>
      <c r="G286" s="11" t="n">
        <v>60</v>
      </c>
      <c r="H286" s="11" t="n">
        <v>120</v>
      </c>
      <c r="I286" s="11" t="inlineStr">
        <is>
          <t>MITJANA</t>
        </is>
      </c>
      <c r="J286" s="11" t="inlineStr">
        <is>
          <t>Millora Rural</t>
        </is>
      </c>
      <c r="K286" s="11" t="inlineStr">
        <is>
          <t>Natalia</t>
        </is>
      </c>
      <c r="L286" s="11" t="inlineStr">
        <is>
          <t>ORDENAR L'ÚS PÚBLIC I SOCIAL per a la protecció dels hàbitats, espècies i elements geològics</t>
        </is>
      </c>
      <c r="M286" s="11" t="inlineStr">
        <is>
          <t>Ordenar i estandaritzar els espais d'acollida de visitants i equipaments d'ús públic, i garantir un correcte servei d'atenció i acollida dels visitants</t>
        </is>
      </c>
      <c r="N286" s="11" t="inlineStr">
        <is>
          <t>Comú</t>
        </is>
      </c>
      <c r="O286" s="11" t="inlineStr">
        <is>
          <t>Obligatori</t>
        </is>
      </c>
      <c r="P286" s="11" t="inlineStr">
        <is>
          <t>Si</t>
        </is>
      </c>
      <c r="Q286" s="11" t="inlineStr">
        <is>
          <t>11.7.2 · Revisió i actualització els equipaments al SIEQ i la seva vinculació al SINATCAT — Número actualitzacions equipaments</t>
        </is>
      </c>
    </row>
    <row r="287">
      <c r="A287" s="11" t="inlineStr">
        <is>
          <t>5. Ús públic i social</t>
        </is>
      </c>
      <c r="B287" s="11" t="inlineStr">
        <is>
          <t>11.7.2</t>
        </is>
      </c>
      <c r="C287" s="11" t="inlineStr">
        <is>
          <t>Disposar dels equipaments i infraestructures necessàries, accessibles i inclusives per acollir, informar, facilitar la visita i garantir la seguretat dels visitants i la protecció de l'entorn</t>
        </is>
      </c>
      <c r="D287" s="11" t="inlineStr">
        <is>
          <t>Disposar dels equipaments i infraestructures necessàries, accessibles i inclusives per acollir, informar, facilitar la visita i garantir la seguretat dels visitants i la protecció de l'entorn</t>
        </is>
      </c>
      <c r="E287" s="11" t="inlineStr">
        <is>
          <t>Revisió de necessitats d'inversió i redacció de projectes d'inversió</t>
        </is>
      </c>
      <c r="F287" s="11" t="inlineStr">
        <is>
          <t>Número de projectes redactats</t>
        </is>
      </c>
      <c r="G287" s="11" t="n">
        <v>12</v>
      </c>
      <c r="H287" s="11" t="n">
        <v>20</v>
      </c>
      <c r="I287" s="11" t="inlineStr">
        <is>
          <t>ALTA</t>
        </is>
      </c>
      <c r="J287" s="11" t="inlineStr">
        <is>
          <t>Millora Rural</t>
        </is>
      </c>
      <c r="K287" s="11" t="inlineStr">
        <is>
          <t>Natalia</t>
        </is>
      </c>
      <c r="L287" s="11" t="inlineStr">
        <is>
          <t>ORDENAR L'ÚS PÚBLIC I SOCIAL per a la protecció dels hàbitats, espècies i elements geològics</t>
        </is>
      </c>
      <c r="M287" s="11" t="inlineStr">
        <is>
          <t>Ordenar i estandaritzar els espais d'acollida de visitants i equipaments d'ús públic, i garantir un correcte servei d'atenció i acollida dels visitants</t>
        </is>
      </c>
      <c r="N287" s="11" t="inlineStr">
        <is>
          <t>Comú</t>
        </is>
      </c>
      <c r="O287" s="11" t="inlineStr">
        <is>
          <t>Obligatori</t>
        </is>
      </c>
      <c r="P287" s="11" t="inlineStr">
        <is>
          <t>Si</t>
        </is>
      </c>
      <c r="Q287" s="11" t="inlineStr">
        <is>
          <t>11.7.2 · Revisió de necessitats d'inversió i redacció de projectes d'inversió — Número de projectes redactats</t>
        </is>
      </c>
    </row>
    <row r="288">
      <c r="A288" s="11" t="inlineStr">
        <is>
          <t>5. Ús públic i social</t>
        </is>
      </c>
      <c r="B288" s="11" t="inlineStr">
        <is>
          <t>11.7.2</t>
        </is>
      </c>
      <c r="C288" s="11" t="inlineStr">
        <is>
          <t>Disposar dels equipaments i infraestructures necessàries, accessibles i inclusives per acollir, informar, facilitar la visita i garantir la seguretat dels visitants i la protecció de l'entorn</t>
        </is>
      </c>
      <c r="D288" s="11" t="inlineStr">
        <is>
          <t>Disposar dels equipaments i infraestructures necessàries, accessibles i inclusives per acollir, informar, facilitar la visita i garantir la seguretat dels visitants i la protecció de l'entorn</t>
        </is>
      </c>
      <c r="E288" s="11" t="inlineStr">
        <is>
          <t>Adaptació d’itineraris, equipaments i infraestructures a persones amb diversitat funcional (Paller d’Antonet, Casa dels Parcs dels Pirineus, Edifici Biuse, Bordes de Virós, Refugi Gall fer, embassament de Boren, Mollera d’Escalarre, Mirador del Mont Roig, etc..)</t>
        </is>
      </c>
      <c r="F288" s="11" t="inlineStr">
        <is>
          <t>Número equipaments adaptats</t>
        </is>
      </c>
      <c r="G288" s="11" t="n">
        <v>8</v>
      </c>
      <c r="H288" s="11" t="n">
        <v>20</v>
      </c>
      <c r="I288" s="11" t="inlineStr">
        <is>
          <t>ALTA</t>
        </is>
      </c>
      <c r="J288" s="11" t="inlineStr">
        <is>
          <t>Millora Rural</t>
        </is>
      </c>
      <c r="K288" s="11" t="inlineStr">
        <is>
          <t>Natalia</t>
        </is>
      </c>
      <c r="L288" s="11" t="inlineStr">
        <is>
          <t>ORDENAR L'ÚS PÚBLIC I SOCIAL per a la protecció dels hàbitats, espècies i elements geològics</t>
        </is>
      </c>
      <c r="M288" s="11" t="inlineStr">
        <is>
          <t>Ordenar i estandaritzar els espais d'acollida de visitants i equipaments d'ús públic, i garantir un correcte servei d'atenció i acollida dels visitants</t>
        </is>
      </c>
      <c r="N288" s="11" t="inlineStr">
        <is>
          <t>Comú</t>
        </is>
      </c>
      <c r="O288" s="11" t="inlineStr">
        <is>
          <t>Obligatori</t>
        </is>
      </c>
      <c r="P288" s="11" t="inlineStr">
        <is>
          <t>Si</t>
        </is>
      </c>
      <c r="Q288" s="11" t="inlineStr">
        <is>
          <t>11.7.2 · Adaptació d’itineraris, equipaments i infraestructures a persones amb diversitat funcional (Paller d’Antonet, Casa dels Parcs dels Pirineus, Edifici B — Número equipaments adaptats</t>
        </is>
      </c>
    </row>
    <row r="289">
      <c r="A289" s="11" t="inlineStr">
        <is>
          <t>5. Ús públic i social</t>
        </is>
      </c>
      <c r="B289" s="11" t="inlineStr">
        <is>
          <t>11.7.2</t>
        </is>
      </c>
      <c r="C289" s="11" t="inlineStr">
        <is>
          <t>Disposar dels equipaments i infraestructures necessàries, accessibles i inclusives per acollir, informar, facilitar la visita i garantir la seguretat dels visitants i la protecció de l'entorn</t>
        </is>
      </c>
      <c r="D289" s="11" t="inlineStr">
        <is>
          <t>Disposar dels equipaments i infraestructures necessàries, accessibles i inclusives per acollir, informar, facilitar la visita i garantir la seguretat dels visitants i la protecció de l'entorn</t>
        </is>
      </c>
      <c r="E289" s="11" t="inlineStr">
        <is>
          <t>Donar continuïtat a la participació al projecte ”Apropa Cultura” per apropar els equipaments vinculats al Parc a persones en situació de vulnerabilitat</t>
        </is>
      </c>
      <c r="F289" s="11" t="inlineStr">
        <is>
          <t>Número d’equipaments adherits</t>
        </is>
      </c>
      <c r="G289" s="11" t="n">
        <v>5</v>
      </c>
      <c r="H289" s="11" t="n">
        <v>10</v>
      </c>
      <c r="I289" s="11" t="inlineStr">
        <is>
          <t>ALTA</t>
        </is>
      </c>
      <c r="J289" s="11" t="inlineStr"/>
      <c r="K289" s="11" t="inlineStr"/>
      <c r="L289" s="11" t="inlineStr">
        <is>
          <t>ORDENAR L'ÚS PÚBLIC I SOCIAL per a la protecció dels hàbitats, espècies i elements geològics</t>
        </is>
      </c>
      <c r="M289" s="11" t="inlineStr">
        <is>
          <t>Ordenar i estandaritzar els espais d'acollida de visitants i equipaments d'ús públic, i garantir un correcte servei d'atenció i acollida dels visitants</t>
        </is>
      </c>
      <c r="N289" s="11" t="inlineStr">
        <is>
          <t>Comú</t>
        </is>
      </c>
      <c r="O289" s="11" t="inlineStr">
        <is>
          <t>Obligatori</t>
        </is>
      </c>
      <c r="P289" s="11" t="inlineStr">
        <is>
          <t>Si</t>
        </is>
      </c>
      <c r="Q289" s="11" t="inlineStr">
        <is>
          <t>11.7.2 · Donar continuïtat a la participació al projecte ”Apropa Cultura” per apropar els equipaments vinculats al Parc a persones en situació de vulnerabilita — Número d’equipaments adherits</t>
        </is>
      </c>
    </row>
    <row r="290">
      <c r="A290" s="11" t="inlineStr">
        <is>
          <t>5. Ús públic i social</t>
        </is>
      </c>
      <c r="B290" s="11" t="inlineStr">
        <is>
          <t>11.7.2</t>
        </is>
      </c>
      <c r="C290" s="11" t="inlineStr">
        <is>
          <t>Disposar dels equipaments i infraestructures necessàries, accessibles i inclusives per acollir, informar, facilitar la visita i garantir la seguretat dels visitants i la protecció de l'entorn</t>
        </is>
      </c>
      <c r="D290" s="11" t="inlineStr">
        <is>
          <t>Disposar dels equipaments i infraestructures necessàries, accessibles i inclusives per acollir, informar, facilitar la visita i garantir la seguretat dels visitants i la protecció de l'entorn</t>
        </is>
      </c>
      <c r="E290" s="11" t="inlineStr">
        <is>
          <t>Instal·lació de lavabos secs en zones freqüentades sense serveis</t>
        </is>
      </c>
      <c r="F290" s="11" t="inlineStr">
        <is>
          <t>Número lavabos secs instal·lats</t>
        </is>
      </c>
      <c r="G290" s="11" t="n">
        <v>1</v>
      </c>
      <c r="H290" s="11" t="n">
        <v>4</v>
      </c>
      <c r="I290" s="11" t="inlineStr">
        <is>
          <t>ALTA</t>
        </is>
      </c>
      <c r="J290" s="11" t="inlineStr">
        <is>
          <t>Us Public</t>
        </is>
      </c>
      <c r="K290" s="11" t="inlineStr">
        <is>
          <t>Moi</t>
        </is>
      </c>
      <c r="L290" s="11" t="inlineStr">
        <is>
          <t>ORDENAR L'ÚS PÚBLIC I SOCIAL per a la protecció dels hàbitats, espècies i elements geològics</t>
        </is>
      </c>
      <c r="M290" s="11" t="inlineStr">
        <is>
          <t>Ordenar i estandaritzar els espais d'acollida de visitants i equipaments d'ús públic, i garantir un correcte servei d'atenció i acollida dels visitants</t>
        </is>
      </c>
      <c r="N290" s="11" t="inlineStr">
        <is>
          <t>Comú</t>
        </is>
      </c>
      <c r="O290" s="11" t="inlineStr">
        <is>
          <t>Obligatori</t>
        </is>
      </c>
      <c r="P290" s="11" t="inlineStr">
        <is>
          <t>Si</t>
        </is>
      </c>
      <c r="Q290" s="11" t="inlineStr">
        <is>
          <t>11.7.2 · Instal·lació de lavabos secs en zones freqüentades sense serveis — Número lavabos secs instal·lats</t>
        </is>
      </c>
    </row>
    <row r="291">
      <c r="A291" s="11" t="inlineStr">
        <is>
          <t>5. Ús públic i social</t>
        </is>
      </c>
      <c r="B291" s="11" t="inlineStr">
        <is>
          <t>11.7.2</t>
        </is>
      </c>
      <c r="C291" s="11" t="inlineStr">
        <is>
          <t>Disposar dels equipaments i infraestructures necessàries, accessibles i inclusives per acollir, informar, facilitar la visita i garantir la seguretat dels visitants i la protecció de l'entorn</t>
        </is>
      </c>
      <c r="D291" s="11" t="inlineStr">
        <is>
          <t>Disposar dels equipaments i infraestructures necessàries, accessibles i inclusives per acollir, informar, facilitar la visita i garantir la seguretat dels visitants i la protecció de l'entorn</t>
        </is>
      </c>
      <c r="E291" s="11" t="inlineStr">
        <is>
          <t>Creació de vies verdes o carrils per bicicleta per facilitar la mobilitat lenta als fons de les valls principals (vall principal Noguera Pallaresa, Vall de Cardós, Vall Ferrera i vall principal riu Valira)</t>
        </is>
      </c>
      <c r="F291" s="11" t="inlineStr">
        <is>
          <t>Número de km de vies verdes creades</t>
        </is>
      </c>
      <c r="G291" s="11" t="n">
        <v>2</v>
      </c>
      <c r="H291" s="11" t="n">
        <v>10</v>
      </c>
      <c r="I291" s="11" t="inlineStr">
        <is>
          <t>ALTA</t>
        </is>
      </c>
      <c r="J291" s="11" t="inlineStr"/>
      <c r="K291" s="11" t="inlineStr"/>
      <c r="L291" s="11" t="inlineStr">
        <is>
          <t>ORDENAR L'ÚS PÚBLIC I SOCIAL per a la protecció dels hàbitats, espècies i elements geològics</t>
        </is>
      </c>
      <c r="M291" s="11" t="inlineStr">
        <is>
          <t>Ordenar i estandaritzar els espais d'acollida de visitants i equipaments d'ús públic, i garantir un correcte servei d'atenció i acollida dels visitants</t>
        </is>
      </c>
      <c r="N291" s="11" t="inlineStr">
        <is>
          <t>Comú</t>
        </is>
      </c>
      <c r="O291" s="11" t="inlineStr">
        <is>
          <t>Obligatori</t>
        </is>
      </c>
      <c r="P291" s="11" t="inlineStr">
        <is>
          <t>Si</t>
        </is>
      </c>
      <c r="Q291" s="11" t="inlineStr">
        <is>
          <t>11.7.2 · Creació de vies verdes o carrils per bicicleta per facilitar la mobilitat lenta als fons de les valls principals (vall principal Noguera Pallaresa, Va — Número de km de vies verdes creades</t>
        </is>
      </c>
    </row>
    <row r="292">
      <c r="A292" s="11" t="inlineStr">
        <is>
          <t>5. Ús públic i social</t>
        </is>
      </c>
      <c r="B292" s="11" t="inlineStr">
        <is>
          <t>11.7.2</t>
        </is>
      </c>
      <c r="C292" s="11" t="inlineStr">
        <is>
          <t>Disposar dels equipaments i infraestructures necessàries, accessibles i inclusives per acollir, informar, facilitar la visita i garantir la seguretat dels visitants i la protecció de l'entorn</t>
        </is>
      </c>
      <c r="D292" s="11" t="inlineStr">
        <is>
          <t>Disposar dels equipaments i infraestructures necessàries, accessibles i inclusives per acollir, informar, facilitar la visita i garantir la seguretat dels visitants i la protecció de l'entorn</t>
        </is>
      </c>
      <c r="E292" s="11" t="inlineStr">
        <is>
          <t>Adequar espais i equipaments per rebre grups de lleure i voluntariat (Llavaners, Casa Pallerols, Casa Bringué..)</t>
        </is>
      </c>
      <c r="F292" s="11" t="inlineStr">
        <is>
          <t>Número espais/equipaments adequats</t>
        </is>
      </c>
      <c r="G292" s="11" t="n">
        <v>1</v>
      </c>
      <c r="H292" s="11" t="n">
        <v>3</v>
      </c>
      <c r="I292" s="11" t="inlineStr">
        <is>
          <t>ALTA</t>
        </is>
      </c>
      <c r="J292" s="11" t="inlineStr">
        <is>
          <t>Us Public</t>
        </is>
      </c>
      <c r="K292" s="11" t="inlineStr">
        <is>
          <t>Nuria</t>
        </is>
      </c>
      <c r="L292" s="11" t="inlineStr">
        <is>
          <t>ORDENAR L'ÚS PÚBLIC I SOCIAL per a la protecció dels hàbitats, espècies i elements geològics</t>
        </is>
      </c>
      <c r="M292" s="11" t="inlineStr">
        <is>
          <t>Ordenar i estandaritzar els espais d'acollida de visitants i equipaments d'ús públic, i garantir un correcte servei d'atenció i acollida dels visitants</t>
        </is>
      </c>
      <c r="N292" s="11" t="inlineStr">
        <is>
          <t>Comú</t>
        </is>
      </c>
      <c r="O292" s="11" t="inlineStr">
        <is>
          <t>Obligatori</t>
        </is>
      </c>
      <c r="P292" s="11" t="inlineStr">
        <is>
          <t>Si</t>
        </is>
      </c>
      <c r="Q292" s="11" t="inlineStr">
        <is>
          <t>11.7.2 · Adequar espais i equipaments per rebre grups de lleure i voluntariat (Llavaners, Casa Pallerols, Casa Bringué..) — Número espais/equipaments adequats</t>
        </is>
      </c>
    </row>
    <row r="293">
      <c r="A293" s="11" t="inlineStr">
        <is>
          <t>5. Ús públic i social</t>
        </is>
      </c>
      <c r="B293" s="11" t="inlineStr">
        <is>
          <t>11.7.2</t>
        </is>
      </c>
      <c r="C293" s="11" t="inlineStr">
        <is>
          <t>Disposar dels equipaments i infraestructures necessàries, accessibles i inclusives per acollir, informar, facilitar la visita i garantir la seguretat dels visitants i la protecció de l'entorn</t>
        </is>
      </c>
      <c r="D293" s="11" t="inlineStr">
        <is>
          <t>Disposar dels equipaments i infraestructures necessàries, accessibles i inclusives per acollir, informar, facilitar la visita i garantir la seguretat dels visitants i la protecció de l'entorn</t>
        </is>
      </c>
      <c r="E293" s="11" t="inlineStr">
        <is>
          <t>Adequar i millorar els punts d'informació existents del Parc Natural (9)</t>
        </is>
      </c>
      <c r="F293" s="11" t="inlineStr">
        <is>
          <t>Número punts informació adequats</t>
        </is>
      </c>
      <c r="G293" s="11" t="n">
        <v>3</v>
      </c>
      <c r="H293" s="11" t="n">
        <v>7</v>
      </c>
      <c r="I293" s="11" t="inlineStr">
        <is>
          <t>ALTA</t>
        </is>
      </c>
      <c r="J293" s="11" t="inlineStr">
        <is>
          <t>Us Public</t>
        </is>
      </c>
      <c r="K293" s="11" t="inlineStr">
        <is>
          <t>Moi</t>
        </is>
      </c>
      <c r="L293" s="11" t="inlineStr">
        <is>
          <t>ORDENAR L'ÚS PÚBLIC I SOCIAL per a la protecció dels hàbitats, espècies i elements geològics</t>
        </is>
      </c>
      <c r="M293" s="11" t="inlineStr">
        <is>
          <t>Ordenar i estandaritzar els espais d'acollida de visitants i equipaments d'ús públic, i garantir un correcte servei d'atenció i acollida dels visitants</t>
        </is>
      </c>
      <c r="N293" s="11" t="inlineStr">
        <is>
          <t>Comú</t>
        </is>
      </c>
      <c r="O293" s="11" t="inlineStr">
        <is>
          <t>Obligatori</t>
        </is>
      </c>
      <c r="P293" s="11" t="inlineStr">
        <is>
          <t>Si</t>
        </is>
      </c>
      <c r="Q293" s="11" t="inlineStr">
        <is>
          <t>11.7.2 · Adequar i millorar els punts d'informació existents del Parc Natural (9) — Número punts informació adequats</t>
        </is>
      </c>
    </row>
    <row r="294">
      <c r="A294" s="11" t="inlineStr">
        <is>
          <t>5. Ús públic i social</t>
        </is>
      </c>
      <c r="B294" s="11" t="inlineStr">
        <is>
          <t>11.7.2</t>
        </is>
      </c>
      <c r="C294" s="11" t="inlineStr">
        <is>
          <t>Disposar dels equipaments i infraestructures necessàries, accessibles i inclusives per acollir, informar, facilitar la visita i garantir la seguretat dels visitants i la protecció de l'entorn</t>
        </is>
      </c>
      <c r="D294" s="11" t="inlineStr">
        <is>
          <t>Disposar dels equipaments i infraestructures necessàries, accessibles i inclusives per acollir, informar, facilitar la visita i garantir la seguretat dels visitants i la protecció de l'entorn</t>
        </is>
      </c>
      <c r="E294" s="11" t="inlineStr">
        <is>
          <t>Adquisició, redacció projecte i adequació de la Rectoria d’Àreu com a punt d’informació i interpretació del Parc</t>
        </is>
      </c>
      <c r="F294" s="11" t="inlineStr">
        <is>
          <t>Acció realitzada</t>
        </is>
      </c>
      <c r="G294" s="11" t="inlineStr">
        <is>
          <t>Adquisició realitzada</t>
        </is>
      </c>
      <c r="H294" s="11" t="inlineStr">
        <is>
          <t>Adquisició i adequació realitzada</t>
        </is>
      </c>
      <c r="I294" s="11" t="inlineStr">
        <is>
          <t>ALTA</t>
        </is>
      </c>
      <c r="J294" s="11" t="inlineStr"/>
      <c r="K294" s="11" t="inlineStr"/>
      <c r="L294" s="11" t="inlineStr">
        <is>
          <t>ORDENAR L'ÚS PÚBLIC I SOCIAL per a la protecció dels hàbitats, espècies i elements geològics</t>
        </is>
      </c>
      <c r="M294" s="11" t="inlineStr">
        <is>
          <t>Ordenar i estandaritzar els espais d'acollida de visitants i equipaments d'ús públic, i garantir un correcte servei d'atenció i acollida dels visitants</t>
        </is>
      </c>
      <c r="N294" s="11" t="inlineStr">
        <is>
          <t>Comú</t>
        </is>
      </c>
      <c r="O294" s="11" t="inlineStr">
        <is>
          <t>Obligatori</t>
        </is>
      </c>
      <c r="P294" s="11" t="inlineStr">
        <is>
          <t>Si</t>
        </is>
      </c>
      <c r="Q294" s="11" t="inlineStr">
        <is>
          <t>11.7.2 · Adquisició, redacció projecte i adequació de la Rectoria d’Àreu com a punt d’informació i interpretació del Parc — Acció realitzada</t>
        </is>
      </c>
    </row>
    <row r="295">
      <c r="A295" s="11" t="inlineStr">
        <is>
          <t>5. Ús públic i social</t>
        </is>
      </c>
      <c r="B295" s="11" t="inlineStr">
        <is>
          <t>11.7.2</t>
        </is>
      </c>
      <c r="C295" s="11" t="inlineStr">
        <is>
          <t>Disposar dels equipaments i infraestructures necessàries, accessibles i inclusives per acollir, informar, facilitar la visita i garantir la seguretat dels visitants i la protecció de l'entorn</t>
        </is>
      </c>
      <c r="D295" s="11" t="inlineStr">
        <is>
          <t>Disposar dels equipaments i infraestructures necessàries, accessibles i inclusives per acollir, informar, facilitar la visita i garantir la seguretat dels visitants i la protecció de l'entorn</t>
        </is>
      </c>
      <c r="E295" s="11" t="inlineStr">
        <is>
          <t>Redacció de l’avantprojecte, projecte executiu i execució de les obres de creació del centre d'interpretació de la prehistòria del despoblat de la Santa Creu de Llagunes.</t>
        </is>
      </c>
      <c r="F295" s="11" t="inlineStr">
        <is>
          <t>Acció realitzada</t>
        </is>
      </c>
      <c r="G295" s="11" t="inlineStr">
        <is>
          <t>Redacció realitzada</t>
        </is>
      </c>
      <c r="H295" s="11" t="inlineStr">
        <is>
          <t>Redacció i adequació realitzada</t>
        </is>
      </c>
      <c r="I295" s="11" t="inlineStr">
        <is>
          <t>MITJANA</t>
        </is>
      </c>
      <c r="J295" s="11" t="inlineStr"/>
      <c r="K295" s="11" t="inlineStr"/>
      <c r="L295" s="11" t="inlineStr">
        <is>
          <t>ORDENAR L'ÚS PÚBLIC I SOCIAL per a la protecció dels hàbitats, espècies i elements geològics</t>
        </is>
      </c>
      <c r="M295" s="11" t="inlineStr">
        <is>
          <t>Ordenar i estandaritzar els espais d'acollida de visitants i equipaments d'ús públic, i garantir un correcte servei d'atenció i acollida dels visitants</t>
        </is>
      </c>
      <c r="N295" s="11" t="inlineStr">
        <is>
          <t>Comú</t>
        </is>
      </c>
      <c r="O295" s="11" t="inlineStr">
        <is>
          <t>Obligatori</t>
        </is>
      </c>
      <c r="P295" s="11" t="inlineStr">
        <is>
          <t>Si</t>
        </is>
      </c>
      <c r="Q295" s="11" t="inlineStr">
        <is>
          <t>11.7.2 · Redacció de l’avantprojecte, projecte executiu i execució de les obres de creació del centre d'interpretació de la prehistòria del despoblat de la San — Acció realitzada</t>
        </is>
      </c>
    </row>
    <row r="296">
      <c r="A296" s="11" t="inlineStr">
        <is>
          <t>5. Ús públic i social</t>
        </is>
      </c>
      <c r="B296" s="11" t="inlineStr">
        <is>
          <t>11.7.3</t>
        </is>
      </c>
      <c r="C296" s="11" t="inlineStr">
        <is>
          <t>Desenvolupar el Pla d'acollida als visitants en base al model de la DG</t>
        </is>
      </c>
      <c r="D296" s="11" t="inlineStr">
        <is>
          <t>Desenvolupar el Pla d'acollida als visitants en base al model de la DG</t>
        </is>
      </c>
      <c r="E296" s="11" t="inlineStr">
        <is>
          <t>Desenvolupar el Pla d'Acollida als Visitants</t>
        </is>
      </c>
      <c r="F296" s="11" t="inlineStr">
        <is>
          <t>Redacció del Pla</t>
        </is>
      </c>
      <c r="G296" s="11" t="inlineStr">
        <is>
          <t>no</t>
        </is>
      </c>
      <c r="H296" s="11" t="inlineStr">
        <is>
          <t>si</t>
        </is>
      </c>
      <c r="I296" s="11" t="inlineStr">
        <is>
          <t>MÀXIMA</t>
        </is>
      </c>
      <c r="J296" s="11" t="inlineStr">
        <is>
          <t>Us Public</t>
        </is>
      </c>
      <c r="K296" s="11" t="inlineStr">
        <is>
          <t>Nuria</t>
        </is>
      </c>
      <c r="L296" s="11" t="inlineStr">
        <is>
          <t>ORDENAR L'ÚS PÚBLIC I SOCIAL per a la protecció dels hàbitats, espècies i elements geològics</t>
        </is>
      </c>
      <c r="M296" s="11" t="inlineStr">
        <is>
          <t>Ordenar i estandaritzar els espais d'acollida de visitants i equipaments d'ús públic, i garantir un correcte servei d'atenció i acollida dels visitants</t>
        </is>
      </c>
      <c r="N296" s="11" t="inlineStr">
        <is>
          <t>Comú</t>
        </is>
      </c>
      <c r="O296" s="11" t="inlineStr">
        <is>
          <t>Obligatori</t>
        </is>
      </c>
      <c r="P296" s="11" t="inlineStr">
        <is>
          <t>Si</t>
        </is>
      </c>
      <c r="Q296" s="11" t="inlineStr">
        <is>
          <t>11.7.3 · Desenvolupar el Pla d'Acollida als Visitants — Redacció del Pla</t>
        </is>
      </c>
    </row>
    <row r="297">
      <c r="A297" s="11" t="inlineStr">
        <is>
          <t>5. Ús públic i social</t>
        </is>
      </c>
      <c r="B297" s="11" t="inlineStr">
        <is>
          <t>11.7.3</t>
        </is>
      </c>
      <c r="C297" s="11" t="inlineStr">
        <is>
          <t>Desenvolupar el Pla d'acollida als visitants en base al model de la DG</t>
        </is>
      </c>
      <c r="D297" s="11" t="inlineStr">
        <is>
          <t>Desenvolupar el Pla d'acollida als visitants en base al model de la DG</t>
        </is>
      </c>
      <c r="E297" s="11" t="inlineStr">
        <is>
          <t>Proveir i estocar tot el material de difusió i venda adreçat als visitants</t>
        </is>
      </c>
      <c r="F297" s="11" t="inlineStr">
        <is>
          <t>Número materials de difusió proveïts i estocats</t>
        </is>
      </c>
      <c r="G297" s="11" t="n">
        <v>16</v>
      </c>
      <c r="H297" s="11" t="n">
        <v>28</v>
      </c>
      <c r="I297" s="11" t="inlineStr">
        <is>
          <t>ALTA</t>
        </is>
      </c>
      <c r="J297" s="11" t="inlineStr">
        <is>
          <t>Us Public</t>
        </is>
      </c>
      <c r="K297" s="11" t="inlineStr">
        <is>
          <t>Moi</t>
        </is>
      </c>
      <c r="L297" s="11" t="inlineStr">
        <is>
          <t>ORDENAR L'ÚS PÚBLIC I SOCIAL per a la protecció dels hàbitats, espècies i elements geològics</t>
        </is>
      </c>
      <c r="M297" s="11" t="inlineStr">
        <is>
          <t>Ordenar i estandaritzar els espais d'acollida de visitants i equipaments d'ús públic, i garantir un correcte servei d'atenció i acollida dels visitants</t>
        </is>
      </c>
      <c r="N297" s="11" t="inlineStr">
        <is>
          <t>Comú</t>
        </is>
      </c>
      <c r="O297" s="11" t="inlineStr">
        <is>
          <t>Obligatori</t>
        </is>
      </c>
      <c r="P297" s="11" t="inlineStr">
        <is>
          <t>Si</t>
        </is>
      </c>
      <c r="Q297" s="11" t="inlineStr">
        <is>
          <t>11.7.3 · Proveir i estocar tot el material de difusió i venda adreçat als visitants — Número materials de difusió proveïts i estocats</t>
        </is>
      </c>
    </row>
    <row r="298">
      <c r="A298" s="11" t="inlineStr">
        <is>
          <t>5. Ús públic i social</t>
        </is>
      </c>
      <c r="B298" s="11" t="inlineStr">
        <is>
          <t>11.7.3</t>
        </is>
      </c>
      <c r="C298" s="11" t="inlineStr">
        <is>
          <t>Desenvolupar el Pla d'acollida als visitants en base al model de la DG</t>
        </is>
      </c>
      <c r="D298" s="11" t="inlineStr">
        <is>
          <t>Desenvolupar el Pla d'acollida als visitants en base al model de la DG</t>
        </is>
      </c>
      <c r="E298" s="11" t="inlineStr">
        <is>
          <t>Planificar calendaris d'obertura dels Centres d'Informació</t>
        </is>
      </c>
      <c r="F298" s="11" t="inlineStr">
        <is>
          <t>Anys planificats</t>
        </is>
      </c>
      <c r="G298" s="11" t="n">
        <v>3</v>
      </c>
      <c r="H298" s="11" t="n">
        <v>4</v>
      </c>
      <c r="I298" s="11" t="inlineStr">
        <is>
          <t>ALTA</t>
        </is>
      </c>
      <c r="J298" s="11" t="inlineStr">
        <is>
          <t>Us Public</t>
        </is>
      </c>
      <c r="K298" s="11" t="inlineStr">
        <is>
          <t>Moi</t>
        </is>
      </c>
      <c r="L298" s="11" t="inlineStr">
        <is>
          <t>ORDENAR L'ÚS PÚBLIC I SOCIAL per a la protecció dels hàbitats, espècies i elements geològics</t>
        </is>
      </c>
      <c r="M298" s="11" t="inlineStr">
        <is>
          <t>Ordenar i estandaritzar els espais d'acollida de visitants i equipaments d'ús públic, i garantir un correcte servei d'atenció i acollida dels visitants</t>
        </is>
      </c>
      <c r="N298" s="11" t="inlineStr">
        <is>
          <t>Comú</t>
        </is>
      </c>
      <c r="O298" s="11" t="inlineStr">
        <is>
          <t>Obligatori</t>
        </is>
      </c>
      <c r="P298" s="11" t="inlineStr">
        <is>
          <t>Si</t>
        </is>
      </c>
      <c r="Q298" s="11" t="inlineStr">
        <is>
          <t>11.7.3 · Planificar calendaris d'obertura dels Centres d'Informació — Anys planificats</t>
        </is>
      </c>
    </row>
    <row r="299">
      <c r="A299" s="11" t="inlineStr">
        <is>
          <t>5. Ús públic i social</t>
        </is>
      </c>
      <c r="B299" s="11" t="inlineStr">
        <is>
          <t>11.7.3</t>
        </is>
      </c>
      <c r="C299" s="11" t="inlineStr">
        <is>
          <t>Desenvolupar el Pla d'acollida als visitants en base al model de la DG</t>
        </is>
      </c>
      <c r="D299" s="11" t="inlineStr">
        <is>
          <t>Desenvolupar el Pla d'acollida als visitants en base al model de la DG</t>
        </is>
      </c>
      <c r="E299" s="11" t="inlineStr">
        <is>
          <t>Coordinar els equips d'informadors del PNAP</t>
        </is>
      </c>
      <c r="F299" s="11" t="inlineStr">
        <is>
          <t>Número reunions coordinació</t>
        </is>
      </c>
      <c r="G299" s="11" t="n">
        <v>4</v>
      </c>
      <c r="H299" s="11" t="n">
        <v>8</v>
      </c>
      <c r="I299" s="11" t="inlineStr">
        <is>
          <t>ALTA</t>
        </is>
      </c>
      <c r="J299" s="11" t="inlineStr">
        <is>
          <t>Us Public</t>
        </is>
      </c>
      <c r="K299" s="11" t="inlineStr">
        <is>
          <t>Moi</t>
        </is>
      </c>
      <c r="L299" s="11" t="inlineStr">
        <is>
          <t>ORDENAR L'ÚS PÚBLIC I SOCIAL per a la protecció dels hàbitats, espècies i elements geològics</t>
        </is>
      </c>
      <c r="M299" s="11" t="inlineStr">
        <is>
          <t>Ordenar i estandaritzar els espais d'acollida de visitants i equipaments d'ús públic, i garantir un correcte servei d'atenció i acollida dels visitants</t>
        </is>
      </c>
      <c r="N299" s="11" t="inlineStr">
        <is>
          <t>Comú</t>
        </is>
      </c>
      <c r="O299" s="11" t="inlineStr">
        <is>
          <t>Obligatori</t>
        </is>
      </c>
      <c r="P299" s="11" t="inlineStr">
        <is>
          <t>Si</t>
        </is>
      </c>
      <c r="Q299" s="11" t="inlineStr">
        <is>
          <t>11.7.3 · Coordinar els equips d'informadors del PNAP — Número reunions coordinació</t>
        </is>
      </c>
    </row>
    <row r="300">
      <c r="A300" s="11" t="inlineStr">
        <is>
          <t>5. Ús públic i social</t>
        </is>
      </c>
      <c r="B300" s="11" t="inlineStr">
        <is>
          <t>11.7.3</t>
        </is>
      </c>
      <c r="C300" s="11" t="inlineStr">
        <is>
          <t>Desenvolupar el Pla d'acollida als visitants en base al model de la DG</t>
        </is>
      </c>
      <c r="D300" s="11" t="inlineStr">
        <is>
          <t>Desenvolupar el Pla d'acollida als visitants en base al model de la DG</t>
        </is>
      </c>
      <c r="E300" s="11" t="inlineStr">
        <is>
          <t>Dinamitzar els Centres d'Informació amb activitats, exposicions, etc.</t>
        </is>
      </c>
      <c r="F300" s="11" t="inlineStr">
        <is>
          <t>Número d'activitats dedinamització</t>
        </is>
      </c>
      <c r="G300" s="11" t="n">
        <v>3</v>
      </c>
      <c r="H300" s="11" t="n">
        <v>9</v>
      </c>
      <c r="I300" s="11" t="inlineStr">
        <is>
          <t>BAIXA</t>
        </is>
      </c>
      <c r="J300" s="11" t="inlineStr">
        <is>
          <t>Us Public</t>
        </is>
      </c>
      <c r="K300" s="11" t="inlineStr">
        <is>
          <t>Moi</t>
        </is>
      </c>
      <c r="L300" s="11" t="inlineStr">
        <is>
          <t>ORDENAR L'ÚS PÚBLIC I SOCIAL per a la protecció dels hàbitats, espècies i elements geològics</t>
        </is>
      </c>
      <c r="M300" s="11" t="inlineStr">
        <is>
          <t>Ordenar i estandaritzar els espais d'acollida de visitants i equipaments d'ús públic, i garantir un correcte servei d'atenció i acollida dels visitants</t>
        </is>
      </c>
      <c r="N300" s="11" t="inlineStr">
        <is>
          <t>Comú</t>
        </is>
      </c>
      <c r="O300" s="11" t="inlineStr">
        <is>
          <t>Obligatori</t>
        </is>
      </c>
      <c r="P300" s="11" t="inlineStr">
        <is>
          <t>Si</t>
        </is>
      </c>
      <c r="Q300" s="11" t="inlineStr">
        <is>
          <t>11.7.3 · Dinamitzar els Centres d'Informació amb activitats, exposicions, etc. — Número d'activitats dedinamització</t>
        </is>
      </c>
    </row>
    <row r="301">
      <c r="A301" s="11" t="inlineStr">
        <is>
          <t>5. Ús públic i social</t>
        </is>
      </c>
      <c r="B301" s="11" t="inlineStr">
        <is>
          <t>11.7.3</t>
        </is>
      </c>
      <c r="C301" s="11" t="inlineStr">
        <is>
          <t>Desenvolupar el Pla d'acollida als visitants en base al model de la DG</t>
        </is>
      </c>
      <c r="D301" s="11" t="inlineStr">
        <is>
          <t>Desenvolupar el Pla d'acollida als visitants en base al model de la DG</t>
        </is>
      </c>
      <c r="E301" s="11" t="inlineStr">
        <is>
          <t>Establir un sistema d’informació útil automatitzat en temps real: meteorologia, espais en obres, incidències, batudes, ocupació dels pàrquings, etc.</t>
        </is>
      </c>
      <c r="F301" s="11" t="inlineStr">
        <is>
          <t>Número d’automatismes incorporats al sistema</t>
        </is>
      </c>
      <c r="G301" s="11" t="n">
        <v>1</v>
      </c>
      <c r="H301" s="11" t="n">
        <v>5</v>
      </c>
      <c r="I301" s="11" t="inlineStr">
        <is>
          <t>MITJANA</t>
        </is>
      </c>
      <c r="J301" s="11" t="inlineStr">
        <is>
          <t>Us Public</t>
        </is>
      </c>
      <c r="K301" s="11" t="inlineStr">
        <is>
          <t>Moi</t>
        </is>
      </c>
      <c r="L301" s="11" t="inlineStr">
        <is>
          <t>ORDENAR L'ÚS PÚBLIC I SOCIAL per a la protecció dels hàbitats, espècies i elements geològics</t>
        </is>
      </c>
      <c r="M301" s="11" t="inlineStr">
        <is>
          <t>Ordenar i estandaritzar els espais d'acollida de visitants i equipaments d'ús públic, i garantir un correcte servei d'atenció i acollida dels visitants</t>
        </is>
      </c>
      <c r="N301" s="11" t="inlineStr">
        <is>
          <t>Comú</t>
        </is>
      </c>
      <c r="O301" s="11" t="inlineStr">
        <is>
          <t>Obligatori</t>
        </is>
      </c>
      <c r="P301" s="11" t="inlineStr">
        <is>
          <t>Si</t>
        </is>
      </c>
      <c r="Q301" s="11" t="inlineStr">
        <is>
          <t>11.7.3 · Establir un sistema d’informació útil automatitzat en temps real: meteorologia, espais en obres, incidències, batudes, ocupació dels pàrquings, etc. — Número d’automatismes incorporats al sistema</t>
        </is>
      </c>
    </row>
    <row r="302">
      <c r="A302" s="11" t="inlineStr">
        <is>
          <t>5. Ús públic i social</t>
        </is>
      </c>
      <c r="B302" s="11" t="inlineStr">
        <is>
          <t>11.7.4</t>
        </is>
      </c>
      <c r="C302" s="11" t="inlineStr">
        <is>
          <t>Adaptar els missatges a donar des d'oficines d’informació, pròpies i alienes, d'acord amb el model de la DG</t>
        </is>
      </c>
      <c r="D302" s="11" t="inlineStr">
        <is>
          <t>Adaptar els missatges a donar des d'oficines d’informació, pròpies i alienes, d'acord amb el model de la DG</t>
        </is>
      </c>
      <c r="E302" s="11" t="inlineStr">
        <is>
          <t>Creació d'un argumentari sobre aspectes de normativa perinformar els visitants unificadament</t>
        </is>
      </c>
      <c r="F302" s="11" t="inlineStr">
        <is>
          <t>Argumentari creat</t>
        </is>
      </c>
      <c r="G302" s="11" t="inlineStr">
        <is>
          <t>no</t>
        </is>
      </c>
      <c r="H302" s="11" t="inlineStr">
        <is>
          <t>si</t>
        </is>
      </c>
      <c r="I302" s="11" t="inlineStr">
        <is>
          <t>ALTA</t>
        </is>
      </c>
      <c r="J302" s="11" t="inlineStr">
        <is>
          <t>Us Public</t>
        </is>
      </c>
      <c r="K302" s="11" t="inlineStr">
        <is>
          <t>Moi</t>
        </is>
      </c>
      <c r="L302" s="11" t="inlineStr">
        <is>
          <t>ORDENAR L'ÚS PÚBLIC I SOCIAL per a la protecció dels hàbitats, espècies i elements geològics</t>
        </is>
      </c>
      <c r="M302" s="11" t="inlineStr">
        <is>
          <t>Ordenar i estandaritzar els espais d'acollida de visitants i equipaments d'ús públic, i garantir un correcte servei d'atenció i acollida dels visitants</t>
        </is>
      </c>
      <c r="N302" s="11" t="inlineStr">
        <is>
          <t>Comú</t>
        </is>
      </c>
      <c r="O302" s="11" t="inlineStr">
        <is>
          <t>Obligatori</t>
        </is>
      </c>
      <c r="P302" s="11" t="inlineStr">
        <is>
          <t>Si</t>
        </is>
      </c>
      <c r="Q302" s="11" t="inlineStr">
        <is>
          <t>11.7.4 · Creació d'un argumentari sobre aspectes de normativa perinformar els visitants unificadament — Argumentari creat</t>
        </is>
      </c>
    </row>
    <row r="303">
      <c r="A303" s="11" t="inlineStr">
        <is>
          <t>5. Ús públic i social</t>
        </is>
      </c>
      <c r="B303" s="11" t="inlineStr">
        <is>
          <t>11.8.1</t>
        </is>
      </c>
      <c r="C303" s="11" t="inlineStr">
        <is>
          <t>Elaborar i executar el Pla de vigilància de l’espai d'acord amb els cossos d’inspecció i seguretat</t>
        </is>
      </c>
      <c r="D303" s="11" t="inlineStr">
        <is>
          <t>Elaborar i executar el Pla de vigilància de l’espai d'acord amb els cossos d’inspecció i seguretat</t>
        </is>
      </c>
      <c r="E303" s="11" t="inlineStr">
        <is>
          <t>Pla de vigilància de l’espai d'acord amb els cossos d’inspecció i seguretat, incloent les relatives al seguiment de l’os bru amb el CAR</t>
        </is>
      </c>
      <c r="F303" s="11" t="inlineStr">
        <is>
          <t>Número de plans actualitzats</t>
        </is>
      </c>
      <c r="G303" s="11" t="n">
        <v>2</v>
      </c>
      <c r="H303" s="11" t="n">
        <v>4</v>
      </c>
      <c r="I303" s="11" t="inlineStr">
        <is>
          <t>MITJANA</t>
        </is>
      </c>
      <c r="J303" s="11" t="inlineStr">
        <is>
          <t>Direcció</t>
        </is>
      </c>
      <c r="K303" s="11" t="inlineStr">
        <is>
          <t>Marc</t>
        </is>
      </c>
      <c r="L303" s="11" t="inlineStr">
        <is>
          <t>ORDENAR L'ÚS PÚBLIC I SOCIAL per a la protecció dels hàbitats, espècies i elements geològics</t>
        </is>
      </c>
      <c r="M303" s="11" t="inlineStr">
        <is>
          <t>Garantir el compliment de la normativa dins els ENP, especialment en l'accés motoritzat, zones amb hiperfreqüentació i elements amb aprofitament comercial</t>
        </is>
      </c>
      <c r="N303" s="11" t="inlineStr">
        <is>
          <t>Comú</t>
        </is>
      </c>
      <c r="O303" s="11" t="inlineStr">
        <is>
          <t>Optatiu</t>
        </is>
      </c>
      <c r="P303" s="11" t="inlineStr">
        <is>
          <t>Si</t>
        </is>
      </c>
      <c r="Q303" s="11" t="inlineStr">
        <is>
          <t>11.8.1 · Pla de vigilància de l’espai d'acord amb els cossos d’inspecció i seguretat, incloent les relatives al seguiment de l’os bru amb el CAR — Número de plans actualitzats</t>
        </is>
      </c>
    </row>
    <row r="304">
      <c r="A304" s="11" t="inlineStr">
        <is>
          <t>5. Ús públic i social</t>
        </is>
      </c>
      <c r="B304" s="11" t="inlineStr">
        <is>
          <t>11.8.1</t>
        </is>
      </c>
      <c r="C304" s="11" t="inlineStr">
        <is>
          <t>Elaborar i executar el Pla de vigilància de l’espai d'acord amb els cossos d’inspecció i seguretat</t>
        </is>
      </c>
      <c r="D304" s="11" t="inlineStr">
        <is>
          <t>Elaborar i executar el Pla de vigilància de l’espai d'acord amb els cossos d’inspecció i seguretat</t>
        </is>
      </c>
      <c r="E304" s="11" t="inlineStr">
        <is>
          <t>Identificació dels punts i rutes clau de vigilància, temes clau, el calendari i els recursos necessaris</t>
        </is>
      </c>
      <c r="F304" s="11" t="inlineStr">
        <is>
          <t>Número de punts clau i rutes de vigilància diferents identificats</t>
        </is>
      </c>
      <c r="G304" s="11" t="n">
        <v>8</v>
      </c>
      <c r="H304" s="11" t="n">
        <v>20</v>
      </c>
      <c r="I304" s="11" t="inlineStr">
        <is>
          <t>MITJANA</t>
        </is>
      </c>
      <c r="J304" s="11" t="inlineStr">
        <is>
          <t>Direcció</t>
        </is>
      </c>
      <c r="K304" s="11" t="inlineStr">
        <is>
          <t>Marc</t>
        </is>
      </c>
      <c r="L304" s="11" t="inlineStr">
        <is>
          <t>ORDENAR L'ÚS PÚBLIC I SOCIAL per a la protecció dels hàbitats, espècies i elements geològics</t>
        </is>
      </c>
      <c r="M304" s="11" t="inlineStr">
        <is>
          <t>Garantir el compliment de la normativa dins els ENP, especialment en l'accés motoritzat, zones amb hiperfreqüentació i elements amb aprofitament comercial</t>
        </is>
      </c>
      <c r="N304" s="11" t="inlineStr">
        <is>
          <t>Comú</t>
        </is>
      </c>
      <c r="O304" s="11" t="inlineStr">
        <is>
          <t>Optatiu</t>
        </is>
      </c>
      <c r="P304" s="11" t="inlineStr">
        <is>
          <t>Si</t>
        </is>
      </c>
      <c r="Q304" s="11" t="inlineStr">
        <is>
          <t>11.8.1 · Identificació dels punts i rutes clau de vigilància, temes clau, el calendari i els recursos necessaris — Número de punts clau i rutes de vigilància diferents identificats</t>
        </is>
      </c>
    </row>
    <row r="305">
      <c r="A305" s="11" t="inlineStr">
        <is>
          <t>5. Ús públic i social</t>
        </is>
      </c>
      <c r="B305" s="11" t="inlineStr">
        <is>
          <t>11.8.2</t>
        </is>
      </c>
      <c r="C305" s="11" t="inlineStr">
        <is>
          <t>Millorar la coordinació amb els cossos de seguretat per efectuar accions de control i vigilància</t>
        </is>
      </c>
      <c r="D305" s="11" t="inlineStr">
        <is>
          <t>Millorar la coordinació amb els cossos de seguretat per efectuar accions de control i vigilància</t>
        </is>
      </c>
      <c r="E305" s="11" t="inlineStr">
        <is>
          <t>Reunions periódiques per controlar compliment del Pla de vigilància</t>
        </is>
      </c>
      <c r="F305" s="11" t="inlineStr">
        <is>
          <t>Número de reunions</t>
        </is>
      </c>
      <c r="G305" s="11" t="n">
        <v>4</v>
      </c>
      <c r="H305" s="11" t="n">
        <v>16</v>
      </c>
      <c r="I305" s="11" t="inlineStr">
        <is>
          <t>MITJANA</t>
        </is>
      </c>
      <c r="J305" s="11" t="inlineStr">
        <is>
          <t>Direcció</t>
        </is>
      </c>
      <c r="K305" s="11" t="inlineStr">
        <is>
          <t>Marc</t>
        </is>
      </c>
      <c r="L305" s="11" t="inlineStr">
        <is>
          <t>ORDENAR L'ÚS PÚBLIC I SOCIAL per a la protecció dels hàbitats, espècies i elements geològics</t>
        </is>
      </c>
      <c r="M305" s="11" t="inlineStr">
        <is>
          <t>Garantir el compliment de la normativa dins els ENP, especialment en l'accés motoritzat, zones amb hiperfreqüentació i elements amb aprofitament comercial</t>
        </is>
      </c>
      <c r="N305" s="11" t="inlineStr">
        <is>
          <t>Comú</t>
        </is>
      </c>
      <c r="O305" s="11" t="inlineStr">
        <is>
          <t>Obligatori</t>
        </is>
      </c>
      <c r="P305" s="11" t="inlineStr">
        <is>
          <t>Si</t>
        </is>
      </c>
      <c r="Q305" s="11" t="inlineStr">
        <is>
          <t>11.8.2 · Reunions periódiques per controlar compliment del Pla de vigilància — Número de reunions</t>
        </is>
      </c>
    </row>
    <row r="306">
      <c r="A306" s="11" t="inlineStr">
        <is>
          <t>5. Ús públic i social</t>
        </is>
      </c>
      <c r="B306" s="11" t="inlineStr">
        <is>
          <t>11.8.2</t>
        </is>
      </c>
      <c r="C306" s="11" t="inlineStr">
        <is>
          <t>Millorar la coordinació amb els cossos de seguretat per efectuar accions de control i vigilància</t>
        </is>
      </c>
      <c r="D306" s="11" t="inlineStr">
        <is>
          <t>Millorar la coordinació amb els cossos de seguretat per efectuar accions de control i vigilància</t>
        </is>
      </c>
      <c r="E306" s="11" t="inlineStr">
        <is>
          <t>Implementar càmeres de videovigilància en zones problemàtiques amb coordinació amb els cossos de vigilància</t>
        </is>
      </c>
      <c r="F306" s="11" t="inlineStr">
        <is>
          <t>Número de càmeres de videovigilància operatives</t>
        </is>
      </c>
      <c r="G306" s="11" t="n">
        <v>1</v>
      </c>
      <c r="H306" s="11" t="n">
        <v>4</v>
      </c>
      <c r="I306" s="11" t="inlineStr">
        <is>
          <t>ALTA</t>
        </is>
      </c>
      <c r="J306" s="11" t="inlineStr">
        <is>
          <t>Direcció</t>
        </is>
      </c>
      <c r="K306" s="11" t="inlineStr">
        <is>
          <t>Marc</t>
        </is>
      </c>
      <c r="L306" s="11" t="inlineStr">
        <is>
          <t>ORDENAR L'ÚS PÚBLIC I SOCIAL per a la protecció dels hàbitats, espècies i elements geològics</t>
        </is>
      </c>
      <c r="M306" s="11" t="inlineStr">
        <is>
          <t>Garantir el compliment de la normativa dins els ENP, especialment en l'accés motoritzat, zones amb hiperfreqüentació i elements amb aprofitament comercial</t>
        </is>
      </c>
      <c r="N306" s="11" t="inlineStr">
        <is>
          <t>Comú</t>
        </is>
      </c>
      <c r="O306" s="11" t="inlineStr">
        <is>
          <t>Obligatori</t>
        </is>
      </c>
      <c r="P306" s="11" t="inlineStr">
        <is>
          <t>Si</t>
        </is>
      </c>
      <c r="Q306" s="11" t="inlineStr">
        <is>
          <t>11.8.2 · Implementar càmeres de videovigilància en zones problemàtiques amb coordinació amb els cossos de vigilància — Número de càmeres de videovigilància operatives</t>
        </is>
      </c>
    </row>
    <row r="307">
      <c r="A307" s="11" t="inlineStr">
        <is>
          <t>5. Ús públic i social</t>
        </is>
      </c>
      <c r="B307" s="11" t="inlineStr">
        <is>
          <t>11.8.3</t>
        </is>
      </c>
      <c r="C307" s="11" t="inlineStr">
        <is>
          <t>Vetllar pel compliment d'informes i la vigilància tècnica de l'espai</t>
        </is>
      </c>
      <c r="D307" s="11" t="inlineStr">
        <is>
          <t>Vetllar pel compliment d'informes i la vigilància tècnica de l'espai</t>
        </is>
      </c>
      <c r="E307" s="11" t="inlineStr">
        <is>
          <t>Informes i autoritzacions enviats al CAR i altres cossos de vigilància per supervisar</t>
        </is>
      </c>
      <c r="F307" s="11" t="inlineStr">
        <is>
          <t>Número d'informes i/o autoritzacions enviades a supervisar</t>
        </is>
      </c>
      <c r="G307" s="11" t="n">
        <v>20</v>
      </c>
      <c r="H307" s="11" t="n">
        <v>40</v>
      </c>
      <c r="I307" s="11" t="inlineStr">
        <is>
          <t>ALTA</t>
        </is>
      </c>
      <c r="J307" s="11" t="inlineStr">
        <is>
          <t>Direcció</t>
        </is>
      </c>
      <c r="K307" s="11" t="inlineStr">
        <is>
          <t>Marc</t>
        </is>
      </c>
      <c r="L307" s="11" t="inlineStr">
        <is>
          <t>ORDENAR L'ÚS PÚBLIC I SOCIAL per a la protecció dels hàbitats, espècies i elements geològics</t>
        </is>
      </c>
      <c r="M307" s="11" t="inlineStr">
        <is>
          <t>Garantir el compliment de la normativa dins els ENP, especialment en l'accés motoritzat, zones amb hiperfreqüentació i elements amb aprofitament comercial</t>
        </is>
      </c>
      <c r="N307" s="11" t="inlineStr">
        <is>
          <t>Comú</t>
        </is>
      </c>
      <c r="O307" s="11" t="inlineStr">
        <is>
          <t>Obligatori</t>
        </is>
      </c>
      <c r="P307" s="11" t="inlineStr">
        <is>
          <t>Si</t>
        </is>
      </c>
      <c r="Q307" s="11" t="inlineStr">
        <is>
          <t>11.8.3 · Informes i autoritzacions enviats al CAR i altres cossos de vigilància per supervisar — Número d'informes i/o autoritzacions enviades a supervisar</t>
        </is>
      </c>
    </row>
    <row r="308">
      <c r="A308" s="11" t="inlineStr">
        <is>
          <t>5. Ús públic i social</t>
        </is>
      </c>
      <c r="B308" s="11" t="inlineStr">
        <is>
          <t>11.8.3</t>
        </is>
      </c>
      <c r="C308" s="11" t="inlineStr">
        <is>
          <t>Vetllar pel compliment d'informes i la vigilància tècnica de l'espai</t>
        </is>
      </c>
      <c r="D308" s="11" t="inlineStr">
        <is>
          <t>Vetllar pel compliment d'informes i la vigilància tècnica de l'espai</t>
        </is>
      </c>
      <c r="E308" s="11" t="inlineStr">
        <is>
          <t>Contractació servei d’agents cívics o informadors itinerants per informar als visitants i veïns de la normativa del Parc</t>
        </is>
      </c>
      <c r="F308" s="11" t="inlineStr">
        <is>
          <t>Número d’agents cívics contractats de mitjana cada any</t>
        </is>
      </c>
      <c r="G308" s="11" t="n">
        <v>3</v>
      </c>
      <c r="H308" s="11" t="n">
        <v>5</v>
      </c>
      <c r="I308" s="11" t="inlineStr">
        <is>
          <t>ALTA</t>
        </is>
      </c>
      <c r="J308" s="11" t="inlineStr"/>
      <c r="K308" s="11" t="inlineStr"/>
      <c r="L308" s="11" t="inlineStr">
        <is>
          <t>ORDENAR L'ÚS PÚBLIC I SOCIAL per a la protecció dels hàbitats, espècies i elements geològics</t>
        </is>
      </c>
      <c r="M308" s="11" t="inlineStr">
        <is>
          <t>Garantir el compliment de la normativa dins els ENP, especialment en l'accés motoritzat, zones amb hiperfreqüentació i elements amb aprofitament comercial</t>
        </is>
      </c>
      <c r="N308" s="11" t="inlineStr">
        <is>
          <t>Comú</t>
        </is>
      </c>
      <c r="O308" s="11" t="inlineStr">
        <is>
          <t>Obligatori</t>
        </is>
      </c>
      <c r="P308" s="11" t="inlineStr">
        <is>
          <t>Si</t>
        </is>
      </c>
      <c r="Q308" s="11" t="inlineStr">
        <is>
          <t>11.8.3 · Contractació servei d’agents cívics o informadors itinerants per informar als visitants i veïns de la normativa del Parc — Número d’agents cívics contractats de mitjana cada any</t>
        </is>
      </c>
    </row>
    <row r="309">
      <c r="A309" s="11" t="inlineStr">
        <is>
          <t>5. Ús públic i social</t>
        </is>
      </c>
      <c r="B309" s="11" t="inlineStr">
        <is>
          <t>12.1.1</t>
        </is>
      </c>
      <c r="C309" s="11" t="inlineStr">
        <is>
          <t>Ordenar el pla d’emergències</t>
        </is>
      </c>
      <c r="D309" s="11" t="inlineStr">
        <is>
          <t>Ordenar el pla d’emergències</t>
        </is>
      </c>
      <c r="E309" s="11" t="inlineStr">
        <is>
          <t>Redactar el pla d'autoprotecció del Parc</t>
        </is>
      </c>
      <c r="F309" s="11" t="inlineStr">
        <is>
          <t>Pla redactat</t>
        </is>
      </c>
      <c r="G309" s="11" t="inlineStr">
        <is>
          <t>no</t>
        </is>
      </c>
      <c r="H309" s="11" t="inlineStr">
        <is>
          <t>si</t>
        </is>
      </c>
      <c r="I309" s="11" t="inlineStr">
        <is>
          <t>BAIXA</t>
        </is>
      </c>
      <c r="J309" s="11" t="inlineStr">
        <is>
          <t>Direcció</t>
        </is>
      </c>
      <c r="K309" s="11" t="inlineStr">
        <is>
          <t>Marc</t>
        </is>
      </c>
      <c r="L309" s="11" t="inlineStr">
        <is>
          <t>GESTIONAR ELS RISCOS NATURALS per a l'autoprotecció de la població local</t>
        </is>
      </c>
      <c r="M309" s="11" t="inlineStr">
        <is>
          <t>Col·laborar amb les autoritats competents per a la gestió de riscos dins l’ENP</t>
        </is>
      </c>
      <c r="N309" s="11" t="inlineStr">
        <is>
          <t>Comú</t>
        </is>
      </c>
      <c r="O309" s="11" t="inlineStr">
        <is>
          <t>Obligatori</t>
        </is>
      </c>
      <c r="P309" s="11" t="inlineStr">
        <is>
          <t>No</t>
        </is>
      </c>
      <c r="Q309" s="11" t="inlineStr">
        <is>
          <t>12.1.1 · Redactar el pla d'autoprotecció del Parc — Pla redactat</t>
        </is>
      </c>
    </row>
    <row r="310">
      <c r="A310" s="11" t="inlineStr">
        <is>
          <t>5. Ús públic i social</t>
        </is>
      </c>
      <c r="B310" s="11" t="inlineStr">
        <is>
          <t>12.1.2</t>
        </is>
      </c>
      <c r="C310" s="11" t="inlineStr">
        <is>
          <t>Contribuir a la protecció dels assentaments humans respecte dels riscos naturals</t>
        </is>
      </c>
      <c r="D310" s="11" t="inlineStr">
        <is>
          <t>Contribuir a la protecció dels assentaments humans respecte dels riscos naturals</t>
        </is>
      </c>
      <c r="E310" s="11" t="inlineStr">
        <is>
          <t>Col·laboració en instal·lacio i manteniment senyals cobertura 112</t>
        </is>
      </c>
      <c r="F310" s="11" t="inlineStr">
        <is>
          <t>Número senyals instal·lades</t>
        </is>
      </c>
      <c r="G310" s="11" t="n">
        <v>4</v>
      </c>
      <c r="H310" s="11" t="n">
        <v>12</v>
      </c>
      <c r="I310" s="11" t="inlineStr">
        <is>
          <t>ALTA</t>
        </is>
      </c>
      <c r="J310" s="11" t="inlineStr">
        <is>
          <t>Millora Rural</t>
        </is>
      </c>
      <c r="K310" s="11" t="inlineStr">
        <is>
          <t>Natalia</t>
        </is>
      </c>
      <c r="L310" s="11" t="inlineStr">
        <is>
          <t>GESTIONAR ELS RISCOS NATURALS per a l'autoprotecció de la població local</t>
        </is>
      </c>
      <c r="M310" s="11" t="inlineStr">
        <is>
          <t>Col·laborar amb les autoritats competents per a la gestió de riscos dins l’ENP</t>
        </is>
      </c>
      <c r="N310" s="11" t="inlineStr">
        <is>
          <t>Comú</t>
        </is>
      </c>
      <c r="O310" s="11" t="inlineStr">
        <is>
          <t>Obligatori</t>
        </is>
      </c>
      <c r="P310" s="11" t="inlineStr">
        <is>
          <t>Si</t>
        </is>
      </c>
      <c r="Q310" s="11" t="inlineStr">
        <is>
          <t>12.1.2 · Col·laboració en instal·lacio i manteniment senyals cobertura 112 — Número senyals instal·lades</t>
        </is>
      </c>
    </row>
    <row r="311">
      <c r="A311" s="11" t="inlineStr">
        <is>
          <t>5. Ús públic i social</t>
        </is>
      </c>
      <c r="B311" s="11" t="inlineStr">
        <is>
          <t>12.1.2</t>
        </is>
      </c>
      <c r="C311" s="11" t="inlineStr">
        <is>
          <t>Contribuir a la protecció dels assentaments humans respecte dels riscos naturals</t>
        </is>
      </c>
      <c r="D311" s="11" t="inlineStr">
        <is>
          <t>Contribuir a la protecció dels assentaments humans respecte dels riscos naturals</t>
        </is>
      </c>
      <c r="E311" s="11" t="inlineStr">
        <is>
          <t>Redacció del Pla de Prevenció i protecció d'incendis del Parc (POCTEFA Desbosiguem)</t>
        </is>
      </c>
      <c r="F311" s="11" t="inlineStr">
        <is>
          <t>Redacció del Pla</t>
        </is>
      </c>
      <c r="G311" s="11" t="inlineStr">
        <is>
          <t>no</t>
        </is>
      </c>
      <c r="H311" s="11" t="inlineStr">
        <is>
          <t>si</t>
        </is>
      </c>
      <c r="I311" s="11" t="inlineStr">
        <is>
          <t>ALTA</t>
        </is>
      </c>
      <c r="J311" s="11" t="inlineStr">
        <is>
          <t>Direcció</t>
        </is>
      </c>
      <c r="K311" s="11" t="inlineStr">
        <is>
          <t>Marc</t>
        </is>
      </c>
      <c r="L311" s="11" t="inlineStr">
        <is>
          <t>GESTIONAR ELS RISCOS NATURALS per a l'autoprotecció de la població local</t>
        </is>
      </c>
      <c r="M311" s="11" t="inlineStr">
        <is>
          <t>Col·laborar amb les autoritats competents per a la gestió de riscos dins l’ENP</t>
        </is>
      </c>
      <c r="N311" s="11" t="inlineStr">
        <is>
          <t>Comú</t>
        </is>
      </c>
      <c r="O311" s="11" t="inlineStr">
        <is>
          <t>Obligatori</t>
        </is>
      </c>
      <c r="P311" s="11" t="inlineStr">
        <is>
          <t>Si</t>
        </is>
      </c>
      <c r="Q311" s="11" t="inlineStr">
        <is>
          <t>12.1.2 · Redacció del Pla de Prevenció i protecció d'incendis del Parc (POCTEFA Desbosiguem) — Redacció del Pla</t>
        </is>
      </c>
    </row>
    <row r="312">
      <c r="A312" s="11" t="inlineStr">
        <is>
          <t>5. Ús públic i social</t>
        </is>
      </c>
      <c r="B312" s="11" t="inlineStr">
        <is>
          <t>12.1.2</t>
        </is>
      </c>
      <c r="C312" s="11" t="inlineStr">
        <is>
          <t>Contribuir a la protecció dels assentaments humans respecte dels riscos naturals</t>
        </is>
      </c>
      <c r="D312" s="11" t="inlineStr">
        <is>
          <t>Contribuir a la protecció dels assentaments humans respecte dels riscos naturals</t>
        </is>
      </c>
      <c r="E312" s="11" t="inlineStr">
        <is>
          <t>Realització d'actuacions de prevenció d'incendis forestals</t>
        </is>
      </c>
      <c r="F312" s="11" t="inlineStr">
        <is>
          <t>Superfície actuada de prevenció d'incendis</t>
        </is>
      </c>
      <c r="G312" s="11" t="inlineStr">
        <is>
          <t>20 ha</t>
        </is>
      </c>
      <c r="H312" s="11" t="inlineStr">
        <is>
          <t>100 ha</t>
        </is>
      </c>
      <c r="I312" s="11" t="inlineStr">
        <is>
          <t>MITJANA</t>
        </is>
      </c>
      <c r="J312" s="11" t="inlineStr">
        <is>
          <t>Millora Rural</t>
        </is>
      </c>
      <c r="K312" s="11" t="inlineStr">
        <is>
          <t>Natalia</t>
        </is>
      </c>
      <c r="L312" s="11" t="inlineStr">
        <is>
          <t>GESTIONAR ELS RISCOS NATURALS per a l'autoprotecció de la població local</t>
        </is>
      </c>
      <c r="M312" s="11" t="inlineStr">
        <is>
          <t>Col·laborar amb les autoritats competents per a la gestió de riscos dins l’ENP</t>
        </is>
      </c>
      <c r="N312" s="11" t="inlineStr">
        <is>
          <t>Comú</t>
        </is>
      </c>
      <c r="O312" s="11" t="inlineStr">
        <is>
          <t>Obligatori</t>
        </is>
      </c>
      <c r="P312" s="11" t="inlineStr">
        <is>
          <t>Si</t>
        </is>
      </c>
      <c r="Q312" s="11" t="inlineStr">
        <is>
          <t>12.1.2 · Realització d'actuacions de prevenció d'incendis forestals — Superfície actuada de prevenció d'incendis</t>
        </is>
      </c>
    </row>
    <row r="313">
      <c r="A313" s="11" t="inlineStr">
        <is>
          <t>5. Ús públic i social</t>
        </is>
      </c>
      <c r="B313" s="11" t="inlineStr">
        <is>
          <t>12.1.2</t>
        </is>
      </c>
      <c r="C313" s="11" t="inlineStr">
        <is>
          <t>Contribuir a la protecció dels assentaments humans respecte dels riscos naturals</t>
        </is>
      </c>
      <c r="D313" s="11" t="inlineStr">
        <is>
          <t>Contribuir a la protecció dels assentaments humans respecte dels riscos naturals</t>
        </is>
      </c>
      <c r="E313" s="11" t="inlineStr">
        <is>
          <t>Col·laboració amb el ICGC en l’avaluació dels riscos dintre de l’ENP</t>
        </is>
      </c>
      <c r="F313" s="11" t="inlineStr">
        <is>
          <t>Número d’actuacions realitzades amb col·laboració</t>
        </is>
      </c>
      <c r="G313" s="11" t="n">
        <v>2</v>
      </c>
      <c r="H313" s="11" t="n">
        <v>8</v>
      </c>
      <c r="I313" s="11" t="inlineStr">
        <is>
          <t>MITJANA</t>
        </is>
      </c>
      <c r="J313" s="11" t="inlineStr"/>
      <c r="K313" s="11" t="inlineStr"/>
      <c r="L313" s="11" t="inlineStr">
        <is>
          <t>GESTIONAR ELS RISCOS NATURALS per a l'autoprotecció de la població local</t>
        </is>
      </c>
      <c r="M313" s="11" t="inlineStr">
        <is>
          <t>Col·laborar amb les autoritats competents per a la gestió de riscos dins l’ENP</t>
        </is>
      </c>
      <c r="N313" s="11" t="inlineStr">
        <is>
          <t>Comú</t>
        </is>
      </c>
      <c r="O313" s="11" t="inlineStr">
        <is>
          <t>Obligatori</t>
        </is>
      </c>
      <c r="P313" s="11" t="inlineStr">
        <is>
          <t>Si</t>
        </is>
      </c>
      <c r="Q313" s="11" t="inlineStr">
        <is>
          <t>12.1.2 · Col·laboració amb el ICGC en l’avaluació dels riscos dintre de l’ENP — Número d’actuacions realitzades amb col·laboració</t>
        </is>
      </c>
    </row>
    <row r="314">
      <c r="A314" s="11" t="inlineStr">
        <is>
          <t>6. Educació, voluntariat i comunicació</t>
        </is>
      </c>
      <c r="B314" s="11" t="inlineStr">
        <is>
          <t>13.1.1</t>
        </is>
      </c>
      <c r="C314" s="11" t="inlineStr">
        <is>
          <t>Definir el model de Xarxa d'Escoles de l'Espai Natural (XEEN) a l'ENP amb els agents educatius del territori</t>
        </is>
      </c>
      <c r="D314" s="11" t="inlineStr">
        <is>
          <t>Definir el model de Xarxa d'Escoles de l'Espai Natural (XEEN) a l'ENP amb els agents educatius del territori</t>
        </is>
      </c>
      <c r="E314" s="11" t="inlineStr">
        <is>
          <t>Actualització d'un mapa d'agents col·laboradors: cercar entitats i institucions locals que col·laborin amb la Xarxa (CRPs, administració local, entitats ambientals i educatives...).</t>
        </is>
      </c>
      <c r="F314" s="11" t="inlineStr">
        <is>
          <t>Número agents identificats</t>
        </is>
      </c>
      <c r="G314" s="11" t="n">
        <v>12</v>
      </c>
      <c r="H314" s="11" t="n">
        <v>18</v>
      </c>
      <c r="I314" s="11" t="inlineStr">
        <is>
          <t>ALTA</t>
        </is>
      </c>
      <c r="J314" s="11" t="inlineStr">
        <is>
          <t>Us Public</t>
        </is>
      </c>
      <c r="K314" s="11" t="inlineStr">
        <is>
          <t>Nuria</t>
        </is>
      </c>
      <c r="L314" s="11" t="inlineStr">
        <is>
          <t>FORMAR I SENSIBILITZAR la població incrementant la valoració i estima social de l'ENP</t>
        </is>
      </c>
      <c r="M314" s="11" t="inlineStr">
        <is>
          <t>Afavorir la vinculació entre la comunitat educativa de l'entorn i l'ENP</t>
        </is>
      </c>
      <c r="N314" s="11" t="inlineStr">
        <is>
          <t>Comú</t>
        </is>
      </c>
      <c r="O314" s="11" t="inlineStr">
        <is>
          <t>Obligatori</t>
        </is>
      </c>
      <c r="P314" s="11" t="inlineStr">
        <is>
          <t>No</t>
        </is>
      </c>
      <c r="Q314" s="11" t="inlineStr">
        <is>
          <t>13.1.1 · Actualització d'un mapa d'agents col·laboradors: cercar entitats i institucions locals que col·laborin amb la Xarxa (CRPs, administració local, entita — Número agents identificats</t>
        </is>
      </c>
    </row>
    <row r="315">
      <c r="A315" s="11" t="inlineStr">
        <is>
          <t>6. Educació, voluntariat i comunicació</t>
        </is>
      </c>
      <c r="B315" s="11" t="inlineStr">
        <is>
          <t>13.1.1</t>
        </is>
      </c>
      <c r="C315" s="11" t="inlineStr">
        <is>
          <t>Definir el model de Xarxa d'Escoles de l'Espai Natural (XEEN) a l'ENP amb els agents educatius del territori</t>
        </is>
      </c>
      <c r="D315" s="11" t="inlineStr">
        <is>
          <t>Definir el model de Xarxa d'Escoles de l'Espai Natural (XEEN) a l'ENP amb els agents educatius del territori</t>
        </is>
      </c>
      <c r="E315" s="11" t="inlineStr">
        <is>
          <t>Reunions periòdiques amb centres educatius per definir objectius i necessitats de la xarxa</t>
        </is>
      </c>
      <c r="F315" s="11" t="inlineStr">
        <is>
          <t>Número de reunions realitzades</t>
        </is>
      </c>
      <c r="G315" s="11" t="n">
        <v>4</v>
      </c>
      <c r="H315" s="11" t="n">
        <v>8</v>
      </c>
      <c r="I315" s="11" t="inlineStr">
        <is>
          <t>ALTA</t>
        </is>
      </c>
      <c r="J315" s="11" t="inlineStr">
        <is>
          <t>Us Public</t>
        </is>
      </c>
      <c r="K315" s="11" t="inlineStr">
        <is>
          <t>Nuria</t>
        </is>
      </c>
      <c r="L315" s="11" t="inlineStr">
        <is>
          <t>FORMAR I SENSIBILITZAR la població incrementant la valoració i estima social de l'ENP</t>
        </is>
      </c>
      <c r="M315" s="11" t="inlineStr">
        <is>
          <t>Afavorir la vinculació entre la comunitat educativa de l'entorn i l'ENP</t>
        </is>
      </c>
      <c r="N315" s="11" t="inlineStr">
        <is>
          <t>Comú</t>
        </is>
      </c>
      <c r="O315" s="11" t="inlineStr">
        <is>
          <t>Obligatori</t>
        </is>
      </c>
      <c r="P315" s="11" t="inlineStr">
        <is>
          <t>No</t>
        </is>
      </c>
      <c r="Q315" s="11" t="inlineStr">
        <is>
          <t>13.1.1 · Reunions periòdiques amb centres educatius per definir objectius i necessitats de la xarxa — Número de reunions realitzades</t>
        </is>
      </c>
    </row>
    <row r="316">
      <c r="A316" s="11" t="inlineStr">
        <is>
          <t>6. Educació, voluntariat i comunicació</t>
        </is>
      </c>
      <c r="B316" s="11" t="inlineStr">
        <is>
          <t>13.1.2</t>
        </is>
      </c>
      <c r="C316" s="11" t="inlineStr">
        <is>
          <t>Desplegar el model de Xarxa d'Escoles de l'Espai Natural (XEEN) a l'ENP d'acord amb el model general</t>
        </is>
      </c>
      <c r="D316" s="11" t="inlineStr">
        <is>
          <t>Treballar de forma coordinada amb centres educatius de l'ENP</t>
        </is>
      </c>
      <c r="E316" s="11" t="inlineStr">
        <is>
          <t>Constitució i dinamització dels espais de treball conjunt amb els agents col·laboradors</t>
        </is>
      </c>
      <c r="F316" s="11" t="inlineStr">
        <is>
          <t>Número de trobades realitzades</t>
        </is>
      </c>
      <c r="G316" s="11" t="n">
        <v>2</v>
      </c>
      <c r="H316" s="11" t="n">
        <v>4</v>
      </c>
      <c r="I316" s="11" t="inlineStr">
        <is>
          <t>MÀXIMA</t>
        </is>
      </c>
      <c r="J316" s="11" t="inlineStr">
        <is>
          <t>Us Public</t>
        </is>
      </c>
      <c r="K316" s="11" t="inlineStr">
        <is>
          <t>Nuria</t>
        </is>
      </c>
      <c r="L316" s="11" t="inlineStr">
        <is>
          <t>FORMAR I SENSIBILITZAR la població incrementant la valoració i estima social de l'ENP</t>
        </is>
      </c>
      <c r="M316" s="11" t="inlineStr">
        <is>
          <t>Afavorir la vinculació entre la comunitat educativa de l'entorn i l'ENP</t>
        </is>
      </c>
      <c r="N316" s="11" t="inlineStr">
        <is>
          <t>Comú</t>
        </is>
      </c>
      <c r="O316" s="11" t="inlineStr">
        <is>
          <t>Obligatori</t>
        </is>
      </c>
      <c r="P316" s="11" t="inlineStr">
        <is>
          <t>Si</t>
        </is>
      </c>
      <c r="Q316" s="11" t="inlineStr">
        <is>
          <t>13.1.2 · Constitució i dinamització dels espais de treball conjunt amb els agents col·laboradors — Número de trobades realitzades</t>
        </is>
      </c>
    </row>
    <row r="317">
      <c r="A317" s="11" t="inlineStr">
        <is>
          <t>6. Educació, voluntariat i comunicació</t>
        </is>
      </c>
      <c r="B317" s="11" t="inlineStr">
        <is>
          <t>13.1.2</t>
        </is>
      </c>
      <c r="C317" s="11" t="inlineStr">
        <is>
          <t>Desplegar el model de Xarxa d'Escoles de l'Espai Natural (XEEN) a l'ENP d'acord amb el model general</t>
        </is>
      </c>
      <c r="D317" s="11" t="inlineStr">
        <is>
          <t>Treballar de forma coordinada amb centres educatius de l'ENP</t>
        </is>
      </c>
      <c r="E317" s="11" t="inlineStr">
        <is>
          <t>Crear un mapa d'activitats que fan les escoles vinculades al Parc</t>
        </is>
      </c>
      <c r="F317" s="11" t="inlineStr">
        <is>
          <t>Mapa realitzat</t>
        </is>
      </c>
      <c r="G317" s="11" t="inlineStr">
        <is>
          <t>no</t>
        </is>
      </c>
      <c r="H317" s="11" t="inlineStr">
        <is>
          <t>si</t>
        </is>
      </c>
      <c r="I317" s="11" t="inlineStr">
        <is>
          <t>MITJANA</t>
        </is>
      </c>
      <c r="J317" s="11" t="inlineStr">
        <is>
          <t>Us Public</t>
        </is>
      </c>
      <c r="K317" s="11" t="inlineStr">
        <is>
          <t>Nuria</t>
        </is>
      </c>
      <c r="L317" s="11" t="inlineStr">
        <is>
          <t>FORMAR I SENSIBILITZAR la població incrementant la valoració i estima social de l'ENP</t>
        </is>
      </c>
      <c r="M317" s="11" t="inlineStr">
        <is>
          <t>Afavorir la vinculació entre la comunitat educativa de l'entorn i l'ENP</t>
        </is>
      </c>
      <c r="N317" s="11" t="inlineStr">
        <is>
          <t>Comú</t>
        </is>
      </c>
      <c r="O317" s="11" t="inlineStr">
        <is>
          <t>Obligatori</t>
        </is>
      </c>
      <c r="P317" s="11" t="inlineStr">
        <is>
          <t>Si</t>
        </is>
      </c>
      <c r="Q317" s="11" t="inlineStr">
        <is>
          <t>13.1.2 · Crear un mapa d'activitats que fan les escoles vinculades al Parc — Mapa realitzat</t>
        </is>
      </c>
    </row>
    <row r="318">
      <c r="A318" s="11" t="inlineStr">
        <is>
          <t>6. Educació, voluntariat i comunicació</t>
        </is>
      </c>
      <c r="B318" s="11" t="inlineStr">
        <is>
          <t>13.1.2</t>
        </is>
      </c>
      <c r="C318" s="11" t="inlineStr">
        <is>
          <t>Desplegar el model de Xarxa d'Escoles de l'Espai Natural (XEEN) a l'ENP d'acord amb el model general</t>
        </is>
      </c>
      <c r="D318" s="11" t="inlineStr">
        <is>
          <t>Treballar de forma coordinada amb centres educatius de l'ENP</t>
        </is>
      </c>
      <c r="E318" s="11" t="inlineStr">
        <is>
          <t>Disseny i desenvolupament de projectes compartits (Agenda escolar, Homo pirinensis,..)</t>
        </is>
      </c>
      <c r="F318" s="11" t="inlineStr">
        <is>
          <t>Número projectes compartits realitzats</t>
        </is>
      </c>
      <c r="G318" s="11" t="n">
        <v>1</v>
      </c>
      <c r="H318" s="11" t="n">
        <v>2</v>
      </c>
      <c r="I318" s="11" t="inlineStr">
        <is>
          <t>ALTA</t>
        </is>
      </c>
      <c r="J318" s="11" t="inlineStr">
        <is>
          <t>Us Public</t>
        </is>
      </c>
      <c r="K318" s="11" t="inlineStr">
        <is>
          <t>Nuria</t>
        </is>
      </c>
      <c r="L318" s="11" t="inlineStr">
        <is>
          <t>FORMAR I SENSIBILITZAR la població incrementant la valoració i estima social de l'ENP</t>
        </is>
      </c>
      <c r="M318" s="11" t="inlineStr">
        <is>
          <t>Afavorir la vinculació entre la comunitat educativa de l'entorn i l'ENP</t>
        </is>
      </c>
      <c r="N318" s="11" t="inlineStr">
        <is>
          <t>Comú</t>
        </is>
      </c>
      <c r="O318" s="11" t="inlineStr">
        <is>
          <t>Obligatori</t>
        </is>
      </c>
      <c r="P318" s="11" t="inlineStr">
        <is>
          <t>Si</t>
        </is>
      </c>
      <c r="Q318" s="11" t="inlineStr">
        <is>
          <t>13.1.2 · Disseny i desenvolupament de projectes compartits (Agenda escolar, Homo pirinensis,..) — Número projectes compartits realitzats</t>
        </is>
      </c>
    </row>
    <row r="319">
      <c r="A319" s="11" t="inlineStr">
        <is>
          <t>6. Educació, voluntariat i comunicació</t>
        </is>
      </c>
      <c r="B319" s="11" t="inlineStr">
        <is>
          <t>13.1.3</t>
        </is>
      </c>
      <c r="C319" s="11" t="inlineStr">
        <is>
          <t>Formar i capacitar al professorat de la XEEN</t>
        </is>
      </c>
      <c r="D319" s="11" t="inlineStr">
        <is>
          <t>Formar i capacitar al professorat de la XEEN</t>
        </is>
      </c>
      <c r="E319" s="11" t="inlineStr">
        <is>
          <t>Coordinació amb els Centres de Recursos Pedagògics (CRP) i centres educatius per detectar les necessitats formatives i estiguin reconegudes</t>
        </is>
      </c>
      <c r="F319" s="11" t="inlineStr">
        <is>
          <t>Número de reunions realitzades</t>
        </is>
      </c>
      <c r="G319" s="11" t="n">
        <v>4</v>
      </c>
      <c r="H319" s="11" t="n">
        <v>8</v>
      </c>
      <c r="I319" s="11" t="inlineStr">
        <is>
          <t>MÀXIMA</t>
        </is>
      </c>
      <c r="J319" s="11" t="inlineStr">
        <is>
          <t>Us Public</t>
        </is>
      </c>
      <c r="K319" s="11" t="inlineStr">
        <is>
          <t>Nuria</t>
        </is>
      </c>
      <c r="L319" s="11" t="inlineStr">
        <is>
          <t>FORMAR I SENSIBILITZAR la població incrementant la valoració i estima social de l'ENP</t>
        </is>
      </c>
      <c r="M319" s="11" t="inlineStr">
        <is>
          <t>Afavorir la vinculació entre la comunitat educativa de l'entorn i l'ENP</t>
        </is>
      </c>
      <c r="N319" s="11" t="inlineStr">
        <is>
          <t>Comú</t>
        </is>
      </c>
      <c r="O319" s="11" t="inlineStr">
        <is>
          <t>Obligatori</t>
        </is>
      </c>
      <c r="P319" s="11" t="inlineStr">
        <is>
          <t>Si</t>
        </is>
      </c>
      <c r="Q319" s="11" t="inlineStr">
        <is>
          <t>13.1.3 · Coordinació amb els Centres de Recursos Pedagògics (CRP) i centres educatius per detectar les necessitats formatives i estiguin reconegudes — Número de reunions realitzades</t>
        </is>
      </c>
    </row>
    <row r="320">
      <c r="A320" s="11" t="inlineStr">
        <is>
          <t>6. Educació, voluntariat i comunicació</t>
        </is>
      </c>
      <c r="B320" s="11" t="inlineStr">
        <is>
          <t>13.1.3</t>
        </is>
      </c>
      <c r="C320" s="11" t="inlineStr">
        <is>
          <t>Formar i capacitar al professorat de la XEEN</t>
        </is>
      </c>
      <c r="D320" s="11" t="inlineStr">
        <is>
          <t>Formar i capacitar al professorat de la XEEN</t>
        </is>
      </c>
      <c r="E320" s="11" t="inlineStr">
        <is>
          <t>Realització de formacions al professorat</t>
        </is>
      </c>
      <c r="F320" s="11" t="inlineStr">
        <is>
          <t>Número de formacions realitzades</t>
        </is>
      </c>
      <c r="G320" s="11" t="n">
        <v>2</v>
      </c>
      <c r="H320" s="11" t="n">
        <v>4</v>
      </c>
      <c r="I320" s="11" t="inlineStr">
        <is>
          <t>MITJANA</t>
        </is>
      </c>
      <c r="J320" s="11" t="inlineStr">
        <is>
          <t>Us Public</t>
        </is>
      </c>
      <c r="K320" s="11" t="inlineStr">
        <is>
          <t>Nuria</t>
        </is>
      </c>
      <c r="L320" s="11" t="inlineStr">
        <is>
          <t>FORMAR I SENSIBILITZAR la població incrementant la valoració i estima social de l'ENP</t>
        </is>
      </c>
      <c r="M320" s="11" t="inlineStr">
        <is>
          <t>Afavorir la vinculació entre la comunitat educativa de l'entorn i l'ENP</t>
        </is>
      </c>
      <c r="N320" s="11" t="inlineStr">
        <is>
          <t>Comú</t>
        </is>
      </c>
      <c r="O320" s="11" t="inlineStr">
        <is>
          <t>Obligatori</t>
        </is>
      </c>
      <c r="P320" s="11" t="inlineStr">
        <is>
          <t>Si</t>
        </is>
      </c>
      <c r="Q320" s="11" t="inlineStr">
        <is>
          <t>13.1.3 · Realització de formacions al professorat — Número de formacions realitzades</t>
        </is>
      </c>
    </row>
    <row r="321">
      <c r="A321" s="11" t="inlineStr">
        <is>
          <t>6. Educació, voluntariat i comunicació</t>
        </is>
      </c>
      <c r="B321" s="11" t="inlineStr">
        <is>
          <t>13.2.1</t>
        </is>
      </c>
      <c r="C321" s="11" t="inlineStr">
        <is>
          <t>Adaptar i millorar l'oferta pedagògica de l'ENP generant situacions d'aprenentatge i treballs per projecte</t>
        </is>
      </c>
      <c r="D321" s="11" t="inlineStr">
        <is>
          <t>Adaptar i millorar l'oferta pedagògica de l'ENP generant situacions d'aprenentatge i treballs per projecte</t>
        </is>
      </c>
      <c r="E321" s="11" t="inlineStr">
        <is>
          <t>Ampliar l'oferta pedagògica amb noves activitats, com el projecte “De l’estudi al Tros” de visita a les explotacions ramaderes del Parc</t>
        </is>
      </c>
      <c r="F321" s="11" t="inlineStr">
        <is>
          <t>Número activitats noves oferides</t>
        </is>
      </c>
      <c r="G321" s="11" t="n">
        <v>2</v>
      </c>
      <c r="H321" s="11" t="n">
        <v>4</v>
      </c>
      <c r="I321" s="11" t="inlineStr">
        <is>
          <t>ALTA</t>
        </is>
      </c>
      <c r="J321" s="11" t="inlineStr">
        <is>
          <t>Us Public</t>
        </is>
      </c>
      <c r="K321" s="11" t="inlineStr">
        <is>
          <t>Nuria</t>
        </is>
      </c>
      <c r="L321" s="11" t="inlineStr">
        <is>
          <t>FORMAR I SENSIBILITZAR la població incrementant la valoració i estima social de l'ENP</t>
        </is>
      </c>
      <c r="M321" s="11" t="inlineStr">
        <is>
          <t>Promoure una oferta pedagògica basada en metodologies innovadores i actives que estiguin alineades amb el currículum educatiu del Departament d'Educació</t>
        </is>
      </c>
      <c r="N321" s="11" t="inlineStr">
        <is>
          <t>Comú</t>
        </is>
      </c>
      <c r="O321" s="11" t="inlineStr">
        <is>
          <t>Obligatori</t>
        </is>
      </c>
      <c r="P321" s="11" t="inlineStr">
        <is>
          <t>Si</t>
        </is>
      </c>
      <c r="Q321" s="11" t="inlineStr">
        <is>
          <t>13.2.1 · Ampliar l'oferta pedagògica amb noves activitats, com el projecte “De l’estudi al Tros” de visita a les explotacions ramaderes del Parc — Número activitats noves oferides</t>
        </is>
      </c>
    </row>
    <row r="322">
      <c r="A322" s="11" t="inlineStr">
        <is>
          <t>6. Educació, voluntariat i comunicació</t>
        </is>
      </c>
      <c r="B322" s="11" t="inlineStr">
        <is>
          <t>13.2.1</t>
        </is>
      </c>
      <c r="C322" s="11" t="inlineStr">
        <is>
          <t>Adaptar i millorar l'oferta pedagògica de l'ENP generant situacions d'aprenentatge i treballs per projecte</t>
        </is>
      </c>
      <c r="D322" s="11" t="inlineStr">
        <is>
          <t>Adaptar i millorar l'oferta pedagògica de l'ENP generant situacions d'aprenentatge i treballs per projecte</t>
        </is>
      </c>
      <c r="E322" s="11" t="inlineStr">
        <is>
          <t>Revisar i millorar les activitats existents, i adaptar-les a situacions d'aprenentatge i treballs per projecte</t>
        </is>
      </c>
      <c r="F322" s="11" t="inlineStr">
        <is>
          <t>Número activitats millorades oferides</t>
        </is>
      </c>
      <c r="G322" s="11" t="n">
        <v>4</v>
      </c>
      <c r="H322" s="11" t="n">
        <v>8</v>
      </c>
      <c r="I322" s="11" t="inlineStr">
        <is>
          <t>MITJANA</t>
        </is>
      </c>
      <c r="J322" s="11" t="inlineStr">
        <is>
          <t>Us Public</t>
        </is>
      </c>
      <c r="K322" s="11" t="inlineStr">
        <is>
          <t>Nuria</t>
        </is>
      </c>
      <c r="L322" s="11" t="inlineStr">
        <is>
          <t>FORMAR I SENSIBILITZAR la població incrementant la valoració i estima social de l'ENP</t>
        </is>
      </c>
      <c r="M322" s="11" t="inlineStr">
        <is>
          <t>Promoure una oferta pedagògica basada en metodologies innovadores i actives que estiguin alineades amb el currículum educatiu del Departament d'Educació</t>
        </is>
      </c>
      <c r="N322" s="11" t="inlineStr">
        <is>
          <t>Comú</t>
        </is>
      </c>
      <c r="O322" s="11" t="inlineStr">
        <is>
          <t>Obligatori</t>
        </is>
      </c>
      <c r="P322" s="11" t="inlineStr">
        <is>
          <t>Si</t>
        </is>
      </c>
      <c r="Q322" s="11" t="inlineStr">
        <is>
          <t>13.2.1 · Revisar i millorar les activitats existents, i adaptar-les a situacions d'aprenentatge i treballs per projecte — Número activitats millorades oferides</t>
        </is>
      </c>
    </row>
    <row r="323">
      <c r="A323" s="11" t="inlineStr">
        <is>
          <t>6. Educació, voluntariat i comunicació</t>
        </is>
      </c>
      <c r="B323" s="11" t="inlineStr">
        <is>
          <t>13.2.2</t>
        </is>
      </c>
      <c r="C323" s="11" t="inlineStr">
        <is>
          <t>Dissenyar projectes d'ApS ambiental i Ciència ciutadana i projectes compartits amb entitats del territori que s'incloguin dins de l'oferta pedagògica.</t>
        </is>
      </c>
      <c r="D323" s="11" t="inlineStr">
        <is>
          <t>Col·laborar amb projectes d'ApS ambiental i Ciència ciutadana i projectes compartits amb entitats del territori</t>
        </is>
      </c>
      <c r="E323" s="11" t="inlineStr">
        <is>
          <t>Cerca d'entitats del territori amb qui elaborar projectes d'ApS o ciència ciutadana que donin resposta a les necessitats del Parc</t>
        </is>
      </c>
      <c r="F323" s="11" t="inlineStr">
        <is>
          <t>Número de projectes amb col·laboració</t>
        </is>
      </c>
      <c r="G323" s="11" t="n">
        <v>2</v>
      </c>
      <c r="H323" s="11" t="n">
        <v>4</v>
      </c>
      <c r="I323" s="11" t="inlineStr">
        <is>
          <t>MITJANA</t>
        </is>
      </c>
      <c r="J323" s="11" t="inlineStr">
        <is>
          <t>Us Public</t>
        </is>
      </c>
      <c r="K323" s="11" t="inlineStr">
        <is>
          <t>Moi</t>
        </is>
      </c>
      <c r="L323" s="11" t="inlineStr">
        <is>
          <t>FORMAR I SENSIBILITZAR la població incrementant la valoració i estima social de l'ENP</t>
        </is>
      </c>
      <c r="M323" s="11" t="inlineStr">
        <is>
          <t>Promoure una oferta pedagògica basada en metodologies innovadores i actives que estiguin alineades amb el currículum educatiu del Departament d'Educació</t>
        </is>
      </c>
      <c r="N323" s="11" t="inlineStr">
        <is>
          <t>Comú</t>
        </is>
      </c>
      <c r="O323" s="11" t="inlineStr">
        <is>
          <t>Optatiu</t>
        </is>
      </c>
      <c r="P323" s="11" t="inlineStr">
        <is>
          <t>No</t>
        </is>
      </c>
      <c r="Q323" s="11" t="inlineStr">
        <is>
          <t>13.2.2 · Cerca d'entitats del territori amb qui elaborar projectes d'ApS o ciència ciutadana que donin resposta a les necessitats del Parc — Número de projectes amb col·laboració</t>
        </is>
      </c>
    </row>
    <row r="324">
      <c r="A324" s="11" t="inlineStr">
        <is>
          <t>6. Educació, voluntariat i comunicació</t>
        </is>
      </c>
      <c r="B324" s="11" t="inlineStr">
        <is>
          <t>13.2.3</t>
        </is>
      </c>
      <c r="C324" s="11" t="inlineStr">
        <is>
          <t>Elaborar recursos educatius sobre l’espai (que tinguin en compte les problemàtiques singulars del seu espai) i posar-los a disposició dels centres educatius</t>
        </is>
      </c>
      <c r="D324" s="11" t="inlineStr">
        <is>
          <t>Elaborar recursos educatius sobre l’espai (que tinguin en compte les problemàtiques singulars del seu espai) i posar-los a disposició dels centres educatius</t>
        </is>
      </c>
      <c r="E324" s="11" t="inlineStr">
        <is>
          <t>Crear nous recursos educatius vinculats a una problemàtica del Parc</t>
        </is>
      </c>
      <c r="F324" s="11" t="inlineStr">
        <is>
          <t>Número de recursos educatius nous</t>
        </is>
      </c>
      <c r="G324" s="11" t="n">
        <v>1</v>
      </c>
      <c r="H324" s="11" t="n">
        <v>2</v>
      </c>
      <c r="I324" s="11" t="inlineStr">
        <is>
          <t>MITJANA</t>
        </is>
      </c>
      <c r="J324" s="11" t="inlineStr">
        <is>
          <t>Us Public</t>
        </is>
      </c>
      <c r="K324" s="11" t="inlineStr">
        <is>
          <t>Moi</t>
        </is>
      </c>
      <c r="L324" s="11" t="inlineStr">
        <is>
          <t>FORMAR I SENSIBILITZAR la població incrementant la valoració i estima social de l'ENP</t>
        </is>
      </c>
      <c r="M324" s="11" t="inlineStr">
        <is>
          <t>Promoure una oferta pedagògica basada en metodologies innovadores i actives que estiguin alineades amb el currículum educatiu del Departament d'Educació</t>
        </is>
      </c>
      <c r="N324" s="11" t="inlineStr">
        <is>
          <t>Comú</t>
        </is>
      </c>
      <c r="O324" s="11" t="inlineStr">
        <is>
          <t>Optatiu</t>
        </is>
      </c>
      <c r="P324" s="11" t="inlineStr">
        <is>
          <t>Si</t>
        </is>
      </c>
      <c r="Q324" s="11" t="inlineStr">
        <is>
          <t>13.2.3 · Crear nous recursos educatius vinculats a una problemàtica del Parc — Número de recursos educatius nous</t>
        </is>
      </c>
    </row>
    <row r="325">
      <c r="A325" s="11" t="inlineStr">
        <is>
          <t>6. Educació, voluntariat i comunicació</t>
        </is>
      </c>
      <c r="B325" s="11" t="inlineStr">
        <is>
          <t>13.2.4</t>
        </is>
      </c>
      <c r="C325" s="11" t="inlineStr">
        <is>
          <t>Oferir projectes de recerca vinculats a l'espai natural per a l'alumnat universitari i de la XEEN</t>
        </is>
      </c>
      <c r="D325" s="11" t="inlineStr">
        <is>
          <t>Oferir projectes de recerca vinculats a l'espai natural per a l'alumnat universitari i de la XEEN</t>
        </is>
      </c>
      <c r="E325" s="11" t="inlineStr">
        <is>
          <t>Elaboració d'una proposta de possibles temàtiques per oferir als centres educatius de projectes vinculats a l'espai natural (treball de recerca, crèdit de síntesi, servei comunitari, pràctiques, etc.).</t>
        </is>
      </c>
      <c r="F325" s="11" t="inlineStr">
        <is>
          <t>Número de propostes ofertes</t>
        </is>
      </c>
      <c r="G325" s="11" t="n">
        <v>4</v>
      </c>
      <c r="H325" s="11" t="n">
        <v>8</v>
      </c>
      <c r="I325" s="11" t="inlineStr">
        <is>
          <t>ALTA</t>
        </is>
      </c>
      <c r="J325" s="11" t="inlineStr">
        <is>
          <t>Observatori</t>
        </is>
      </c>
      <c r="K325" s="11" t="inlineStr">
        <is>
          <t>Oriol</t>
        </is>
      </c>
      <c r="L325" s="11" t="inlineStr">
        <is>
          <t>FORMAR I SENSIBILITZAR la població incrementant la valoració i estima social de l'ENP</t>
        </is>
      </c>
      <c r="M325" s="11" t="inlineStr">
        <is>
          <t>Promoure una oferta pedagògica basada en metodologies innovadores i actives que estiguin alineades amb el currículum educatiu del Departament d'Educació</t>
        </is>
      </c>
      <c r="N325" s="11" t="inlineStr">
        <is>
          <t>Comú</t>
        </is>
      </c>
      <c r="O325" s="11" t="inlineStr">
        <is>
          <t>Optatiu</t>
        </is>
      </c>
      <c r="P325" s="11" t="inlineStr">
        <is>
          <t>Si</t>
        </is>
      </c>
      <c r="Q325" s="11" t="inlineStr">
        <is>
          <t>13.2.4 · Elaboració d'una proposta de possibles temàtiques per oferir als centres educatius de projectes vinculats a l'espai natural (treball de recerca, crèdi — Número de propostes ofertes</t>
        </is>
      </c>
    </row>
    <row r="326">
      <c r="A326" s="11" t="inlineStr">
        <is>
          <t>6. Educació, voluntariat i comunicació</t>
        </is>
      </c>
      <c r="B326" s="11" t="inlineStr">
        <is>
          <t>13.2.4</t>
        </is>
      </c>
      <c r="C326" s="11" t="inlineStr">
        <is>
          <t>Oferir projectes de recerca vinculats a l'espai natural per a l'alumnat universitari i de la XEEN</t>
        </is>
      </c>
      <c r="D326" s="11" t="inlineStr">
        <is>
          <t>Oferir projectes de recerca vinculats a l'espai natural per a l'alumnat universitari i de la XEEN</t>
        </is>
      </c>
      <c r="E326" s="11" t="inlineStr">
        <is>
          <t>Acompanyament de l'alumnat en la relació dels projectes.</t>
        </is>
      </c>
      <c r="F326" s="11" t="inlineStr">
        <is>
          <t>Número de convenis de practiques o projectes acompanyats</t>
        </is>
      </c>
      <c r="G326" s="11" t="n">
        <v>15</v>
      </c>
      <c r="H326" s="11" t="n">
        <v>30</v>
      </c>
      <c r="I326" s="11" t="inlineStr">
        <is>
          <t>MITJANA</t>
        </is>
      </c>
      <c r="J326" s="11" t="inlineStr">
        <is>
          <t>Observatori</t>
        </is>
      </c>
      <c r="K326" s="11" t="inlineStr">
        <is>
          <t>Oriol</t>
        </is>
      </c>
      <c r="L326" s="11" t="inlineStr">
        <is>
          <t>FORMAR I SENSIBILITZAR la població incrementant la valoració i estima social de l'ENP</t>
        </is>
      </c>
      <c r="M326" s="11" t="inlineStr">
        <is>
          <t>Promoure una oferta pedagògica basada en metodologies innovadores i actives que estiguin alineades amb el currículum educatiu del Departament d'Educació</t>
        </is>
      </c>
      <c r="N326" s="11" t="inlineStr">
        <is>
          <t>Comú</t>
        </is>
      </c>
      <c r="O326" s="11" t="inlineStr">
        <is>
          <t>Optatiu</t>
        </is>
      </c>
      <c r="P326" s="11" t="inlineStr">
        <is>
          <t>Si</t>
        </is>
      </c>
      <c r="Q326" s="11" t="inlineStr">
        <is>
          <t>13.2.4 · Acompanyament de l'alumnat en la relació dels projectes. — Número de convenis de practiques o projectes acompanyats</t>
        </is>
      </c>
    </row>
    <row r="327">
      <c r="A327" s="11" t="inlineStr">
        <is>
          <t>6. Educació, voluntariat i comunicació</t>
        </is>
      </c>
      <c r="B327" s="11" t="inlineStr">
        <is>
          <t>13.3.1</t>
        </is>
      </c>
      <c r="C327" s="11" t="inlineStr">
        <is>
          <t>Establir un model de coordinació territorial amb agents clau de l'educació ambiental</t>
        </is>
      </c>
      <c r="D327" s="11" t="inlineStr">
        <is>
          <t>Establir un model de coordinació territorial amb agents clau de l'educació ambiental</t>
        </is>
      </c>
      <c r="E327" s="11" t="inlineStr">
        <is>
          <t>Realitzar una trobada anual territorial amb els agents clau de l'educació ambiental</t>
        </is>
      </c>
      <c r="F327" s="11" t="inlineStr">
        <is>
          <t>Número de trobades</t>
        </is>
      </c>
      <c r="G327" s="11" t="n">
        <v>2</v>
      </c>
      <c r="H327" s="11" t="n">
        <v>4</v>
      </c>
      <c r="I327" s="11" t="inlineStr">
        <is>
          <t>MÀXIMA</t>
        </is>
      </c>
      <c r="J327" s="11" t="inlineStr">
        <is>
          <t>Us Public</t>
        </is>
      </c>
      <c r="K327" s="11" t="inlineStr">
        <is>
          <t>Nuria</t>
        </is>
      </c>
      <c r="L327" s="11" t="inlineStr">
        <is>
          <t>FORMAR I SENSIBILITZAR la població incrementant la valoració i estima social de l'ENP</t>
        </is>
      </c>
      <c r="M327" s="11" t="inlineStr">
        <is>
          <t>Establir mecanismes estables de formació, treball i coordinació amb els col·lectius implicats en la sensibilització i l'educació dins el ENP</t>
        </is>
      </c>
      <c r="N327" s="11" t="inlineStr">
        <is>
          <t>Comú</t>
        </is>
      </c>
      <c r="O327" s="11" t="inlineStr">
        <is>
          <t>Obligatori</t>
        </is>
      </c>
      <c r="P327" s="11" t="inlineStr">
        <is>
          <t>Si</t>
        </is>
      </c>
      <c r="Q327" s="11" t="inlineStr">
        <is>
          <t>13.3.1 · Realitzar una trobada anual territorial amb els agents clau de l'educació ambiental — Número de trobades</t>
        </is>
      </c>
    </row>
    <row r="328">
      <c r="A328" s="11" t="inlineStr">
        <is>
          <t>6. Educació, voluntariat i comunicació</t>
        </is>
      </c>
      <c r="B328" s="11" t="inlineStr">
        <is>
          <t>13.3.2</t>
        </is>
      </c>
      <c r="C328" s="11" t="inlineStr">
        <is>
          <t>Cercar i establir col·laboracions i projectes conjunts amb agents clau del territori</t>
        </is>
      </c>
      <c r="D328" s="11" t="inlineStr">
        <is>
          <t>Cercar i establir col·laboracions i projectes conjunts amb agents clau del territori</t>
        </is>
      </c>
      <c r="E328" s="11" t="inlineStr">
        <is>
          <t>Establir col·laboracions i projectes conjunts</t>
        </is>
      </c>
      <c r="F328" s="11" t="inlineStr">
        <is>
          <t>Número de projectes conjunts</t>
        </is>
      </c>
      <c r="G328" s="11" t="n">
        <v>2</v>
      </c>
      <c r="H328" s="11" t="n">
        <v>4</v>
      </c>
      <c r="I328" s="11" t="inlineStr">
        <is>
          <t>MÀXIMA</t>
        </is>
      </c>
      <c r="J328" s="11" t="inlineStr">
        <is>
          <t>Us Public</t>
        </is>
      </c>
      <c r="K328" s="11" t="inlineStr">
        <is>
          <t>Nuria</t>
        </is>
      </c>
      <c r="L328" s="11" t="inlineStr">
        <is>
          <t>FORMAR I SENSIBILITZAR la població incrementant la valoració i estima social de l'ENP</t>
        </is>
      </c>
      <c r="M328" s="11" t="inlineStr">
        <is>
          <t>Establir mecanismes estables de formació, treball i coordinació amb els col·lectius implicats en la sensibilització i l'educació dins el ENP</t>
        </is>
      </c>
      <c r="N328" s="11" t="inlineStr">
        <is>
          <t>Comú</t>
        </is>
      </c>
      <c r="O328" s="11" t="inlineStr">
        <is>
          <t>Obligatori</t>
        </is>
      </c>
      <c r="P328" s="11" t="inlineStr">
        <is>
          <t>Si</t>
        </is>
      </c>
      <c r="Q328" s="11" t="inlineStr">
        <is>
          <t>13.3.2 · Establir col·laboracions i projectes conjunts — Número de projectes conjunts</t>
        </is>
      </c>
    </row>
    <row r="329">
      <c r="A329" s="11" t="inlineStr">
        <is>
          <t>6. Educació, voluntariat i comunicació</t>
        </is>
      </c>
      <c r="B329" s="11" t="inlineStr">
        <is>
          <t>13.3.3</t>
        </is>
      </c>
      <c r="C329" s="11" t="inlineStr">
        <is>
          <t>Elaborar formacions dirigides als informadors, educadors i altres prescriptors del territori</t>
        </is>
      </c>
      <c r="D329" s="11" t="inlineStr">
        <is>
          <t>Elaborar formacions dirigides als informadors, educadors i altres prescriptors del territori</t>
        </is>
      </c>
      <c r="E329" s="11" t="inlineStr">
        <is>
          <t>Curs del bon coneixedor de l'ENP</t>
        </is>
      </c>
      <c r="F329" s="11" t="inlineStr">
        <is>
          <t>Número de cursos realitzats</t>
        </is>
      </c>
      <c r="G329" s="11" t="n">
        <v>1</v>
      </c>
      <c r="H329" s="11" t="n">
        <v>2</v>
      </c>
      <c r="I329" s="11" t="inlineStr">
        <is>
          <t>MÀXIMA</t>
        </is>
      </c>
      <c r="J329" s="11" t="inlineStr">
        <is>
          <t>Us Public</t>
        </is>
      </c>
      <c r="K329" s="11" t="inlineStr">
        <is>
          <t>Moi</t>
        </is>
      </c>
      <c r="L329" s="11" t="inlineStr">
        <is>
          <t>FORMAR I SENSIBILITZAR la població incrementant la valoració i estima social de l'ENP</t>
        </is>
      </c>
      <c r="M329" s="11" t="inlineStr">
        <is>
          <t>Establir mecanismes estables de formació, treball i coordinació amb els col·lectius implicats en la sensibilització i l'educació dins el ENP</t>
        </is>
      </c>
      <c r="N329" s="11" t="inlineStr">
        <is>
          <t>Comú</t>
        </is>
      </c>
      <c r="O329" s="11" t="inlineStr">
        <is>
          <t>Obligatori</t>
        </is>
      </c>
      <c r="P329" s="11" t="inlineStr">
        <is>
          <t>Si</t>
        </is>
      </c>
      <c r="Q329" s="11" t="inlineStr">
        <is>
          <t>13.3.3 · Curs del bon coneixedor de l'ENP — Número de cursos realitzats</t>
        </is>
      </c>
    </row>
    <row r="330">
      <c r="A330" s="11" t="inlineStr">
        <is>
          <t>6. Educació, voluntariat i comunicació</t>
        </is>
      </c>
      <c r="B330" s="11" t="inlineStr">
        <is>
          <t>13.3.3</t>
        </is>
      </c>
      <c r="C330" s="11" t="inlineStr">
        <is>
          <t>Elaborar formacions dirigides als informadors, educadors i altres prescriptors del territori</t>
        </is>
      </c>
      <c r="D330" s="11" t="inlineStr">
        <is>
          <t>Elaborar formacions dirigides als informadors, educadors i altres prescriptors del territori</t>
        </is>
      </c>
      <c r="E330" s="11" t="inlineStr">
        <is>
          <t>Formacions continuades en el marc del contracte del servei d'informació i educació ambiental.</t>
        </is>
      </c>
      <c r="F330" s="11" t="inlineStr">
        <is>
          <t>Número de jornades formatives</t>
        </is>
      </c>
      <c r="G330" s="11" t="n">
        <v>2</v>
      </c>
      <c r="H330" s="11" t="n">
        <v>4</v>
      </c>
      <c r="I330" s="11" t="inlineStr">
        <is>
          <t>ALTA</t>
        </is>
      </c>
      <c r="J330" s="11" t="inlineStr">
        <is>
          <t>Us Public</t>
        </is>
      </c>
      <c r="K330" s="11" t="inlineStr">
        <is>
          <t>Moi</t>
        </is>
      </c>
      <c r="L330" s="11" t="inlineStr">
        <is>
          <t>FORMAR I SENSIBILITZAR la població incrementant la valoració i estima social de l'ENP</t>
        </is>
      </c>
      <c r="M330" s="11" t="inlineStr">
        <is>
          <t>Establir mecanismes estables de formació, treball i coordinació amb els col·lectius implicats en la sensibilització i l'educació dins el ENP</t>
        </is>
      </c>
      <c r="N330" s="11" t="inlineStr">
        <is>
          <t>Comú</t>
        </is>
      </c>
      <c r="O330" s="11" t="inlineStr">
        <is>
          <t>Obligatori</t>
        </is>
      </c>
      <c r="P330" s="11" t="inlineStr">
        <is>
          <t>Si</t>
        </is>
      </c>
      <c r="Q330" s="11" t="inlineStr">
        <is>
          <t>13.3.3 · Formacions continuades en el marc del contracte del servei d'informació i educació ambiental. — Número de jornades formatives</t>
        </is>
      </c>
    </row>
    <row r="331">
      <c r="A331" s="11" t="inlineStr">
        <is>
          <t>6. Educació, voluntariat i comunicació</t>
        </is>
      </c>
      <c r="B331" s="11" t="inlineStr">
        <is>
          <t>13.3.3</t>
        </is>
      </c>
      <c r="C331" s="11" t="inlineStr">
        <is>
          <t>Elaborar formacions dirigides als informadors, educadors i altres prescriptors del territori</t>
        </is>
      </c>
      <c r="D331" s="11" t="inlineStr">
        <is>
          <t>Elaborar formacions dirigides als informadors, educadors i altres prescriptors del territori</t>
        </is>
      </c>
      <c r="E331" s="11" t="inlineStr">
        <is>
          <t>Curs d'informador de la CETS</t>
        </is>
      </c>
      <c r="F331" s="11" t="inlineStr">
        <is>
          <t>Número de cursos realitzats</t>
        </is>
      </c>
      <c r="G331" s="11" t="n">
        <v>2</v>
      </c>
      <c r="H331" s="11" t="n">
        <v>3</v>
      </c>
      <c r="I331" s="11" t="inlineStr">
        <is>
          <t>ALTA</t>
        </is>
      </c>
      <c r="J331" s="11" t="inlineStr">
        <is>
          <t>Us Public</t>
        </is>
      </c>
      <c r="K331" s="11" t="inlineStr">
        <is>
          <t>Nuria</t>
        </is>
      </c>
      <c r="L331" s="11" t="inlineStr">
        <is>
          <t>FORMAR I SENSIBILITZAR la població incrementant la valoració i estima social de l'ENP</t>
        </is>
      </c>
      <c r="M331" s="11" t="inlineStr">
        <is>
          <t>Establir mecanismes estables de formació, treball i coordinació amb els col·lectius implicats en la sensibilització i l'educació dins el ENP</t>
        </is>
      </c>
      <c r="N331" s="11" t="inlineStr">
        <is>
          <t>Comú</t>
        </is>
      </c>
      <c r="O331" s="11" t="inlineStr">
        <is>
          <t>Obligatori</t>
        </is>
      </c>
      <c r="P331" s="11" t="inlineStr">
        <is>
          <t>Si</t>
        </is>
      </c>
      <c r="Q331" s="11" t="inlineStr">
        <is>
          <t>13.3.3 · Curs d'informador de la CETS — Número de cursos realitzats</t>
        </is>
      </c>
    </row>
    <row r="332">
      <c r="A332" s="11" t="inlineStr">
        <is>
          <t>6. Educació, voluntariat i comunicació</t>
        </is>
      </c>
      <c r="B332" s="11" t="inlineStr">
        <is>
          <t>13.3.3</t>
        </is>
      </c>
      <c r="C332" s="11" t="inlineStr">
        <is>
          <t>Elaborar formacions dirigides als informadors, educadors i altres prescriptors del territori</t>
        </is>
      </c>
      <c r="D332" s="11" t="inlineStr">
        <is>
          <t>Elaborar formacions dirigides als informadors, educadors i altres prescriptors del territori</t>
        </is>
      </c>
      <c r="E332" s="11" t="inlineStr">
        <is>
          <t>Formació dels actors implicats en la gestió dels ENP en base a les necessitats detectades</t>
        </is>
      </c>
      <c r="F332" s="11" t="inlineStr">
        <is>
          <t>Número de cursos realitzats</t>
        </is>
      </c>
      <c r="G332" s="11" t="n">
        <v>12</v>
      </c>
      <c r="H332" s="11" t="n">
        <v>24</v>
      </c>
      <c r="I332" s="11" t="inlineStr">
        <is>
          <t>MITJANA</t>
        </is>
      </c>
      <c r="J332" s="11" t="inlineStr">
        <is>
          <t>Us Public</t>
        </is>
      </c>
      <c r="K332" s="11" t="inlineStr">
        <is>
          <t>Moi</t>
        </is>
      </c>
      <c r="L332" s="11" t="inlineStr">
        <is>
          <t>FORMAR I SENSIBILITZAR la població incrementant la valoració i estima social de l'ENP</t>
        </is>
      </c>
      <c r="M332" s="11" t="inlineStr">
        <is>
          <t>Establir mecanismes estables de formació, treball i coordinació amb els col·lectius implicats en la sensibilització i l'educació dins el ENP</t>
        </is>
      </c>
      <c r="N332" s="11" t="inlineStr">
        <is>
          <t>Comú</t>
        </is>
      </c>
      <c r="O332" s="11" t="inlineStr">
        <is>
          <t>Obligatori</t>
        </is>
      </c>
      <c r="P332" s="11" t="inlineStr">
        <is>
          <t>Si</t>
        </is>
      </c>
      <c r="Q332" s="11" t="inlineStr">
        <is>
          <t>13.3.3 · Formació dels actors implicats en la gestió dels ENP en base a les necessitats detectades — Número de cursos realitzats</t>
        </is>
      </c>
    </row>
    <row r="333">
      <c r="A333" s="11" t="inlineStr">
        <is>
          <t>6. Educació, voluntariat i comunicació</t>
        </is>
      </c>
      <c r="B333" s="11" t="inlineStr">
        <is>
          <t>13.4.1</t>
        </is>
      </c>
      <c r="C333" s="11" t="inlineStr">
        <is>
          <t>Desplegar en el territori les campanyes de sensibilització i bones pràctiques que s'impulsin des de la DG</t>
        </is>
      </c>
      <c r="D333" s="11" t="inlineStr">
        <is>
          <t>Desplegar en el territori les campanyes de sensibilització i bones pràctiques que s'impulsin des de la DG</t>
        </is>
      </c>
      <c r="E333" s="11" t="inlineStr">
        <is>
          <t>Participació en la concreció dels missatges i peces creatives de la campanya de la DG.</t>
        </is>
      </c>
      <c r="F333" s="11" t="inlineStr">
        <is>
          <t>Número d'aportacions</t>
        </is>
      </c>
      <c r="G333" s="11" t="n">
        <v>12</v>
      </c>
      <c r="H333" s="11" t="n">
        <v>24</v>
      </c>
      <c r="I333" s="11" t="inlineStr">
        <is>
          <t>MÀXIMA</t>
        </is>
      </c>
      <c r="J333" s="11" t="inlineStr">
        <is>
          <t>Us Public</t>
        </is>
      </c>
      <c r="K333" s="11" t="inlineStr">
        <is>
          <t>Moi</t>
        </is>
      </c>
      <c r="L333" s="11" t="inlineStr">
        <is>
          <t>FORMAR I SENSIBILITZAR la població incrementant la valoració i estima social de l'ENP</t>
        </is>
      </c>
      <c r="M333" s="11" t="inlineStr">
        <is>
          <t>Desplegar un programa de divulgació i sensibilització per a visitants</t>
        </is>
      </c>
      <c r="N333" s="11" t="inlineStr">
        <is>
          <t>Comú</t>
        </is>
      </c>
      <c r="O333" s="11" t="inlineStr">
        <is>
          <t>Obligatori</t>
        </is>
      </c>
      <c r="P333" s="11" t="inlineStr">
        <is>
          <t>Si</t>
        </is>
      </c>
      <c r="Q333" s="11" t="inlineStr">
        <is>
          <t>13.4.1 · Participació en la concreció dels missatges i peces creatives de la campanya de la DG. — Número d'aportacions</t>
        </is>
      </c>
    </row>
    <row r="334">
      <c r="A334" s="11" t="inlineStr">
        <is>
          <t>6. Educació, voluntariat i comunicació</t>
        </is>
      </c>
      <c r="B334" s="11" t="inlineStr">
        <is>
          <t>13.4.1</t>
        </is>
      </c>
      <c r="C334" s="11" t="inlineStr">
        <is>
          <t>Desplegar en el territori les campanyes de sensibilització i bones pràctiques que s'impulsin des de la DG</t>
        </is>
      </c>
      <c r="D334" s="11" t="inlineStr">
        <is>
          <t>Desplegar en el territori les campanyes de sensibilització i bones pràctiques que s'impulsin des de la DG</t>
        </is>
      </c>
      <c r="E334" s="11" t="inlineStr">
        <is>
          <t>Difusió de la campanya aprofintant les eines i equipaments de l'ENP.</t>
        </is>
      </c>
      <c r="F334" s="11" t="inlineStr">
        <is>
          <t>Número d'accions de difusió</t>
        </is>
      </c>
      <c r="G334" s="11" t="n">
        <v>8</v>
      </c>
      <c r="H334" s="11" t="n">
        <v>16</v>
      </c>
      <c r="I334" s="11" t="inlineStr">
        <is>
          <t>ALTA</t>
        </is>
      </c>
      <c r="J334" s="11" t="inlineStr">
        <is>
          <t>Us Public</t>
        </is>
      </c>
      <c r="K334" s="11" t="inlineStr">
        <is>
          <t>Moi</t>
        </is>
      </c>
      <c r="L334" s="11" t="inlineStr">
        <is>
          <t>FORMAR I SENSIBILITZAR la població incrementant la valoració i estima social de l'ENP</t>
        </is>
      </c>
      <c r="M334" s="11" t="inlineStr">
        <is>
          <t>Desplegar un programa de divulgació i sensibilització per a visitants</t>
        </is>
      </c>
      <c r="N334" s="11" t="inlineStr">
        <is>
          <t>Comú</t>
        </is>
      </c>
      <c r="O334" s="11" t="inlineStr">
        <is>
          <t>Obligatori</t>
        </is>
      </c>
      <c r="P334" s="11" t="inlineStr">
        <is>
          <t>Si</t>
        </is>
      </c>
      <c r="Q334" s="11" t="inlineStr">
        <is>
          <t>13.4.1 · Difusió de la campanya aprofintant les eines i equipaments de l'ENP. — Número d'accions de difusió</t>
        </is>
      </c>
    </row>
    <row r="335">
      <c r="A335" s="11" t="inlineStr">
        <is>
          <t>6. Educació, voluntariat i comunicació</t>
        </is>
      </c>
      <c r="B335" s="11" t="inlineStr">
        <is>
          <t>13.4.1</t>
        </is>
      </c>
      <c r="C335" s="11" t="inlineStr">
        <is>
          <t>Desplegar en el territori les campanyes de sensibilització i bones pràctiques que s'impulsin des de la DG</t>
        </is>
      </c>
      <c r="D335" s="11" t="inlineStr">
        <is>
          <t>Desplegar en el territori les campanyes de sensibilització i bones pràctiques que s'impulsin des de la DG</t>
        </is>
      </c>
      <c r="E335" s="11" t="inlineStr">
        <is>
          <t>Establiment de col·laboracions amb entitats i institucions locals i empreses CETS per a la difusió local de la campanya.</t>
        </is>
      </c>
      <c r="F335" s="11" t="inlineStr">
        <is>
          <t>Número de col·laboracions</t>
        </is>
      </c>
      <c r="G335" s="11" t="n">
        <v>8</v>
      </c>
      <c r="H335" s="11" t="n">
        <v>16</v>
      </c>
      <c r="I335" s="11" t="inlineStr">
        <is>
          <t>ALTA</t>
        </is>
      </c>
      <c r="J335" s="11" t="inlineStr">
        <is>
          <t>Us Public</t>
        </is>
      </c>
      <c r="K335" s="11" t="inlineStr">
        <is>
          <t>Moi</t>
        </is>
      </c>
      <c r="L335" s="11" t="inlineStr">
        <is>
          <t>FORMAR I SENSIBILITZAR la població incrementant la valoració i estima social de l'ENP</t>
        </is>
      </c>
      <c r="M335" s="11" t="inlineStr">
        <is>
          <t>Desplegar un programa de divulgació i sensibilització per a visitants</t>
        </is>
      </c>
      <c r="N335" s="11" t="inlineStr">
        <is>
          <t>Comú</t>
        </is>
      </c>
      <c r="O335" s="11" t="inlineStr">
        <is>
          <t>Obligatori</t>
        </is>
      </c>
      <c r="P335" s="11" t="inlineStr">
        <is>
          <t>Si</t>
        </is>
      </c>
      <c r="Q335" s="11" t="inlineStr">
        <is>
          <t>13.4.1 · Establiment de col·laboracions amb entitats i institucions locals i empreses CETS per a la difusió local de la campanya. — Número de col·laboracions</t>
        </is>
      </c>
    </row>
    <row r="336">
      <c r="A336" s="11" t="inlineStr">
        <is>
          <t>6. Educació, voluntariat i comunicació</t>
        </is>
      </c>
      <c r="B336" s="11" t="inlineStr">
        <is>
          <t>13.4.2</t>
        </is>
      </c>
      <c r="C336" s="11" t="inlineStr">
        <is>
          <t>Adaptar el programa de divulgació i sensibilització de l'ENP perquè incorpori una oferta d’activitats adequada per a famílies</t>
        </is>
      </c>
      <c r="D336" s="11" t="inlineStr">
        <is>
          <t>Adaptar el programa de divulgació i sensibilització de l'ENP perquè incorpori una oferta d’activitats adequada per a famílies i altres perfils</t>
        </is>
      </c>
      <c r="E336" s="11" t="inlineStr">
        <is>
          <t>Disseny d'una oferta d’activitats d’educació ambiental de lleure educatiu adreçada a famílies i altres perfils</t>
        </is>
      </c>
      <c r="F336" s="11" t="inlineStr">
        <is>
          <t>Número activitats ofertades</t>
        </is>
      </c>
      <c r="G336" s="11" t="n">
        <v>15</v>
      </c>
      <c r="H336" s="11" t="n">
        <v>30</v>
      </c>
      <c r="I336" s="11" t="inlineStr">
        <is>
          <t>ALTA</t>
        </is>
      </c>
      <c r="J336" s="11" t="inlineStr">
        <is>
          <t>Us Public</t>
        </is>
      </c>
      <c r="K336" s="11" t="inlineStr">
        <is>
          <t>Moi</t>
        </is>
      </c>
      <c r="L336" s="11" t="inlineStr">
        <is>
          <t>FORMAR I SENSIBILITZAR la població incrementant la valoració i estima social de l'ENP</t>
        </is>
      </c>
      <c r="M336" s="11" t="inlineStr">
        <is>
          <t>Desplegar un programa de divulgació i sensibilització per a visitants</t>
        </is>
      </c>
      <c r="N336" s="11" t="inlineStr">
        <is>
          <t>Comú</t>
        </is>
      </c>
      <c r="O336" s="11" t="inlineStr">
        <is>
          <t>Optatiu</t>
        </is>
      </c>
      <c r="P336" s="11" t="inlineStr">
        <is>
          <t>Si</t>
        </is>
      </c>
      <c r="Q336" s="11" t="inlineStr">
        <is>
          <t>13.4.2 · Disseny d'una oferta d’activitats d’educació ambiental de lleure educatiu adreçada a famílies i altres perfils — Número activitats ofertades</t>
        </is>
      </c>
    </row>
    <row r="337">
      <c r="A337" s="11" t="inlineStr">
        <is>
          <t>6. Educació, voluntariat i comunicació</t>
        </is>
      </c>
      <c r="B337" s="11" t="inlineStr">
        <is>
          <t>13.4.2</t>
        </is>
      </c>
      <c r="C337" s="11" t="inlineStr">
        <is>
          <t>Adaptar el programa de divulgació i sensibilització de l'ENP perquè incorpori una oferta d’activitats adequada per a famílies</t>
        </is>
      </c>
      <c r="D337" s="11" t="inlineStr">
        <is>
          <t>Adaptar el programa de divulgació i sensibilització de l'ENP perquè incorpori una oferta d’activitats adequada per a famílies i altres perfils</t>
        </is>
      </c>
      <c r="E337" s="11" t="inlineStr">
        <is>
          <t>Realitzar activitats familiars del projecte "Explora el Parc"</t>
        </is>
      </c>
      <c r="F337" s="11" t="inlineStr">
        <is>
          <t>Número activitats realitzades</t>
        </is>
      </c>
      <c r="G337" s="11" t="n">
        <v>10</v>
      </c>
      <c r="H337" s="11" t="n">
        <v>20</v>
      </c>
      <c r="I337" s="11" t="inlineStr">
        <is>
          <t>MITJANA</t>
        </is>
      </c>
      <c r="J337" s="11" t="inlineStr">
        <is>
          <t>Us Public</t>
        </is>
      </c>
      <c r="K337" s="11" t="inlineStr">
        <is>
          <t>Moi</t>
        </is>
      </c>
      <c r="L337" s="11" t="inlineStr">
        <is>
          <t>FORMAR I SENSIBILITZAR la població incrementant la valoració i estima social de l'ENP</t>
        </is>
      </c>
      <c r="M337" s="11" t="inlineStr">
        <is>
          <t>Desplegar un programa de divulgació i sensibilització per a visitants</t>
        </is>
      </c>
      <c r="N337" s="11" t="inlineStr">
        <is>
          <t>Comú</t>
        </is>
      </c>
      <c r="O337" s="11" t="inlineStr">
        <is>
          <t>Optatiu</t>
        </is>
      </c>
      <c r="P337" s="11" t="inlineStr">
        <is>
          <t>Si</t>
        </is>
      </c>
      <c r="Q337" s="11" t="inlineStr">
        <is>
          <t>13.4.2 · Realitzar activitats familiars del projecte "Explora el Parc" — Número activitats realitzades</t>
        </is>
      </c>
    </row>
    <row r="338">
      <c r="A338" s="11" t="inlineStr">
        <is>
          <t>6. Educació, voluntariat i comunicació</t>
        </is>
      </c>
      <c r="B338" s="11" t="inlineStr">
        <is>
          <t>13.4.2</t>
        </is>
      </c>
      <c r="C338" s="11" t="inlineStr">
        <is>
          <t>Adaptar el programa de divulgació i sensibilització de l'ENP perquè incorpori una oferta d’activitats adequada per a famílies</t>
        </is>
      </c>
      <c r="D338" s="11" t="inlineStr">
        <is>
          <t>Adaptar el programa de divulgació i sensibilització de l'ENP perquè incorpori una oferta d’activitats adequada per a famílies i altres perfils</t>
        </is>
      </c>
      <c r="E338" s="11" t="inlineStr">
        <is>
          <t>Realitzar activitats accessibles del projecte "Tothom és Parc"</t>
        </is>
      </c>
      <c r="F338" s="11" t="inlineStr">
        <is>
          <t>Número activitats realitzades</t>
        </is>
      </c>
      <c r="G338" s="11" t="n">
        <v>10</v>
      </c>
      <c r="H338" s="11" t="n">
        <v>20</v>
      </c>
      <c r="I338" s="11" t="inlineStr">
        <is>
          <t>MITJANA</t>
        </is>
      </c>
      <c r="J338" s="11" t="inlineStr">
        <is>
          <t>Us Public</t>
        </is>
      </c>
      <c r="K338" s="11" t="inlineStr">
        <is>
          <t>Moi</t>
        </is>
      </c>
      <c r="L338" s="11" t="inlineStr">
        <is>
          <t>FORMAR I SENSIBILITZAR la població incrementant la valoració i estima social de l'ENP</t>
        </is>
      </c>
      <c r="M338" s="11" t="inlineStr">
        <is>
          <t>Desplegar un programa de divulgació i sensibilització per a visitants</t>
        </is>
      </c>
      <c r="N338" s="11" t="inlineStr">
        <is>
          <t>Comú</t>
        </is>
      </c>
      <c r="O338" s="11" t="inlineStr">
        <is>
          <t>Optatiu</t>
        </is>
      </c>
      <c r="P338" s="11" t="inlineStr">
        <is>
          <t>Si</t>
        </is>
      </c>
      <c r="Q338" s="11" t="inlineStr">
        <is>
          <t>13.4.2 · Realitzar activitats accessibles del projecte "Tothom és Parc" — Número activitats realitzades</t>
        </is>
      </c>
    </row>
    <row r="339">
      <c r="A339" s="11" t="inlineStr">
        <is>
          <t>6. Educació, voluntariat i comunicació</t>
        </is>
      </c>
      <c r="B339" s="11" t="inlineStr">
        <is>
          <t>13.4.2</t>
        </is>
      </c>
      <c r="C339" s="11" t="inlineStr">
        <is>
          <t>Adaptar el programa de divulgació i sensibilització de l'ENP perquè incorpori una oferta d’activitats adequada per a famílies</t>
        </is>
      </c>
      <c r="D339" s="11" t="inlineStr">
        <is>
          <t>Adaptar el programa de divulgació i sensibilització de l'ENP perquè incorpori una oferta d’activitats adequada per a famílies i altres perfils</t>
        </is>
      </c>
      <c r="E339" s="11" t="inlineStr">
        <is>
          <t>Realització de Jornades Micològiques per divulgar la diversitat fúngica del Parc i les bones pautes de comportament per boletaires</t>
        </is>
      </c>
      <c r="F339" s="11" t="inlineStr">
        <is>
          <t>Número activitats realitzades</t>
        </is>
      </c>
      <c r="G339" s="11" t="n">
        <v>4</v>
      </c>
      <c r="H339" s="11" t="n">
        <v>8</v>
      </c>
      <c r="I339" s="11" t="inlineStr">
        <is>
          <t>MITJANA</t>
        </is>
      </c>
      <c r="J339" s="11" t="inlineStr">
        <is>
          <t>Us Public</t>
        </is>
      </c>
      <c r="K339" s="11" t="inlineStr">
        <is>
          <t>Moi</t>
        </is>
      </c>
      <c r="L339" s="11" t="inlineStr">
        <is>
          <t>FORMAR I SENSIBILITZAR la població incrementant la valoració i estima social de l'ENP</t>
        </is>
      </c>
      <c r="M339" s="11" t="inlineStr">
        <is>
          <t>Desplegar un programa de divulgació i sensibilització per a visitants</t>
        </is>
      </c>
      <c r="N339" s="11" t="inlineStr">
        <is>
          <t>Comú</t>
        </is>
      </c>
      <c r="O339" s="11" t="inlineStr">
        <is>
          <t>Optatiu</t>
        </is>
      </c>
      <c r="P339" s="11" t="inlineStr">
        <is>
          <t>Si</t>
        </is>
      </c>
      <c r="Q339" s="11" t="inlineStr">
        <is>
          <t>13.4.2 · Realització de Jornades Micològiques per divulgar la diversitat fúngica del Parc i les bones pautes de comportament per boletaires — Número activitats realitzades</t>
        </is>
      </c>
    </row>
    <row r="340">
      <c r="A340" s="11" t="inlineStr">
        <is>
          <t>6. Educació, voluntariat i comunicació</t>
        </is>
      </c>
      <c r="B340" s="11" t="inlineStr">
        <is>
          <t>13.4.3</t>
        </is>
      </c>
      <c r="C340" s="11" t="inlineStr">
        <is>
          <t>Adaptar el programa de divulgació i sensibilització de l'ENP perquè incorpori una oferta d’activitats adequada per a altres perfils</t>
        </is>
      </c>
      <c r="D340" s="11" t="inlineStr">
        <is>
          <t>Adaptar el programa de divulgació i sensibilització de l'ENP perquè incorpori una oferta d’activitats adequada per a altres perfils</t>
        </is>
      </c>
      <c r="E340" s="11" t="inlineStr"/>
      <c r="F340" s="11" t="inlineStr"/>
      <c r="G340" s="11" t="n"/>
      <c r="H340" s="11" t="n"/>
      <c r="I340" s="11" t="inlineStr"/>
      <c r="J340" s="11" t="inlineStr"/>
      <c r="K340" s="11" t="inlineStr"/>
      <c r="L340" s="11" t="inlineStr">
        <is>
          <t>FORMAR I SENSIBILITZAR la població incrementant la valoració i estima social de l'ENP</t>
        </is>
      </c>
      <c r="M340" s="11" t="inlineStr">
        <is>
          <t>Desplegar un programa de divulgació i sensibilització per a visitants</t>
        </is>
      </c>
      <c r="N340" s="11" t="inlineStr">
        <is>
          <t>Comú</t>
        </is>
      </c>
      <c r="O340" s="11" t="inlineStr">
        <is>
          <t>Optatiu</t>
        </is>
      </c>
      <c r="P340" s="11" t="inlineStr"/>
      <c r="Q340" s="11" t="inlineStr">
        <is>
          <t>13.4.3 · (cap acció definida al Pla)</t>
        </is>
      </c>
    </row>
    <row r="341">
      <c r="A341" s="11" t="inlineStr">
        <is>
          <t>6. Educació, voluntariat i comunicació</t>
        </is>
      </c>
      <c r="B341" s="11" t="inlineStr">
        <is>
          <t>13.4.4</t>
        </is>
      </c>
      <c r="C341" s="11" t="inlineStr">
        <is>
          <t>Adaptar el programa de divulgació i sensibilització de l'ENP perquè incorpori una oferta d’activitats dirigida al lleure educatiu</t>
        </is>
      </c>
      <c r="D341" s="11" t="inlineStr">
        <is>
          <t>Adaptar el programa de divulgació i sensibilització de l'ENP perquè incorpori una oferta d’activitats dirigida al lleure educatiu</t>
        </is>
      </c>
      <c r="E341" s="11" t="inlineStr">
        <is>
          <t>Establiment de vincles entre entitats que realitzen campaments i estades al Parc i l’activitat d’EiVA del Parc (Campaments amb empremta positiva).</t>
        </is>
      </c>
      <c r="F341" s="11" t="inlineStr">
        <is>
          <t>Número reunions amb entitats de lleure</t>
        </is>
      </c>
      <c r="G341" s="11" t="n">
        <v>2</v>
      </c>
      <c r="H341" s="11" t="n">
        <v>4</v>
      </c>
      <c r="I341" s="11" t="inlineStr">
        <is>
          <t>ALTA</t>
        </is>
      </c>
      <c r="J341" s="11" t="inlineStr">
        <is>
          <t>Ús Públic</t>
        </is>
      </c>
      <c r="K341" s="11" t="inlineStr">
        <is>
          <t>Núria</t>
        </is>
      </c>
      <c r="L341" s="11" t="inlineStr">
        <is>
          <t>FORMAR I SENSIBILITZAR la població incrementant la valoració i estima social de l'ENP</t>
        </is>
      </c>
      <c r="M341" s="11" t="inlineStr">
        <is>
          <t>Desplegar un programa de divulgació i sensibilització per a visitants</t>
        </is>
      </c>
      <c r="N341" s="11" t="inlineStr">
        <is>
          <t>Comú</t>
        </is>
      </c>
      <c r="O341" s="11" t="inlineStr">
        <is>
          <t>Optatiu</t>
        </is>
      </c>
      <c r="P341" s="11" t="inlineStr">
        <is>
          <t>Si</t>
        </is>
      </c>
      <c r="Q341" s="11" t="inlineStr">
        <is>
          <t>13.4.4 · Establiment de vincles entre entitats que realitzen campaments i estades al Parc i l’activitat d’EiVA del Parc (Campaments amb empremta positiva). — Número reunions amb entitats de lleure</t>
        </is>
      </c>
    </row>
    <row r="342">
      <c r="A342" s="11" t="inlineStr">
        <is>
          <t>6. Educació, voluntariat i comunicació</t>
        </is>
      </c>
      <c r="B342" s="11" t="inlineStr">
        <is>
          <t>13.4.4</t>
        </is>
      </c>
      <c r="C342" s="11" t="inlineStr">
        <is>
          <t>Adaptar el programa de divulgació i sensibilització de l'ENP perquè incorpori una oferta d’activitats dirigida al lleure educatiu</t>
        </is>
      </c>
      <c r="D342" s="11" t="inlineStr">
        <is>
          <t>Adaptar el programa de divulgació i sensibilització de l'ENP perquè incorpori una oferta d’activitats dirigida al lleure educatiu</t>
        </is>
      </c>
      <c r="E342" s="11" t="inlineStr">
        <is>
          <t>Realització activitats d'educació ambiental als campaments i estades</t>
        </is>
      </c>
      <c r="F342" s="11" t="inlineStr">
        <is>
          <t>Número d'activitats realitzades als campaments</t>
        </is>
      </c>
      <c r="G342" s="11" t="n">
        <v>4</v>
      </c>
      <c r="H342" s="11" t="n">
        <v>12</v>
      </c>
      <c r="I342" s="11" t="inlineStr">
        <is>
          <t>MITJANA</t>
        </is>
      </c>
      <c r="J342" s="11" t="inlineStr">
        <is>
          <t>Ús Públic</t>
        </is>
      </c>
      <c r="K342" s="11" t="inlineStr">
        <is>
          <t>Núria</t>
        </is>
      </c>
      <c r="L342" s="11" t="inlineStr">
        <is>
          <t>FORMAR I SENSIBILITZAR la població incrementant la valoració i estima social de l'ENP</t>
        </is>
      </c>
      <c r="M342" s="11" t="inlineStr">
        <is>
          <t>Desplegar un programa de divulgació i sensibilització per a visitants</t>
        </is>
      </c>
      <c r="N342" s="11" t="inlineStr">
        <is>
          <t>Comú</t>
        </is>
      </c>
      <c r="O342" s="11" t="inlineStr">
        <is>
          <t>Optatiu</t>
        </is>
      </c>
      <c r="P342" s="11" t="inlineStr">
        <is>
          <t>Si</t>
        </is>
      </c>
      <c r="Q342" s="11" t="inlineStr">
        <is>
          <t>13.4.4 · Realització activitats d'educació ambiental als campaments i estades — Número d'activitats realitzades als campaments</t>
        </is>
      </c>
    </row>
    <row r="343">
      <c r="A343" s="11" t="inlineStr">
        <is>
          <t>6. Educació, voluntariat i comunicació</t>
        </is>
      </c>
      <c r="B343" s="11" t="inlineStr">
        <is>
          <t>13.4.4</t>
        </is>
      </c>
      <c r="C343" s="11" t="inlineStr">
        <is>
          <t>Adaptar el programa de divulgació i sensibilització de l'ENP perquè incorpori una oferta d’activitats dirigida al lleure educatiu</t>
        </is>
      </c>
      <c r="D343" s="11" t="inlineStr">
        <is>
          <t>Adaptar el programa de divulgació i sensibilització de l'ENP perquè incorpori una oferta d’activitats dirigida al lleure educatiu</t>
        </is>
      </c>
      <c r="E343" s="11" t="inlineStr">
        <is>
          <t>Coordinació amb l'agencia catalana de joventut per coordinar accions</t>
        </is>
      </c>
      <c r="F343" s="11" t="inlineStr">
        <is>
          <t>Número reunions</t>
        </is>
      </c>
      <c r="G343" s="11" t="n">
        <v>1</v>
      </c>
      <c r="H343" s="11" t="n">
        <v>4</v>
      </c>
      <c r="I343" s="11" t="inlineStr">
        <is>
          <t>MITJANA</t>
        </is>
      </c>
      <c r="J343" s="11" t="inlineStr">
        <is>
          <t>Ús Públic</t>
        </is>
      </c>
      <c r="K343" s="11" t="inlineStr">
        <is>
          <t>Núria</t>
        </is>
      </c>
      <c r="L343" s="11" t="inlineStr">
        <is>
          <t>FORMAR I SENSIBILITZAR la població incrementant la valoració i estima social de l'ENP</t>
        </is>
      </c>
      <c r="M343" s="11" t="inlineStr">
        <is>
          <t>Desplegar un programa de divulgació i sensibilització per a visitants</t>
        </is>
      </c>
      <c r="N343" s="11" t="inlineStr">
        <is>
          <t>Comú</t>
        </is>
      </c>
      <c r="O343" s="11" t="inlineStr">
        <is>
          <t>Optatiu</t>
        </is>
      </c>
      <c r="P343" s="11" t="inlineStr">
        <is>
          <t>Si</t>
        </is>
      </c>
      <c r="Q343" s="11" t="inlineStr">
        <is>
          <t>13.4.4 · Coordinació amb l'agencia catalana de joventut per coordinar accions — Número reunions</t>
        </is>
      </c>
    </row>
    <row r="344">
      <c r="A344" s="11" t="inlineStr">
        <is>
          <t>6. Educació, voluntariat i comunicació</t>
        </is>
      </c>
      <c r="B344" s="11" t="inlineStr">
        <is>
          <t>13.5.1</t>
        </is>
      </c>
      <c r="C344" s="11" t="inlineStr">
        <is>
          <t>Identificar col·lectius estratègics implicats en la gestió i l'ús del territori</t>
        </is>
      </c>
      <c r="D344" s="11" t="inlineStr">
        <is>
          <t>Identificar col·lectius estratègics implicats en la gestió i l'ús del territori</t>
        </is>
      </c>
      <c r="E344" s="11" t="inlineStr">
        <is>
          <t>Generar una BBDD amb els col·lectius estratègics del territori.</t>
        </is>
      </c>
      <c r="F344" s="11" t="inlineStr">
        <is>
          <t>Número contactes de la BBDD</t>
        </is>
      </c>
      <c r="G344" s="11" t="n">
        <v>15</v>
      </c>
      <c r="H344" s="11" t="n">
        <v>30</v>
      </c>
      <c r="I344" s="11" t="inlineStr">
        <is>
          <t>MÀXIMA</t>
        </is>
      </c>
      <c r="J344" s="11" t="inlineStr">
        <is>
          <t>Ús Públic</t>
        </is>
      </c>
      <c r="K344" s="11" t="inlineStr">
        <is>
          <t>Moi</t>
        </is>
      </c>
      <c r="L344" s="11" t="inlineStr">
        <is>
          <t>FORMAR I SENSIBILITZAR la població incrementant la valoració i estima social de l'ENP</t>
        </is>
      </c>
      <c r="M344" s="11" t="inlineStr">
        <is>
          <t>Desplegar un programa de sensibilització i formació per als col·lectius del territori estratègics en la conservació de la natura</t>
        </is>
      </c>
      <c r="N344" s="11" t="inlineStr">
        <is>
          <t>Comú</t>
        </is>
      </c>
      <c r="O344" s="11" t="inlineStr">
        <is>
          <t>Obligatori</t>
        </is>
      </c>
      <c r="P344" s="11" t="inlineStr">
        <is>
          <t>Si</t>
        </is>
      </c>
      <c r="Q344" s="11" t="inlineStr">
        <is>
          <t>13.5.1 · Generar una BBDD amb els col·lectius estratègics del territori. — Número contactes de la BBDD</t>
        </is>
      </c>
    </row>
    <row r="345">
      <c r="A345" s="11" t="inlineStr">
        <is>
          <t>6. Educació, voluntariat i comunicació</t>
        </is>
      </c>
      <c r="B345" s="11" t="inlineStr">
        <is>
          <t>13.5.2</t>
        </is>
      </c>
      <c r="C345" s="11" t="inlineStr">
        <is>
          <t>Executar els projectes de sensibilització i formació dirigits al sector turístic, esportiu i de lleure</t>
        </is>
      </c>
      <c r="D345" s="11" t="inlineStr">
        <is>
          <t>Executar els projectes de sensibilització i formació dirigits al sector esportiu i de lleure</t>
        </is>
      </c>
      <c r="E345" s="11" t="inlineStr">
        <is>
          <t>Realitzar càpsules informatives/divuLgatives dels valors i la normativa del Parc en actes i/o proves esportives</t>
        </is>
      </c>
      <c r="F345" s="11" t="inlineStr">
        <is>
          <t>Número càpsules realitzades</t>
        </is>
      </c>
      <c r="G345" s="11" t="n">
        <v>1</v>
      </c>
      <c r="H345" s="11" t="n">
        <v>4</v>
      </c>
      <c r="I345" s="11" t="inlineStr">
        <is>
          <t>ALTA</t>
        </is>
      </c>
      <c r="J345" s="11" t="inlineStr">
        <is>
          <t>Ús Públic</t>
        </is>
      </c>
      <c r="K345" s="11" t="inlineStr">
        <is>
          <t>Núria</t>
        </is>
      </c>
      <c r="L345" s="11" t="inlineStr">
        <is>
          <t>FORMAR I SENSIBILITZAR la població incrementant la valoració i estima social de l'ENP</t>
        </is>
      </c>
      <c r="M345" s="11" t="inlineStr">
        <is>
          <t>Desplegar un programa de sensibilització i formació per als col·lectius del territori estratègics en la conservació de la natura</t>
        </is>
      </c>
      <c r="N345" s="11" t="inlineStr">
        <is>
          <t>Comú</t>
        </is>
      </c>
      <c r="O345" s="11" t="inlineStr">
        <is>
          <t>Optatiu</t>
        </is>
      </c>
      <c r="P345" s="11" t="inlineStr">
        <is>
          <t>Si</t>
        </is>
      </c>
      <c r="Q345" s="11" t="inlineStr">
        <is>
          <t>13.5.2 · Realitzar càpsules informatives/divuLgatives dels valors i la normativa del Parc en actes i/o proves esportives — Número càpsules realitzades</t>
        </is>
      </c>
    </row>
    <row r="346">
      <c r="A346" s="11" t="inlineStr">
        <is>
          <t>6. Educació, voluntariat i comunicació</t>
        </is>
      </c>
      <c r="B346" s="11" t="inlineStr">
        <is>
          <t>13.5.2</t>
        </is>
      </c>
      <c r="C346" s="11" t="inlineStr">
        <is>
          <t>Executar els projectes de sensibilització i formació dirigits al sector turístic, esportiu i de lleure</t>
        </is>
      </c>
      <c r="D346" s="11" t="inlineStr">
        <is>
          <t>Executar els projectes de sensibilització i formació dirigits al sector esportiu i de lleure</t>
        </is>
      </c>
      <c r="E346" s="11" t="inlineStr">
        <is>
          <t>Fomentar l'acreditació de curses de muntanya amb certificació ambiental (catalana o espanyola)</t>
        </is>
      </c>
      <c r="F346" s="11" t="inlineStr">
        <is>
          <t>Número de curses acreditades</t>
        </is>
      </c>
      <c r="G346" s="11" t="n">
        <v>1</v>
      </c>
      <c r="H346" s="11" t="n">
        <v>4</v>
      </c>
      <c r="I346" s="11" t="inlineStr">
        <is>
          <t>MITJANA</t>
        </is>
      </c>
      <c r="J346" s="11" t="inlineStr">
        <is>
          <t>Direcció</t>
        </is>
      </c>
      <c r="K346" s="11" t="inlineStr">
        <is>
          <t>Marc</t>
        </is>
      </c>
      <c r="L346" s="11" t="inlineStr">
        <is>
          <t>FORMAR I SENSIBILITZAR la població incrementant la valoració i estima social de l'ENP</t>
        </is>
      </c>
      <c r="M346" s="11" t="inlineStr">
        <is>
          <t>Desplegar un programa de sensibilització i formació per als col·lectius del territori estratègics en la conservació de la natura</t>
        </is>
      </c>
      <c r="N346" s="11" t="inlineStr">
        <is>
          <t>Comú</t>
        </is>
      </c>
      <c r="O346" s="11" t="inlineStr">
        <is>
          <t>Optatiu</t>
        </is>
      </c>
      <c r="P346" s="11" t="inlineStr">
        <is>
          <t>Si</t>
        </is>
      </c>
      <c r="Q346" s="11" t="inlineStr">
        <is>
          <t>13.5.2 · Fomentar l'acreditació de curses de muntanya amb certificació ambiental (catalana o espanyola) — Número de curses acreditades</t>
        </is>
      </c>
    </row>
    <row r="347">
      <c r="A347" s="11" t="inlineStr">
        <is>
          <t>6. Educació, voluntariat i comunicació</t>
        </is>
      </c>
      <c r="B347" s="11" t="inlineStr">
        <is>
          <t>13.5.3</t>
        </is>
      </c>
      <c r="C347" s="11" t="inlineStr">
        <is>
          <t>Executar els projectes de sensibilització i formació dirigits als agents de lleure educatiu</t>
        </is>
      </c>
      <c r="D347" s="11" t="inlineStr">
        <is>
          <t>Executar els projectes de sensibilització i formació dirigits als agents de lleure educatiu</t>
        </is>
      </c>
      <c r="E347" s="11" t="inlineStr"/>
      <c r="F347" s="11" t="inlineStr"/>
      <c r="G347" s="11" t="n"/>
      <c r="H347" s="11" t="n"/>
      <c r="I347" s="11" t="inlineStr"/>
      <c r="J347" s="11" t="inlineStr"/>
      <c r="K347" s="11" t="inlineStr"/>
      <c r="L347" s="11" t="inlineStr">
        <is>
          <t>FORMAR I SENSIBILITZAR la població incrementant la valoració i estima social de l'ENP</t>
        </is>
      </c>
      <c r="M347" s="11" t="inlineStr">
        <is>
          <t>Desplegar un programa de sensibilització i formació per als col·lectius del territori estratègics en la conservació de la natura</t>
        </is>
      </c>
      <c r="N347" s="11" t="inlineStr">
        <is>
          <t>Comú</t>
        </is>
      </c>
      <c r="O347" s="11" t="inlineStr">
        <is>
          <t>Optatiu</t>
        </is>
      </c>
      <c r="P347" s="11" t="inlineStr"/>
      <c r="Q347" s="11" t="inlineStr">
        <is>
          <t>13.5.3 · (cap acció definida al Pla)</t>
        </is>
      </c>
    </row>
    <row r="348">
      <c r="A348" s="11" t="inlineStr">
        <is>
          <t>6. Educació, voluntariat i comunicació</t>
        </is>
      </c>
      <c r="B348" s="11" t="inlineStr">
        <is>
          <t>13.5.4</t>
        </is>
      </c>
      <c r="C348" s="11" t="inlineStr">
        <is>
          <t>Executar els projectes de sensibilització i formació dirigits als agents del sector primari</t>
        </is>
      </c>
      <c r="D348" s="11" t="inlineStr">
        <is>
          <t>Executar els projectes de sensibilització i formació dirigits als agents del sector primari</t>
        </is>
      </c>
      <c r="E348" s="11" t="inlineStr">
        <is>
          <t>Desenvolupar el projecte "De l'estudi al tros"</t>
        </is>
      </c>
      <c r="F348" s="11" t="inlineStr">
        <is>
          <t>Número activitats realitzades</t>
        </is>
      </c>
      <c r="G348" s="11" t="n">
        <v>4</v>
      </c>
      <c r="H348" s="11" t="n">
        <v>16</v>
      </c>
      <c r="I348" s="11" t="inlineStr">
        <is>
          <t>MITJANA</t>
        </is>
      </c>
      <c r="J348" s="11" t="inlineStr">
        <is>
          <t>Ús Públic</t>
        </is>
      </c>
      <c r="K348" s="11" t="inlineStr">
        <is>
          <t>Núria</t>
        </is>
      </c>
      <c r="L348" s="11" t="inlineStr">
        <is>
          <t>FORMAR I SENSIBILITZAR la població incrementant la valoració i estima social de l'ENP</t>
        </is>
      </c>
      <c r="M348" s="11" t="inlineStr">
        <is>
          <t>Desplegar un programa de sensibilització i formació per als col·lectius del territori estratègics en la conservació de la natura</t>
        </is>
      </c>
      <c r="N348" s="11" t="inlineStr">
        <is>
          <t>Comú</t>
        </is>
      </c>
      <c r="O348" s="11" t="inlineStr">
        <is>
          <t>Optatiu</t>
        </is>
      </c>
      <c r="P348" s="11" t="inlineStr">
        <is>
          <t>Si</t>
        </is>
      </c>
      <c r="Q348" s="11" t="inlineStr">
        <is>
          <t>13.5.4 · Desenvolupar el projecte "De l'estudi al tros" — Número activitats realitzades</t>
        </is>
      </c>
    </row>
    <row r="349">
      <c r="A349" s="11" t="inlineStr">
        <is>
          <t>6. Educació, voluntariat i comunicació</t>
        </is>
      </c>
      <c r="B349" s="11" t="inlineStr">
        <is>
          <t>13.5.4</t>
        </is>
      </c>
      <c r="C349" s="11" t="inlineStr">
        <is>
          <t>Executar els projectes de sensibilització i formació dirigits als agents del sector primari</t>
        </is>
      </c>
      <c r="D349" s="11" t="inlineStr">
        <is>
          <t>Executar els projectes de sensibilització i formació dirigits als agents del sector primari</t>
        </is>
      </c>
      <c r="E349" s="11" t="inlineStr">
        <is>
          <t>Realització de formacions de conservació dirigides al sector primari</t>
        </is>
      </c>
      <c r="F349" s="11" t="inlineStr">
        <is>
          <t>Número de formacions realitzades</t>
        </is>
      </c>
      <c r="G349" s="11" t="n">
        <v>2</v>
      </c>
      <c r="H349" s="11" t="n">
        <v>6</v>
      </c>
      <c r="I349" s="11" t="inlineStr">
        <is>
          <t>MITJANA</t>
        </is>
      </c>
      <c r="J349" s="11" t="inlineStr">
        <is>
          <t>Observatori</t>
        </is>
      </c>
      <c r="K349" s="11" t="inlineStr">
        <is>
          <t>Oriol</t>
        </is>
      </c>
      <c r="L349" s="11" t="inlineStr">
        <is>
          <t>FORMAR I SENSIBILITZAR la població incrementant la valoració i estima social de l'ENP</t>
        </is>
      </c>
      <c r="M349" s="11" t="inlineStr">
        <is>
          <t>Desplegar un programa de sensibilització i formació per als col·lectius del territori estratègics en la conservació de la natura</t>
        </is>
      </c>
      <c r="N349" s="11" t="inlineStr">
        <is>
          <t>Comú</t>
        </is>
      </c>
      <c r="O349" s="11" t="inlineStr">
        <is>
          <t>Optatiu</t>
        </is>
      </c>
      <c r="P349" s="11" t="inlineStr">
        <is>
          <t>Si</t>
        </is>
      </c>
      <c r="Q349" s="11" t="inlineStr">
        <is>
          <t>13.5.4 · Realització de formacions de conservació dirigides al sector primari — Número de formacions realitzades</t>
        </is>
      </c>
    </row>
    <row r="350">
      <c r="A350" s="11" t="inlineStr">
        <is>
          <t>6. Educació, voluntariat i comunicació</t>
        </is>
      </c>
      <c r="B350" s="11" t="inlineStr">
        <is>
          <t>13.5.5</t>
        </is>
      </c>
      <c r="C350" s="11" t="inlineStr">
        <is>
          <t>Elaborar i renovar periòdicament un programa d’educació ambiental adreçat a la població local que contribueixi a fomentar el sentiment de pertinença i la implicació en la conservació de l'ENP.</t>
        </is>
      </c>
      <c r="D350" s="11" t="inlineStr">
        <is>
          <t>Elaborar i renovar periòdicament un programa d’educació ambiental adreçat a la població local que contribueixi a fomentar el sentiment de pertinença i la implicació en la conservació de l'ENP.</t>
        </is>
      </c>
      <c r="E350" s="11" t="inlineStr">
        <is>
          <t>Promocionar els reptes de l'Agenda dels Pirineus</t>
        </is>
      </c>
      <c r="F350" s="11" t="inlineStr">
        <is>
          <t>Accions de promoció</t>
        </is>
      </c>
      <c r="G350" s="11" t="n">
        <v>1</v>
      </c>
      <c r="H350" s="11" t="n">
        <v>4</v>
      </c>
      <c r="I350" s="11" t="inlineStr">
        <is>
          <t>MÀXIMA</t>
        </is>
      </c>
      <c r="J350" s="11" t="inlineStr">
        <is>
          <t>Ús Públic</t>
        </is>
      </c>
      <c r="K350" s="11" t="inlineStr">
        <is>
          <t>Moi</t>
        </is>
      </c>
      <c r="L350" s="11" t="inlineStr">
        <is>
          <t>FORMAR I SENSIBILITZAR la població incrementant la valoració i estima social de l'ENP</t>
        </is>
      </c>
      <c r="M350" s="11" t="inlineStr">
        <is>
          <t>Desplegar un programa de sensibilització i formació per als col·lectius del territori estratègics en la conservació de la natura</t>
        </is>
      </c>
      <c r="N350" s="11" t="inlineStr">
        <is>
          <t>Comú</t>
        </is>
      </c>
      <c r="O350" s="11" t="inlineStr">
        <is>
          <t>Obligatori</t>
        </is>
      </c>
      <c r="P350" s="11" t="inlineStr">
        <is>
          <t>Si</t>
        </is>
      </c>
      <c r="Q350" s="11" t="inlineStr">
        <is>
          <t>13.5.5 · Promocionar els reptes de l'Agenda dels Pirineus — Accions de promoció</t>
        </is>
      </c>
    </row>
    <row r="351">
      <c r="A351" s="11" t="inlineStr">
        <is>
          <t>6. Educació, voluntariat i comunicació</t>
        </is>
      </c>
      <c r="B351" s="11" t="inlineStr">
        <is>
          <t>13.5.5</t>
        </is>
      </c>
      <c r="C351" s="11" t="inlineStr">
        <is>
          <t>Elaborar i renovar periòdicament un programa d’educació ambiental adreçat a la població local que contribueixi a fomentar el sentiment de pertinença i la implicació en la conservació de l'ENP.</t>
        </is>
      </c>
      <c r="D351" s="11" t="inlineStr">
        <is>
          <t>Elaborar i renovar periòdicament un programa d’educació ambiental adreçat a la població local que contribueixi a fomentar el sentiment de pertinença i la implicació en la conservació de l'ENP.</t>
        </is>
      </c>
      <c r="E351" s="11" t="inlineStr">
        <is>
          <t>Realització i suport a activitats de la Taula de Voluntariat i altres que contribueixin a fomentar el sentiment de pertinença i la implicació en la conservació de l'ENP</t>
        </is>
      </c>
      <c r="F351" s="11" t="inlineStr">
        <is>
          <t>Número participants locals a les activitats de voluntariat</t>
        </is>
      </c>
      <c r="G351" s="11" t="n">
        <v>25</v>
      </c>
      <c r="H351" s="11" t="n">
        <v>150</v>
      </c>
      <c r="I351" s="11" t="inlineStr">
        <is>
          <t>ALTA</t>
        </is>
      </c>
      <c r="J351" s="11" t="inlineStr">
        <is>
          <t>Ús Públic</t>
        </is>
      </c>
      <c r="K351" s="11" t="inlineStr">
        <is>
          <t>Núria</t>
        </is>
      </c>
      <c r="L351" s="11" t="inlineStr">
        <is>
          <t>FORMAR I SENSIBILITZAR la població incrementant la valoració i estima social de l'ENP</t>
        </is>
      </c>
      <c r="M351" s="11" t="inlineStr">
        <is>
          <t>Desplegar un programa de sensibilització i formació per als col·lectius del territori estratègics en la conservació de la natura</t>
        </is>
      </c>
      <c r="N351" s="11" t="inlineStr">
        <is>
          <t>Comú</t>
        </is>
      </c>
      <c r="O351" s="11" t="inlineStr">
        <is>
          <t>Obligatori</t>
        </is>
      </c>
      <c r="P351" s="11" t="inlineStr">
        <is>
          <t>Si</t>
        </is>
      </c>
      <c r="Q351" s="11" t="inlineStr">
        <is>
          <t>13.5.5 · Realització i suport a activitats de la Taula de Voluntariat i altres que contribueixin a fomentar el sentiment de pertinença i la implicació en la co — Número participants locals a les activitats de voluntariat</t>
        </is>
      </c>
    </row>
    <row r="352">
      <c r="A352" s="11" t="inlineStr">
        <is>
          <t>6. Educació, voluntariat i comunicació</t>
        </is>
      </c>
      <c r="B352" s="11" t="inlineStr">
        <is>
          <t>13.5.5</t>
        </is>
      </c>
      <c r="C352" s="11" t="inlineStr">
        <is>
          <t>Elaborar i renovar periòdicament un programa d’educació ambiental adreçat a la població local que contribueixi a fomentar el sentiment de pertinença i la implicació en la conservació de l'ENP.</t>
        </is>
      </c>
      <c r="D352" s="11" t="inlineStr">
        <is>
          <t>Elaborar i renovar periòdicament un programa d’educació ambiental adreçat a la població local que contribueixi a fomentar el sentiment de pertinença i la implicació en la conservació de l'ENP.</t>
        </is>
      </c>
      <c r="E352" s="11" t="inlineStr">
        <is>
          <t>Donar suport a la nova Associació de persones amigues del Parc Natural de l'Alt Pirineu per a la realització d'activitats i accions</t>
        </is>
      </c>
      <c r="F352" s="11" t="inlineStr">
        <is>
          <t>Número d'accions/activitats a les que s'ha donat suport</t>
        </is>
      </c>
      <c r="G352" s="11" t="n">
        <v>4</v>
      </c>
      <c r="H352" s="11" t="n">
        <v>20</v>
      </c>
      <c r="I352" s="11" t="inlineStr">
        <is>
          <t>ALTA</t>
        </is>
      </c>
      <c r="J352" s="11" t="inlineStr">
        <is>
          <t>Direcció</t>
        </is>
      </c>
      <c r="K352" s="11" t="inlineStr">
        <is>
          <t>Marc</t>
        </is>
      </c>
      <c r="L352" s="11" t="inlineStr">
        <is>
          <t>FORMAR I SENSIBILITZAR la població incrementant la valoració i estima social de l'ENP</t>
        </is>
      </c>
      <c r="M352" s="11" t="inlineStr">
        <is>
          <t>Desplegar un programa de sensibilització i formació per als col·lectius del territori estratègics en la conservació de la natura</t>
        </is>
      </c>
      <c r="N352" s="11" t="inlineStr">
        <is>
          <t>Comú</t>
        </is>
      </c>
      <c r="O352" s="11" t="inlineStr">
        <is>
          <t>Obligatori</t>
        </is>
      </c>
      <c r="P352" s="11" t="inlineStr">
        <is>
          <t>Si</t>
        </is>
      </c>
      <c r="Q352" s="11" t="inlineStr">
        <is>
          <t>13.5.5 · Donar suport a la nova Associació de persones amigues del Parc Natural de l'Alt Pirineu per a la realització d'activitats i accions — Número d'accions/activitats a les que s'ha donat suport</t>
        </is>
      </c>
    </row>
    <row r="353">
      <c r="A353" s="11" t="inlineStr">
        <is>
          <t>6. Educació, voluntariat i comunicació</t>
        </is>
      </c>
      <c r="B353" s="11" t="inlineStr">
        <is>
          <t>13.5.5</t>
        </is>
      </c>
      <c r="C353" s="11" t="inlineStr">
        <is>
          <t>Elaborar i renovar periòdicament un programa d’educació ambiental adreçat a la població local que contribueixi a fomentar el sentiment de pertinença i la implicació en la conservació de l'ENP.</t>
        </is>
      </c>
      <c r="D353" s="11" t="inlineStr">
        <is>
          <t>Elaborar i renovar periòdicament un programa d’educació ambiental adreçat a la població local que contribueixi a fomentar el sentiment de pertinença i la implicació en la conservació de l'ENP.</t>
        </is>
      </c>
      <c r="E353" s="11" t="inlineStr">
        <is>
          <t>Realització i suport a activitats i altres que contribueixin a fomentar el sentiment de pertinença de la població local (programa Vivim al Parc) i la implicació en la conservació de l'ENP</t>
        </is>
      </c>
      <c r="F353" s="11" t="inlineStr">
        <is>
          <t>Número d'accions/activitats a les que s'ha donat suport</t>
        </is>
      </c>
      <c r="G353" s="11" t="n">
        <v>4</v>
      </c>
      <c r="H353" s="11" t="n">
        <v>20</v>
      </c>
      <c r="I353" s="11" t="inlineStr">
        <is>
          <t>ALTA</t>
        </is>
      </c>
      <c r="J353" s="11" t="inlineStr"/>
      <c r="K353" s="11" t="inlineStr"/>
      <c r="L353" s="11" t="inlineStr">
        <is>
          <t>FORMAR I SENSIBILITZAR la població incrementant la valoració i estima social de l'ENP</t>
        </is>
      </c>
      <c r="M353" s="11" t="inlineStr">
        <is>
          <t>Desplegar un programa de sensibilització i formació per als col·lectius del territori estratègics en la conservació de la natura</t>
        </is>
      </c>
      <c r="N353" s="11" t="inlineStr">
        <is>
          <t>Comú</t>
        </is>
      </c>
      <c r="O353" s="11" t="inlineStr">
        <is>
          <t>Obligatori</t>
        </is>
      </c>
      <c r="P353" s="11" t="inlineStr">
        <is>
          <t>Si</t>
        </is>
      </c>
      <c r="Q353" s="11" t="inlineStr">
        <is>
          <t>13.5.5 · Realització i suport a activitats i altres que contribueixin a fomentar el sentiment de pertinença de la població local (programa Vivim al Parc) i la  — Número d'accions/activitats a les que s'ha donat suport</t>
        </is>
      </c>
    </row>
    <row r="354">
      <c r="A354" s="11" t="inlineStr">
        <is>
          <t>6. Educació, voluntariat i comunicació</t>
        </is>
      </c>
      <c r="B354" s="11" t="inlineStr">
        <is>
          <t>13.6.1</t>
        </is>
      </c>
      <c r="C354" s="11" t="inlineStr">
        <is>
          <t>Identificar els programes, projectes i accions en marxa o previstos a l’ENP que poden rebre el suport del voluntariat</t>
        </is>
      </c>
      <c r="D354" s="11" t="inlineStr">
        <is>
          <t>Identificar els programes, projectes i accions en marxa o previstos a l’ENP que poden rebre el suport del voluntariat</t>
        </is>
      </c>
      <c r="E354" s="11" t="inlineStr">
        <is>
          <t>Realitzar reunions periòdiques de les entitats de voluntariat amb equip de gestió per fer les propostes de possibles accions</t>
        </is>
      </c>
      <c r="F354" s="11" t="inlineStr">
        <is>
          <t>Número reunions de l'equip tècnic</t>
        </is>
      </c>
      <c r="G354" s="11" t="n">
        <v>2</v>
      </c>
      <c r="H354" s="11" t="n">
        <v>12</v>
      </c>
      <c r="I354" s="11" t="inlineStr">
        <is>
          <t>MÀXIMA</t>
        </is>
      </c>
      <c r="J354" s="11" t="inlineStr">
        <is>
          <t>Ús Públic</t>
        </is>
      </c>
      <c r="K354" s="11" t="inlineStr">
        <is>
          <t>Núria</t>
        </is>
      </c>
      <c r="L354" s="11" t="inlineStr">
        <is>
          <t>FORMAR I SENSIBILITZAR la població incrementant la valoració i estima social de l'ENP</t>
        </is>
      </c>
      <c r="M354" s="11" t="inlineStr">
        <is>
          <t>Fomentar accions de voluntariat per conservar el patrimoni natural i cultural</t>
        </is>
      </c>
      <c r="N354" s="11" t="inlineStr">
        <is>
          <t>Comú</t>
        </is>
      </c>
      <c r="O354" s="11" t="inlineStr">
        <is>
          <t>Obligatori</t>
        </is>
      </c>
      <c r="P354" s="11" t="inlineStr">
        <is>
          <t>Si</t>
        </is>
      </c>
      <c r="Q354" s="11" t="inlineStr">
        <is>
          <t>13.6.1 · Realitzar reunions periòdiques de les entitats de voluntariat amb equip de gestió per fer les propostes de possibles accions — Número reunions de l'equip tècnic</t>
        </is>
      </c>
    </row>
    <row r="355">
      <c r="A355" s="11" t="inlineStr">
        <is>
          <t>6. Educació, voluntariat i comunicació</t>
        </is>
      </c>
      <c r="B355" s="11" t="inlineStr">
        <is>
          <t>13.6.1</t>
        </is>
      </c>
      <c r="C355" s="11" t="inlineStr">
        <is>
          <t>Identificar els programes, projectes i accions en marxa o previstos a l’ENP que poden rebre el suport del voluntariat</t>
        </is>
      </c>
      <c r="D355" s="11" t="inlineStr">
        <is>
          <t>Identificar els programes, projectes i accions en marxa o previstos a l’ENP que poden rebre el suport del voluntariat</t>
        </is>
      </c>
      <c r="E355" s="11" t="inlineStr">
        <is>
          <t>Coordinació amb la secretaria de la Taula de Voluntariat del Pirineu Occidental</t>
        </is>
      </c>
      <c r="F355" s="11" t="inlineStr">
        <is>
          <t>Número activitats proposades des de l'ENP</t>
        </is>
      </c>
      <c r="G355" s="11" t="n">
        <v>1</v>
      </c>
      <c r="H355" s="11" t="n">
        <v>4</v>
      </c>
      <c r="I355" s="11" t="inlineStr">
        <is>
          <t>MITJANA</t>
        </is>
      </c>
      <c r="J355" s="11" t="inlineStr">
        <is>
          <t>Ús Públic</t>
        </is>
      </c>
      <c r="K355" s="11" t="inlineStr">
        <is>
          <t>Núria</t>
        </is>
      </c>
      <c r="L355" s="11" t="inlineStr">
        <is>
          <t>FORMAR I SENSIBILITZAR la població incrementant la valoració i estima social de l'ENP</t>
        </is>
      </c>
      <c r="M355" s="11" t="inlineStr">
        <is>
          <t>Fomentar accions de voluntariat per conservar el patrimoni natural i cultural</t>
        </is>
      </c>
      <c r="N355" s="11" t="inlineStr">
        <is>
          <t>Comú</t>
        </is>
      </c>
      <c r="O355" s="11" t="inlineStr">
        <is>
          <t>Obligatori</t>
        </is>
      </c>
      <c r="P355" s="11" t="inlineStr">
        <is>
          <t>Si</t>
        </is>
      </c>
      <c r="Q355" s="11" t="inlineStr">
        <is>
          <t>13.6.1 · Coordinació amb la secretaria de la Taula de Voluntariat del Pirineu Occidental — Número activitats proposades des de l'ENP</t>
        </is>
      </c>
    </row>
    <row r="356">
      <c r="A356" s="11" t="inlineStr">
        <is>
          <t>6. Educació, voluntariat i comunicació</t>
        </is>
      </c>
      <c r="B356" s="11" t="inlineStr">
        <is>
          <t>13.6.1</t>
        </is>
      </c>
      <c r="C356" s="11" t="inlineStr">
        <is>
          <t>Identificar els programes, projectes i accions en marxa o previstos a l’ENP que poden rebre el suport del voluntariat</t>
        </is>
      </c>
      <c r="D356" s="11" t="inlineStr">
        <is>
          <t>Identificar els programes, projectes i accions en marxa o previstos a l’ENP que poden rebre el suport del voluntariat</t>
        </is>
      </c>
      <c r="E356" s="11" t="inlineStr">
        <is>
          <t>Impulsar línies específiques de finançament (via subvencions, contractes públics o d’altres) per tal de finançar les iniciatives de voluntariat existents al parc (Iniciativa Rius, Mountain Calling, Projecte Boscos de Muntanya, Museu de Camins,..)</t>
        </is>
      </c>
      <c r="F356" s="11" t="inlineStr">
        <is>
          <t>Accions de voluntariat finançades</t>
        </is>
      </c>
      <c r="G356" s="11" t="n">
        <v>4</v>
      </c>
      <c r="H356" s="11" t="n">
        <v>16</v>
      </c>
      <c r="I356" s="11" t="inlineStr">
        <is>
          <t>ALTA</t>
        </is>
      </c>
      <c r="J356" s="11" t="inlineStr">
        <is>
          <t>Ús Públic</t>
        </is>
      </c>
      <c r="K356" s="11" t="inlineStr">
        <is>
          <t>Núria</t>
        </is>
      </c>
      <c r="L356" s="11" t="inlineStr">
        <is>
          <t>FORMAR I SENSIBILITZAR la població incrementant la valoració i estima social de l'ENP</t>
        </is>
      </c>
      <c r="M356" s="11" t="inlineStr">
        <is>
          <t>Fomentar accions de voluntariat per conservar el patrimoni natural i cultural</t>
        </is>
      </c>
      <c r="N356" s="11" t="inlineStr">
        <is>
          <t>Comú</t>
        </is>
      </c>
      <c r="O356" s="11" t="inlineStr">
        <is>
          <t>Obligatori</t>
        </is>
      </c>
      <c r="P356" s="11" t="inlineStr">
        <is>
          <t>Si</t>
        </is>
      </c>
      <c r="Q356" s="11" t="inlineStr">
        <is>
          <t>13.6.1 · Impulsar línies específiques de finançament (via subvencions, contractes públics o d’altres) per tal de finançar les iniciatives de voluntariat existe — Accions de voluntariat finançades</t>
        </is>
      </c>
    </row>
    <row r="357">
      <c r="A357" s="11" t="inlineStr">
        <is>
          <t>6. Educació, voluntariat i comunicació</t>
        </is>
      </c>
      <c r="B357" s="11" t="inlineStr">
        <is>
          <t>13.6.2</t>
        </is>
      </c>
      <c r="C357" s="11" t="inlineStr">
        <is>
          <t>Establir un model de coordinació territorial amb agents clau del voluntariat ambiental</t>
        </is>
      </c>
      <c r="D357" s="11" t="inlineStr">
        <is>
          <t>Establir un model de coordinació territorial amb agents clau del voluntariat ambiental</t>
        </is>
      </c>
      <c r="E357" s="11" t="inlineStr">
        <is>
          <t>Elaboració i actualització periòdica del mapa d’agents de voluntariat que actuen a l’ENP, incloent entitats ambientals i altres entitats que participen en activitats de voluntariat ambiental</t>
        </is>
      </c>
      <c r="F357" s="11" t="inlineStr">
        <is>
          <t>Acció realitzada</t>
        </is>
      </c>
      <c r="G357" s="11" t="inlineStr">
        <is>
          <t>no</t>
        </is>
      </c>
      <c r="H357" s="11" t="inlineStr">
        <is>
          <t>si</t>
        </is>
      </c>
      <c r="I357" s="11" t="inlineStr">
        <is>
          <t>ALTA</t>
        </is>
      </c>
      <c r="J357" s="11" t="inlineStr">
        <is>
          <t>Ús Públic</t>
        </is>
      </c>
      <c r="K357" s="11" t="inlineStr">
        <is>
          <t>Núria</t>
        </is>
      </c>
      <c r="L357" s="11" t="inlineStr">
        <is>
          <t>FORMAR I SENSIBILITZAR la població incrementant la valoració i estima social de l'ENP</t>
        </is>
      </c>
      <c r="M357" s="11" t="inlineStr">
        <is>
          <t>Fomentar accions de voluntariat per conservar el patrimoni natural i cultural</t>
        </is>
      </c>
      <c r="N357" s="11" t="inlineStr">
        <is>
          <t>Comú</t>
        </is>
      </c>
      <c r="O357" s="11" t="inlineStr">
        <is>
          <t>Obligatori</t>
        </is>
      </c>
      <c r="P357" s="11" t="inlineStr">
        <is>
          <t>Si</t>
        </is>
      </c>
      <c r="Q357" s="11" t="inlineStr">
        <is>
          <t>13.6.2 · Elaboració i actualització periòdica del mapa d’agents de voluntariat que actuen a l’ENP, incloent entitats ambientals i altres entitats que participe — Acció realitzada</t>
        </is>
      </c>
    </row>
    <row r="358">
      <c r="A358" s="11" t="inlineStr">
        <is>
          <t>6. Educació, voluntariat i comunicació</t>
        </is>
      </c>
      <c r="B358" s="11" t="inlineStr">
        <is>
          <t>13.6.2</t>
        </is>
      </c>
      <c r="C358" s="11" t="inlineStr">
        <is>
          <t>Establir un model de coordinació territorial amb agents clau del voluntariat ambiental</t>
        </is>
      </c>
      <c r="D358" s="11" t="inlineStr">
        <is>
          <t>Establir un model de coordinació territorial amb agents clau del voluntariat ambiental</t>
        </is>
      </c>
      <c r="E358" s="11" t="inlineStr">
        <is>
          <t>Reunions periòdiques amb la Taula de Voluntariat del Pirineu Occidental per establir acords i col·laboracions i projectes conjunts</t>
        </is>
      </c>
      <c r="F358" s="11" t="inlineStr">
        <is>
          <t>Número reunions de la Taula realitzades</t>
        </is>
      </c>
      <c r="G358" s="11" t="n">
        <v>4</v>
      </c>
      <c r="H358" s="11" t="n">
        <v>8</v>
      </c>
      <c r="I358" s="11" t="inlineStr">
        <is>
          <t>ALTA</t>
        </is>
      </c>
      <c r="J358" s="11" t="inlineStr">
        <is>
          <t>Ús Públic</t>
        </is>
      </c>
      <c r="K358" s="11" t="inlineStr">
        <is>
          <t>Núria</t>
        </is>
      </c>
      <c r="L358" s="11" t="inlineStr">
        <is>
          <t>FORMAR I SENSIBILITZAR la població incrementant la valoració i estima social de l'ENP</t>
        </is>
      </c>
      <c r="M358" s="11" t="inlineStr">
        <is>
          <t>Fomentar accions de voluntariat per conservar el patrimoni natural i cultural</t>
        </is>
      </c>
      <c r="N358" s="11" t="inlineStr">
        <is>
          <t>Comú</t>
        </is>
      </c>
      <c r="O358" s="11" t="inlineStr">
        <is>
          <t>Obligatori</t>
        </is>
      </c>
      <c r="P358" s="11" t="inlineStr">
        <is>
          <t>Si</t>
        </is>
      </c>
      <c r="Q358" s="11" t="inlineStr">
        <is>
          <t>13.6.2 · Reunions periòdiques amb la Taula de Voluntariat del Pirineu Occidental per establir acords i col·laboracions i projectes conjunts — Número reunions de la Taula realitzades</t>
        </is>
      </c>
    </row>
    <row r="359">
      <c r="A359" s="11" t="inlineStr">
        <is>
          <t>6. Educació, voluntariat i comunicació</t>
        </is>
      </c>
      <c r="B359" s="11" t="inlineStr">
        <is>
          <t>13.6.2</t>
        </is>
      </c>
      <c r="C359" s="11" t="inlineStr">
        <is>
          <t>Establir un model de coordinació territorial amb agents clau del voluntariat ambiental</t>
        </is>
      </c>
      <c r="D359" s="11" t="inlineStr">
        <is>
          <t>Establir un model de coordinació territorial amb agents clau del voluntariat ambiental</t>
        </is>
      </c>
      <c r="E359" s="11" t="inlineStr">
        <is>
          <t>Vincular algunes accions de voluntariat a l'Associació de persones amigues del Parc</t>
        </is>
      </c>
      <c r="F359" s="11" t="inlineStr">
        <is>
          <t>Accions vinculades</t>
        </is>
      </c>
      <c r="G359" s="11" t="n">
        <v>2</v>
      </c>
      <c r="H359" s="11" t="n">
        <v>6</v>
      </c>
      <c r="I359" s="11" t="inlineStr">
        <is>
          <t>MITJANA</t>
        </is>
      </c>
      <c r="J359" s="11" t="inlineStr">
        <is>
          <t>Ús Públic</t>
        </is>
      </c>
      <c r="K359" s="11" t="inlineStr">
        <is>
          <t>Núria</t>
        </is>
      </c>
      <c r="L359" s="11" t="inlineStr">
        <is>
          <t>FORMAR I SENSIBILITZAR la població incrementant la valoració i estima social de l'ENP</t>
        </is>
      </c>
      <c r="M359" s="11" t="inlineStr">
        <is>
          <t>Fomentar accions de voluntariat per conservar el patrimoni natural i cultural</t>
        </is>
      </c>
      <c r="N359" s="11" t="inlineStr">
        <is>
          <t>Comú</t>
        </is>
      </c>
      <c r="O359" s="11" t="inlineStr">
        <is>
          <t>Obligatori</t>
        </is>
      </c>
      <c r="P359" s="11" t="inlineStr">
        <is>
          <t>Si</t>
        </is>
      </c>
      <c r="Q359" s="11" t="inlineStr">
        <is>
          <t>13.6.2 · Vincular algunes accions de voluntariat a l'Associació de persones amigues del Parc — Accions vinculades</t>
        </is>
      </c>
    </row>
    <row r="360">
      <c r="A360" s="11" t="inlineStr">
        <is>
          <t>6. Educació, voluntariat i comunicació</t>
        </is>
      </c>
      <c r="B360" s="11" t="inlineStr">
        <is>
          <t>13.7.1</t>
        </is>
      </c>
      <c r="C360" s="11" t="inlineStr">
        <is>
          <t>Dissenyar i adaptar activitats inclusives per a persones amb necessitats específiques</t>
        </is>
      </c>
      <c r="D360" s="11" t="inlineStr">
        <is>
          <t>Dissenyar i adaptar activitats inclusives per a persones amb necessitats específiques</t>
        </is>
      </c>
      <c r="E360" s="11" t="inlineStr">
        <is>
          <t>Dissenyar una proposta d'activitat inclusiva amb una entitat/empresa experta</t>
        </is>
      </c>
      <c r="F360" s="11" t="inlineStr">
        <is>
          <t>Acció realitzada</t>
        </is>
      </c>
      <c r="G360" s="11" t="inlineStr">
        <is>
          <t>no</t>
        </is>
      </c>
      <c r="H360" s="11" t="inlineStr">
        <is>
          <t>si</t>
        </is>
      </c>
      <c r="I360" s="11" t="inlineStr">
        <is>
          <t>MITJANA</t>
        </is>
      </c>
      <c r="J360" s="11" t="inlineStr">
        <is>
          <t>Ús Públic</t>
        </is>
      </c>
      <c r="K360" s="11" t="inlineStr">
        <is>
          <t>Moi</t>
        </is>
      </c>
      <c r="L360" s="11" t="inlineStr">
        <is>
          <t>FORMAR I SENSIBILITZAR la població incrementant la valoració i estima social de l'ENP</t>
        </is>
      </c>
      <c r="M360" s="11" t="inlineStr">
        <is>
          <t>Treballar per a la universalitat de les accions d’educació, sensibilització i voluntariat ambiental</t>
        </is>
      </c>
      <c r="N360" s="11" t="inlineStr">
        <is>
          <t>Comú</t>
        </is>
      </c>
      <c r="O360" s="11" t="inlineStr">
        <is>
          <t>Obligatori</t>
        </is>
      </c>
      <c r="P360" s="11" t="inlineStr">
        <is>
          <t>Si</t>
        </is>
      </c>
      <c r="Q360" s="11" t="inlineStr">
        <is>
          <t>13.7.1 · Dissenyar una proposta d'activitat inclusiva amb una entitat/empresa experta — Acció realitzada</t>
        </is>
      </c>
    </row>
    <row r="361">
      <c r="A361" s="11" t="inlineStr">
        <is>
          <t>6. Educació, voluntariat i comunicació</t>
        </is>
      </c>
      <c r="B361" s="11" t="inlineStr">
        <is>
          <t>13.7.2</t>
        </is>
      </c>
      <c r="C361" s="11" t="inlineStr">
        <is>
          <t>Formar el personal de l'ENP (informadors i personal que treballa de cara al públic) en accessibilitat, diversitat funcional i diversitat de gènere</t>
        </is>
      </c>
      <c r="D361" s="11" t="inlineStr">
        <is>
          <t>Formar el personal de l'ENP (informadors i personal que treballa de cara al públic) en accessibilitat, diversitat funcional i diversitat de gènere</t>
        </is>
      </c>
      <c r="E361" s="11" t="inlineStr">
        <is>
          <t>Realitzar una formació anual per a informadors/es, guies i personal del Parc en accessibilitat i diversitat funcional.</t>
        </is>
      </c>
      <c r="F361" s="11" t="inlineStr">
        <is>
          <t>Número formacions realitzades</t>
        </is>
      </c>
      <c r="G361" s="11" t="n">
        <v>1</v>
      </c>
      <c r="H361" s="11" t="n">
        <v>4</v>
      </c>
      <c r="I361" s="11" t="inlineStr">
        <is>
          <t>ALTA</t>
        </is>
      </c>
      <c r="J361" s="11" t="inlineStr">
        <is>
          <t>Ús Públic</t>
        </is>
      </c>
      <c r="K361" s="11" t="inlineStr">
        <is>
          <t>Moi</t>
        </is>
      </c>
      <c r="L361" s="11" t="inlineStr">
        <is>
          <t>FORMAR I SENSIBILITZAR la població incrementant la valoració i estima social de l'ENP</t>
        </is>
      </c>
      <c r="M361" s="11" t="inlineStr">
        <is>
          <t>Treballar per a la universalitat de les accions d’educació, sensibilització i voluntariat ambiental</t>
        </is>
      </c>
      <c r="N361" s="11" t="inlineStr">
        <is>
          <t>Comú</t>
        </is>
      </c>
      <c r="O361" s="11" t="inlineStr">
        <is>
          <t>Optatiu</t>
        </is>
      </c>
      <c r="P361" s="11" t="inlineStr">
        <is>
          <t>Si</t>
        </is>
      </c>
      <c r="Q361" s="11" t="inlineStr">
        <is>
          <t>13.7.2 · Realitzar una formació anual per a informadors/es, guies i personal del Parc en accessibilitat i diversitat funcional. — Número formacions realitzades</t>
        </is>
      </c>
    </row>
    <row r="362">
      <c r="A362" s="11" t="inlineStr">
        <is>
          <t>6. Educació, voluntariat i comunicació</t>
        </is>
      </c>
      <c r="B362" s="11" t="inlineStr">
        <is>
          <t>13.7.2</t>
        </is>
      </c>
      <c r="C362" s="11" t="inlineStr">
        <is>
          <t>Formar el personal de l'ENP (informadors i personal que treballa de cara al públic) en accessibilitat, diversitat funcional i diversitat de gènere</t>
        </is>
      </c>
      <c r="D362" s="11" t="inlineStr">
        <is>
          <t>Formar el personal de l'ENP (informadors i personal que treballa de cara al públic) en accessibilitat, diversitat funcional i diversitat de gènere</t>
        </is>
      </c>
      <c r="E362" s="11" t="inlineStr">
        <is>
          <t>Realitzar una formació anual per a informadors/es i personal del Parc en perspectiva de gènere</t>
        </is>
      </c>
      <c r="F362" s="11" t="inlineStr">
        <is>
          <t>Número formacions realitzades</t>
        </is>
      </c>
      <c r="G362" s="11" t="n">
        <v>1</v>
      </c>
      <c r="H362" s="11" t="n">
        <v>4</v>
      </c>
      <c r="I362" s="11" t="inlineStr">
        <is>
          <t>MITJANA</t>
        </is>
      </c>
      <c r="J362" s="11" t="inlineStr">
        <is>
          <t>Ús Públic</t>
        </is>
      </c>
      <c r="K362" s="11" t="inlineStr">
        <is>
          <t>Moi</t>
        </is>
      </c>
      <c r="L362" s="11" t="inlineStr">
        <is>
          <t>FORMAR I SENSIBILITZAR la població incrementant la valoració i estima social de l'ENP</t>
        </is>
      </c>
      <c r="M362" s="11" t="inlineStr">
        <is>
          <t>Treballar per a la universalitat de les accions d’educació, sensibilització i voluntariat ambiental</t>
        </is>
      </c>
      <c r="N362" s="11" t="inlineStr">
        <is>
          <t>Comú</t>
        </is>
      </c>
      <c r="O362" s="11" t="inlineStr">
        <is>
          <t>Optatiu</t>
        </is>
      </c>
      <c r="P362" s="11" t="inlineStr">
        <is>
          <t>Si</t>
        </is>
      </c>
      <c r="Q362" s="11" t="inlineStr">
        <is>
          <t>13.7.2 · Realitzar una formació anual per a informadors/es i personal del Parc en perspectiva de gènere — Número formacions realitzades</t>
        </is>
      </c>
    </row>
    <row r="363">
      <c r="A363" s="11" t="inlineStr">
        <is>
          <t>6. Educació, voluntariat i comunicació</t>
        </is>
      </c>
      <c r="B363" s="11" t="inlineStr">
        <is>
          <t>13.7.3</t>
        </is>
      </c>
      <c r="C363" s="11" t="inlineStr">
        <is>
          <t>Incorporar la perspectiva de gènere als continguts i activitats de l'ENP</t>
        </is>
      </c>
      <c r="D363" s="11" t="inlineStr">
        <is>
          <t>Incorporar la perspectiva de gènere als continguts i activitats de l'ENP</t>
        </is>
      </c>
      <c r="E363" s="11" t="inlineStr">
        <is>
          <t>Contractar serveis d'assessorament extern i formació per incorporar la perspectiva de gènere entre l'equip del Parc i l'empresa que realitza el servei d'informació, educació i voluntariat ambiental.</t>
        </is>
      </c>
      <c r="F363" s="11" t="inlineStr">
        <is>
          <t>Acció realitzada</t>
        </is>
      </c>
      <c r="G363" s="11" t="inlineStr">
        <is>
          <t>no</t>
        </is>
      </c>
      <c r="H363" s="11" t="inlineStr">
        <is>
          <t>si</t>
        </is>
      </c>
      <c r="I363" s="11" t="inlineStr">
        <is>
          <t>MITJANA</t>
        </is>
      </c>
      <c r="J363" s="11" t="inlineStr">
        <is>
          <t>Ús Públic</t>
        </is>
      </c>
      <c r="K363" s="11" t="inlineStr">
        <is>
          <t>Moi</t>
        </is>
      </c>
      <c r="L363" s="11" t="inlineStr">
        <is>
          <t>FORMAR I SENSIBILITZAR la població incrementant la valoració i estima social de l'ENP</t>
        </is>
      </c>
      <c r="M363" s="11" t="inlineStr">
        <is>
          <t>Treballar per a la universalitat de les accions d’educació, sensibilització i voluntariat ambiental</t>
        </is>
      </c>
      <c r="N363" s="11" t="inlineStr">
        <is>
          <t>Comú</t>
        </is>
      </c>
      <c r="O363" s="11" t="inlineStr">
        <is>
          <t>Obligatori</t>
        </is>
      </c>
      <c r="P363" s="11" t="inlineStr">
        <is>
          <t>Si</t>
        </is>
      </c>
      <c r="Q363" s="11" t="inlineStr">
        <is>
          <t>13.7.3 · Contractar serveis d'assessorament extern i formació per incorporar la perspectiva de gènere entre l'equip del Parc i l'empresa que realitza el servei — Acció realitzada</t>
        </is>
      </c>
    </row>
    <row r="364">
      <c r="A364" s="11" t="inlineStr">
        <is>
          <t>6. Educació, voluntariat i comunicació</t>
        </is>
      </c>
      <c r="B364" s="11" t="inlineStr">
        <is>
          <t>13.8.1</t>
        </is>
      </c>
      <c r="C364" s="11" t="inlineStr">
        <is>
          <t>Dissenyar, implementar i fomentar itineraris saludables dins dels itineraris oficials dels ENP i en la zona d'influència</t>
        </is>
      </c>
      <c r="D364" s="11" t="inlineStr">
        <is>
          <t>Dissenyar, implementar i fomentar itineraris saludables dins dels itineraris oficials dels ENP i en la zona d'influència</t>
        </is>
      </c>
      <c r="E364" s="11" t="inlineStr">
        <is>
          <t>Promoure itineraris saludables</t>
        </is>
      </c>
      <c r="F364" s="11" t="inlineStr">
        <is>
          <t>Número itineraris promocionats</t>
        </is>
      </c>
      <c r="G364" s="11" t="n">
        <v>1</v>
      </c>
      <c r="H364" s="11" t="n">
        <v>4</v>
      </c>
      <c r="I364" s="11" t="inlineStr">
        <is>
          <t>ALTA</t>
        </is>
      </c>
      <c r="J364" s="11" t="inlineStr">
        <is>
          <t>Ús Públic</t>
        </is>
      </c>
      <c r="K364" s="11" t="inlineStr">
        <is>
          <t>Núria</t>
        </is>
      </c>
      <c r="L364" s="11" t="inlineStr">
        <is>
          <t>FORMAR I SENSIBILITZAR la població incrementant la valoració i estima social de l'ENP</t>
        </is>
      </c>
      <c r="M364" s="11" t="inlineStr">
        <is>
          <t>Desplegar i adaptar el programa Salut i Natura de la DG en l'àmbit de l'ENP</t>
        </is>
      </c>
      <c r="N364" s="11" t="inlineStr">
        <is>
          <t>Comú</t>
        </is>
      </c>
      <c r="O364" s="11" t="inlineStr">
        <is>
          <t>Optatiu</t>
        </is>
      </c>
      <c r="P364" s="11" t="inlineStr">
        <is>
          <t>Si</t>
        </is>
      </c>
      <c r="Q364" s="11" t="inlineStr">
        <is>
          <t>13.8.1 · Promoure itineraris saludables — Número itineraris promocionats</t>
        </is>
      </c>
    </row>
    <row r="365">
      <c r="A365" s="11" t="inlineStr">
        <is>
          <t>6. Educació, voluntariat i comunicació</t>
        </is>
      </c>
      <c r="B365" s="11" t="inlineStr">
        <is>
          <t>13.8.1</t>
        </is>
      </c>
      <c r="C365" s="11" t="inlineStr">
        <is>
          <t>Dissenyar, implementar i fomentar itineraris saludables dins dels itineraris oficials dels ENP i en la zona d'influència</t>
        </is>
      </c>
      <c r="D365" s="11" t="inlineStr">
        <is>
          <t>Dissenyar, implementar i fomentar itineraris saludables dins dels itineraris oficials dels ENP i en la zona d'influència</t>
        </is>
      </c>
      <c r="E365" s="11" t="inlineStr">
        <is>
          <t>Incorporació i promoció de guiatges terapèutics en els itineraris saludables acompanyats de guies intèrprets i professionals de la salut</t>
        </is>
      </c>
      <c r="F365" s="11" t="inlineStr">
        <is>
          <t>Número de guiatges incorporats</t>
        </is>
      </c>
      <c r="G365" s="11" t="n">
        <v>1</v>
      </c>
      <c r="H365" s="11" t="n">
        <v>4</v>
      </c>
      <c r="I365" s="11" t="inlineStr">
        <is>
          <t>MITJANA</t>
        </is>
      </c>
      <c r="J365" s="11" t="inlineStr">
        <is>
          <t>Ús Públic</t>
        </is>
      </c>
      <c r="K365" s="11" t="inlineStr">
        <is>
          <t>Núria</t>
        </is>
      </c>
      <c r="L365" s="11" t="inlineStr">
        <is>
          <t>FORMAR I SENSIBILITZAR la població incrementant la valoració i estima social de l'ENP</t>
        </is>
      </c>
      <c r="M365" s="11" t="inlineStr">
        <is>
          <t>Desplegar i adaptar el programa Salut i Natura de la DG en l'àmbit de l'ENP</t>
        </is>
      </c>
      <c r="N365" s="11" t="inlineStr">
        <is>
          <t>Comú</t>
        </is>
      </c>
      <c r="O365" s="11" t="inlineStr">
        <is>
          <t>Optatiu</t>
        </is>
      </c>
      <c r="P365" s="11" t="inlineStr">
        <is>
          <t>Si</t>
        </is>
      </c>
      <c r="Q365" s="11" t="inlineStr">
        <is>
          <t>13.8.1 · Incorporació i promoció de guiatges terapèutics en els itineraris saludables acompanyats de guies intèrprets i professionals de la salut — Número de guiatges incorporats</t>
        </is>
      </c>
    </row>
    <row r="366">
      <c r="A366" s="11" t="inlineStr">
        <is>
          <t>6. Educació, voluntariat i comunicació</t>
        </is>
      </c>
      <c r="B366" s="11" t="inlineStr">
        <is>
          <t>13.8.2</t>
        </is>
      </c>
      <c r="C366" s="11" t="inlineStr">
        <is>
          <t>Identificar els agents clau i els àmbits de col·laboració per implementar el binomi salut i natura</t>
        </is>
      </c>
      <c r="D366" s="11" t="inlineStr">
        <is>
          <t>Identificar els agents clau i els àmbits de col·laboració per implementar el binomi salut i natura</t>
        </is>
      </c>
      <c r="E366" s="11" t="inlineStr">
        <is>
          <t>Desplegament, de forma coordinada amb els CAPs i Àrees Bàsiques de Salut, una proposta pilot adreçada a col·lectius diana dins l'ENP (Ex: prescripció de natura (recepta verda i blava) i fomentar la pràctica de l’activitat física saludable</t>
        </is>
      </c>
      <c r="F366" s="11" t="inlineStr">
        <is>
          <t>Número propostes realitzades</t>
        </is>
      </c>
      <c r="G366" s="11" t="n">
        <v>1</v>
      </c>
      <c r="H366" s="11" t="n">
        <v>4</v>
      </c>
      <c r="I366" s="11" t="inlineStr">
        <is>
          <t>ALTA</t>
        </is>
      </c>
      <c r="J366" s="11" t="inlineStr">
        <is>
          <t>Ús Públic</t>
        </is>
      </c>
      <c r="K366" s="11" t="inlineStr">
        <is>
          <t>Núria</t>
        </is>
      </c>
      <c r="L366" s="11" t="inlineStr">
        <is>
          <t>FORMAR I SENSIBILITZAR la població incrementant la valoració i estima social de l'ENP</t>
        </is>
      </c>
      <c r="M366" s="11" t="inlineStr">
        <is>
          <t>Desplegar i adaptar el programa Salut i Natura de la DG en l'àmbit de l'ENP</t>
        </is>
      </c>
      <c r="N366" s="11" t="inlineStr">
        <is>
          <t>Comú</t>
        </is>
      </c>
      <c r="O366" s="11" t="inlineStr">
        <is>
          <t>Optatiu</t>
        </is>
      </c>
      <c r="P366" s="11" t="inlineStr">
        <is>
          <t>Si</t>
        </is>
      </c>
      <c r="Q366" s="11" t="inlineStr">
        <is>
          <t>13.8.2 · Desplegament, de forma coordinada amb els CAPs i Àrees Bàsiques de Salut, una proposta pilot adreçada a col·lectius diana dins l'ENP (Ex: prescripció  — Número propostes realitzades</t>
        </is>
      </c>
    </row>
    <row r="367">
      <c r="A367" s="11" t="inlineStr">
        <is>
          <t>6. Educació, voluntariat i comunicació</t>
        </is>
      </c>
      <c r="B367" s="11" t="inlineStr">
        <is>
          <t>13.8.2</t>
        </is>
      </c>
      <c r="C367" s="11" t="inlineStr">
        <is>
          <t>Identificar els agents clau i els àmbits de col·laboració per implementar el binomi salut i natura</t>
        </is>
      </c>
      <c r="D367" s="11" t="inlineStr">
        <is>
          <t>Identificar els agents clau i els àmbits de col·laboració per implementar el binomi salut i natura</t>
        </is>
      </c>
      <c r="E367" s="11" t="inlineStr">
        <is>
          <t>Col·laboració amb el projecte ESMOLET del ABS del Pallars que identifica la sinistralitat produïda als 2 Pallars durant la pràctica d’activitat física al medi natural amb la finalitat de prevenir-la, identificar punts negres en la geografia i anàlisi de les causes i conseqüències per sensibilitzar a federacions, clubs, empreses de turisme actiu, agrupacions d’esplai, medis de comunicació, sanitaris i també als usuaris</t>
        </is>
      </c>
      <c r="F367" s="11" t="inlineStr">
        <is>
          <t>Número de reunions realitzades</t>
        </is>
      </c>
      <c r="G367" s="11" t="n">
        <v>3</v>
      </c>
      <c r="H367" s="11" t="n">
        <v>8</v>
      </c>
      <c r="I367" s="11" t="inlineStr">
        <is>
          <t>BAIXA</t>
        </is>
      </c>
      <c r="J367" s="11" t="inlineStr">
        <is>
          <t>Ús Públic</t>
        </is>
      </c>
      <c r="K367" s="11" t="inlineStr">
        <is>
          <t>Núria</t>
        </is>
      </c>
      <c r="L367" s="11" t="inlineStr">
        <is>
          <t>FORMAR I SENSIBILITZAR la població incrementant la valoració i estima social de l'ENP</t>
        </is>
      </c>
      <c r="M367" s="11" t="inlineStr">
        <is>
          <t>Desplegar i adaptar el programa Salut i Natura de la DG en l'àmbit de l'ENP</t>
        </is>
      </c>
      <c r="N367" s="11" t="inlineStr">
        <is>
          <t>Comú</t>
        </is>
      </c>
      <c r="O367" s="11" t="inlineStr">
        <is>
          <t>Optatiu</t>
        </is>
      </c>
      <c r="P367" s="11" t="inlineStr">
        <is>
          <t>Si</t>
        </is>
      </c>
      <c r="Q367" s="11" t="inlineStr">
        <is>
          <t>13.8.2 · Col·laboració amb el projecte ESMOLET del ABS del Pallars que identifica la sinistralitat produïda als 2 Pallars durant la pràctica d’activitat física — Número de reunions realitzades</t>
        </is>
      </c>
    </row>
    <row r="368">
      <c r="A368" s="11" t="inlineStr">
        <is>
          <t>6. Educació, voluntariat i comunicació</t>
        </is>
      </c>
      <c r="B368" s="11" t="inlineStr">
        <is>
          <t>13.8.3</t>
        </is>
      </c>
      <c r="C368" s="11" t="inlineStr">
        <is>
          <t>Incloure el concepte de salut i natura en els missatges educatius i comunicatius de l'ENP</t>
        </is>
      </c>
      <c r="D368" s="11" t="inlineStr">
        <is>
          <t>Incloure el concepte de salut i natura en els missatges educatius i comunicatius de l'ENP</t>
        </is>
      </c>
      <c r="E368" s="11" t="inlineStr">
        <is>
          <t>Tenir en compte l'eix Salut i Natura en la renovació del pla d'acció de la CETS</t>
        </is>
      </c>
      <c r="F368" s="11" t="inlineStr">
        <is>
          <t>Número accions del Pla d'acció vinculades a l'eix salut i natura</t>
        </is>
      </c>
      <c r="G368" s="11" t="n">
        <v>0</v>
      </c>
      <c r="H368" s="11" t="n">
        <v>1</v>
      </c>
      <c r="I368" s="11" t="inlineStr">
        <is>
          <t>MITJANA</t>
        </is>
      </c>
      <c r="J368" s="11" t="inlineStr">
        <is>
          <t>Ús Públic</t>
        </is>
      </c>
      <c r="K368" s="11" t="inlineStr">
        <is>
          <t>Núria</t>
        </is>
      </c>
      <c r="L368" s="11" t="inlineStr">
        <is>
          <t>FORMAR I SENSIBILITZAR la població incrementant la valoració i estima social de l'ENP</t>
        </is>
      </c>
      <c r="M368" s="11" t="inlineStr">
        <is>
          <t>Desplegar i adaptar el programa Salut i Natura de la DG en l'àmbit de l'ENP</t>
        </is>
      </c>
      <c r="N368" s="11" t="inlineStr">
        <is>
          <t>Comú</t>
        </is>
      </c>
      <c r="O368" s="11" t="inlineStr">
        <is>
          <t>Optatiu</t>
        </is>
      </c>
      <c r="P368" s="11" t="inlineStr">
        <is>
          <t>Si</t>
        </is>
      </c>
      <c r="Q368" s="11" t="inlineStr">
        <is>
          <t>13.8.3 · Tenir en compte l'eix Salut i Natura en la renovació del pla d'acció de la CETS — Número accions del Pla d'acció vinculades a l'eix salut i natura</t>
        </is>
      </c>
    </row>
    <row r="369">
      <c r="A369" s="11" t="inlineStr">
        <is>
          <t>6. Educació, voluntariat i comunicació</t>
        </is>
      </c>
      <c r="B369" s="11" t="inlineStr">
        <is>
          <t>13.8.3</t>
        </is>
      </c>
      <c r="C369" s="11" t="inlineStr">
        <is>
          <t>Incloure el concepte de salut i natura en els missatges educatius i comunicatius de l'ENP</t>
        </is>
      </c>
      <c r="D369" s="11" t="inlineStr">
        <is>
          <t>Incloure el concepte de salut i natura en els missatges educatius i comunicatius de l'ENP</t>
        </is>
      </c>
      <c r="E369" s="11" t="inlineStr">
        <is>
          <t>Inclusió del concepte de Salut i Natura en els missatges comunicatius de conservació i sensibilització</t>
        </is>
      </c>
      <c r="F369" s="11" t="inlineStr">
        <is>
          <t>Número comunicacions amb informació sobre salut i natura</t>
        </is>
      </c>
      <c r="G369" s="11" t="n">
        <v>4</v>
      </c>
      <c r="H369" s="11" t="n">
        <v>16</v>
      </c>
      <c r="I369" s="11" t="inlineStr">
        <is>
          <t>ALTA</t>
        </is>
      </c>
      <c r="J369" s="11" t="inlineStr">
        <is>
          <t>Direcció</t>
        </is>
      </c>
      <c r="K369" s="11" t="inlineStr">
        <is>
          <t>Marc</t>
        </is>
      </c>
      <c r="L369" s="11" t="inlineStr">
        <is>
          <t>FORMAR I SENSIBILITZAR la població incrementant la valoració i estima social de l'ENP</t>
        </is>
      </c>
      <c r="M369" s="11" t="inlineStr">
        <is>
          <t>Desplegar i adaptar el programa Salut i Natura de la DG en l'àmbit de l'ENP</t>
        </is>
      </c>
      <c r="N369" s="11" t="inlineStr">
        <is>
          <t>Comú</t>
        </is>
      </c>
      <c r="O369" s="11" t="inlineStr">
        <is>
          <t>Optatiu</t>
        </is>
      </c>
      <c r="P369" s="11" t="inlineStr">
        <is>
          <t>Si</t>
        </is>
      </c>
      <c r="Q369" s="11" t="inlineStr">
        <is>
          <t>13.8.3 · Inclusió del concepte de Salut i Natura en els missatges comunicatius de conservació i sensibilització — Número comunicacions amb informació sobre salut i natura</t>
        </is>
      </c>
    </row>
    <row r="370">
      <c r="A370" s="11" t="inlineStr">
        <is>
          <t>6. Educació, voluntariat i comunicació</t>
        </is>
      </c>
      <c r="B370" s="11" t="inlineStr">
        <is>
          <t>13.8.4</t>
        </is>
      </c>
      <c r="C370" s="11" t="inlineStr">
        <is>
          <t>Participar a les Taules territorials de Salut i Natura</t>
        </is>
      </c>
      <c r="D370" s="11" t="inlineStr">
        <is>
          <t>Participar a les Taules territorials de Salut i Natura</t>
        </is>
      </c>
      <c r="E370" s="11" t="inlineStr">
        <is>
          <t>Participació a les Taules de Salut i Natura</t>
        </is>
      </c>
      <c r="F370" s="11" t="inlineStr">
        <is>
          <t>Número sessions en que s'ha participat</t>
        </is>
      </c>
      <c r="G370" s="11" t="n">
        <v>1</v>
      </c>
      <c r="H370" s="11" t="n">
        <v>4</v>
      </c>
      <c r="I370" s="11" t="inlineStr">
        <is>
          <t>ALTA</t>
        </is>
      </c>
      <c r="J370" s="11" t="inlineStr">
        <is>
          <t>Ús Públic</t>
        </is>
      </c>
      <c r="K370" s="11" t="inlineStr">
        <is>
          <t>Nuria</t>
        </is>
      </c>
      <c r="L370" s="11" t="inlineStr">
        <is>
          <t>FORMAR I SENSIBILITZAR la població incrementant la valoració i estima social de l'ENP</t>
        </is>
      </c>
      <c r="M370" s="11" t="inlineStr">
        <is>
          <t>Desplegar i adaptar el programa Salut i Natura de la DG en l'àmbit de l'ENP</t>
        </is>
      </c>
      <c r="N370" s="11" t="inlineStr">
        <is>
          <t>Comú</t>
        </is>
      </c>
      <c r="O370" s="11" t="inlineStr">
        <is>
          <t>Optatiu</t>
        </is>
      </c>
      <c r="P370" s="11" t="inlineStr">
        <is>
          <t>No</t>
        </is>
      </c>
      <c r="Q370" s="11" t="inlineStr">
        <is>
          <t>13.8.4 · Participació a les Taules de Salut i Natura — Número sessions en que s'ha participat</t>
        </is>
      </c>
    </row>
    <row r="371">
      <c r="A371" s="11" t="inlineStr">
        <is>
          <t>6. Educació, voluntariat i comunicació</t>
        </is>
      </c>
      <c r="B371" s="11" t="inlineStr">
        <is>
          <t>14.1.1</t>
        </is>
      </c>
      <c r="C371" s="11" t="inlineStr">
        <is>
          <t>Informar periòdicament sobre les tasques, projectes i actuacions que duu a terme l'ENP a la població</t>
        </is>
      </c>
      <c r="D371" s="11" t="inlineStr">
        <is>
          <t>Informar periòdicament sobre les tasques, projectes i actuacions que duu a terme l'ENP a la població</t>
        </is>
      </c>
      <c r="E371" s="11" t="inlineStr">
        <is>
          <t>Elaborar els productes comunicatius que es determinin conjuntament amb Serveis Centrals: ex. un telegrama mensual, butlletí, agenda activitats trimestral, fulletó informatiu vinculats amb ús públic, etc.</t>
        </is>
      </c>
      <c r="F371" s="11" t="inlineStr">
        <is>
          <t>Número productes comunicatius elaborats</t>
        </is>
      </c>
      <c r="G371" s="11" t="n">
        <v>12</v>
      </c>
      <c r="H371" s="11" t="n">
        <v>48</v>
      </c>
      <c r="I371" s="11" t="inlineStr">
        <is>
          <t>MÀXIMA</t>
        </is>
      </c>
      <c r="J371" s="11" t="inlineStr">
        <is>
          <t>Ús Públic</t>
        </is>
      </c>
      <c r="K371" s="11" t="inlineStr">
        <is>
          <t>Moi</t>
        </is>
      </c>
      <c r="L371" s="11" t="inlineStr">
        <is>
          <t>COMUNICAR I DIFONDRE ELS VALORS DE L'ENP, contribuint a l'educació ambiental de la societat</t>
        </is>
      </c>
      <c r="M371" s="11" t="inlineStr">
        <is>
          <t>Augmentar el coneixement de l'ENP entre la població</t>
        </is>
      </c>
      <c r="N371" s="11" t="inlineStr">
        <is>
          <t>Comú</t>
        </is>
      </c>
      <c r="O371" s="11" t="inlineStr">
        <is>
          <t>Obligatori</t>
        </is>
      </c>
      <c r="P371" s="11" t="inlineStr">
        <is>
          <t>Si</t>
        </is>
      </c>
      <c r="Q371" s="11" t="inlineStr">
        <is>
          <t>14.1.1 · Elaborar els productes comunicatius que es determinin conjuntament amb Serveis Centrals: ex. un telegrama mensual, butlletí, agenda activitats trimest — Número productes comunicatius elaborats</t>
        </is>
      </c>
    </row>
    <row r="372">
      <c r="A372" s="11" t="inlineStr">
        <is>
          <t>6. Educació, voluntariat i comunicació</t>
        </is>
      </c>
      <c r="B372" s="11" t="inlineStr">
        <is>
          <t>14.1.1</t>
        </is>
      </c>
      <c r="C372" s="11" t="inlineStr">
        <is>
          <t>Informar periòdicament sobre les tasques, projectes i actuacions que duu a terme l'ENP a la població</t>
        </is>
      </c>
      <c r="D372" s="11" t="inlineStr">
        <is>
          <t>Informar periòdicament sobre les tasques, projectes i actuacions que duu a terme l'ENP a la població</t>
        </is>
      </c>
      <c r="E372" s="11" t="inlineStr">
        <is>
          <t>Mantenir i reforçar la comunicació de les actuacions del Parc a través de les xarxes socials (facebook, X, instagram, youtube, tiktok)</t>
        </is>
      </c>
      <c r="F372" s="11" t="inlineStr">
        <is>
          <t>Número de posts mitjà realitzats a la setmana</t>
        </is>
      </c>
      <c r="G372" s="11" t="n">
        <v>2</v>
      </c>
      <c r="H372" s="11" t="n">
        <v>10</v>
      </c>
      <c r="I372" s="11" t="inlineStr">
        <is>
          <t>ALTA</t>
        </is>
      </c>
      <c r="J372" s="11" t="inlineStr"/>
      <c r="K372" s="11" t="inlineStr"/>
      <c r="L372" s="11" t="inlineStr">
        <is>
          <t>COMUNICAR I DIFONDRE ELS VALORS DE L'ENP, contribuint a l'educació ambiental de la societat</t>
        </is>
      </c>
      <c r="M372" s="11" t="inlineStr">
        <is>
          <t>Augmentar el coneixement de l'ENP entre la població</t>
        </is>
      </c>
      <c r="N372" s="11" t="inlineStr">
        <is>
          <t>Comú</t>
        </is>
      </c>
      <c r="O372" s="11" t="inlineStr">
        <is>
          <t>Obligatori</t>
        </is>
      </c>
      <c r="P372" s="11" t="inlineStr">
        <is>
          <t>Si</t>
        </is>
      </c>
      <c r="Q372" s="11" t="inlineStr">
        <is>
          <t>14.1.1 · Mantenir i reforçar la comunicació de les actuacions del Parc a través de les xarxes socials (facebook, X, instagram, youtube, tiktok) — Número de posts mitjà realitzats a la setmana</t>
        </is>
      </c>
    </row>
    <row r="373">
      <c r="A373" s="11" t="inlineStr">
        <is>
          <t>6. Educació, voluntariat i comunicació</t>
        </is>
      </c>
      <c r="B373" s="11" t="inlineStr">
        <is>
          <t>14.1.1</t>
        </is>
      </c>
      <c r="C373" s="11" t="inlineStr">
        <is>
          <t>Informar periòdicament sobre les tasques, projectes i actuacions que duu a terme l'ENP a la població</t>
        </is>
      </c>
      <c r="D373" s="11" t="inlineStr">
        <is>
          <t>Informar periòdicament sobre les tasques, projectes i actuacions que duu a terme l'ENP a la població</t>
        </is>
      </c>
      <c r="E373" s="11" t="inlineStr">
        <is>
          <t>Elaborar un butlletí comunicatiu anual del Parc pensat per a la població local, sectoritzat per valls o sectors del Parc, utilitzant la parla pallaresa, i amb un butlletí específic per l’Alt Urgell</t>
        </is>
      </c>
      <c r="F373" s="11" t="inlineStr">
        <is>
          <t>Número de butlletins editats</t>
        </is>
      </c>
      <c r="G373" s="11" t="n">
        <v>5</v>
      </c>
      <c r="H373" s="11" t="n">
        <v>20</v>
      </c>
      <c r="I373" s="11" t="inlineStr">
        <is>
          <t>ALTA</t>
        </is>
      </c>
      <c r="J373" s="11" t="inlineStr"/>
      <c r="K373" s="11" t="inlineStr"/>
      <c r="L373" s="11" t="inlineStr">
        <is>
          <t>COMUNICAR I DIFONDRE ELS VALORS DE L'ENP, contribuint a l'educació ambiental de la societat</t>
        </is>
      </c>
      <c r="M373" s="11" t="inlineStr">
        <is>
          <t>Augmentar el coneixement de l'ENP entre la població</t>
        </is>
      </c>
      <c r="N373" s="11" t="inlineStr">
        <is>
          <t>Comú</t>
        </is>
      </c>
      <c r="O373" s="11" t="inlineStr">
        <is>
          <t>Obligatori</t>
        </is>
      </c>
      <c r="P373" s="11" t="inlineStr">
        <is>
          <t>Si</t>
        </is>
      </c>
      <c r="Q373" s="11" t="inlineStr">
        <is>
          <t>14.1.1 · Elaborar un butlletí comunicatiu anual del Parc pensat per a la població local, sectoritzat per valls o sectors del Parc, utilitzant la parla pallares — Número de butlletins editats</t>
        </is>
      </c>
    </row>
    <row r="374">
      <c r="A374" s="11" t="inlineStr">
        <is>
          <t>6. Educació, voluntariat i comunicació</t>
        </is>
      </c>
      <c r="B374" s="11" t="inlineStr">
        <is>
          <t>14.1.1</t>
        </is>
      </c>
      <c r="C374" s="11" t="inlineStr">
        <is>
          <t>Informar periòdicament sobre les tasques, projectes i actuacions que duu a terme l'ENP a la població</t>
        </is>
      </c>
      <c r="D374" s="11" t="inlineStr">
        <is>
          <t>Informar periòdicament sobre les tasques, projectes i actuacions que duu a terme l'ENP a la població</t>
        </is>
      </c>
      <c r="E374" s="11" t="inlineStr">
        <is>
          <t>Donar a conèixer l'equip del Parc a través dels diferents canals comunicatius</t>
        </is>
      </c>
      <c r="F374" s="11" t="inlineStr">
        <is>
          <t>Número d'accions de difusió sobre l'equip del Parc</t>
        </is>
      </c>
      <c r="G374" s="11" t="n">
        <v>2</v>
      </c>
      <c r="H374" s="11" t="n">
        <v>4</v>
      </c>
      <c r="I374" s="11" t="inlineStr">
        <is>
          <t>BAIXA</t>
        </is>
      </c>
      <c r="J374" s="11" t="inlineStr">
        <is>
          <t>Direcció</t>
        </is>
      </c>
      <c r="K374" s="11" t="inlineStr">
        <is>
          <t>Marc</t>
        </is>
      </c>
      <c r="L374" s="11" t="inlineStr">
        <is>
          <t>COMUNICAR I DIFONDRE ELS VALORS DE L'ENP, contribuint a l'educació ambiental de la societat</t>
        </is>
      </c>
      <c r="M374" s="11" t="inlineStr">
        <is>
          <t>Augmentar el coneixement de l'ENP entre la població</t>
        </is>
      </c>
      <c r="N374" s="11" t="inlineStr">
        <is>
          <t>Comú</t>
        </is>
      </c>
      <c r="O374" s="11" t="inlineStr">
        <is>
          <t>Obligatori</t>
        </is>
      </c>
      <c r="P374" s="11" t="inlineStr">
        <is>
          <t>Si</t>
        </is>
      </c>
      <c r="Q374" s="11" t="inlineStr">
        <is>
          <t>14.1.1 · Donar a conèixer l'equip del Parc a través dels diferents canals comunicatius — Número d'accions de difusió sobre l'equip del Parc</t>
        </is>
      </c>
    </row>
    <row r="375">
      <c r="A375" s="11" t="inlineStr">
        <is>
          <t>6. Educació, voluntariat i comunicació</t>
        </is>
      </c>
      <c r="B375" s="11" t="inlineStr">
        <is>
          <t>14.1.1</t>
        </is>
      </c>
      <c r="C375" s="11" t="inlineStr">
        <is>
          <t>Informar periòdicament sobre les tasques, projectes i actuacions que duu a terme l'ENP a la població</t>
        </is>
      </c>
      <c r="D375" s="11" t="inlineStr">
        <is>
          <t>Informar periòdicament sobre les tasques, projectes i actuacions que duu a terme l'ENP a la població</t>
        </is>
      </c>
      <c r="E375" s="11" t="inlineStr">
        <is>
          <t>Inclusió d'aspectes de transparència informativa sobre el que s’està treballant des de l’ENP a la Junta Rectora</t>
        </is>
      </c>
      <c r="F375" s="11" t="inlineStr">
        <is>
          <t>Número Juntes Rectores realitzades</t>
        </is>
      </c>
      <c r="G375" s="11" t="n">
        <v>4</v>
      </c>
      <c r="H375" s="11" t="n">
        <v>8</v>
      </c>
      <c r="I375" s="11" t="inlineStr">
        <is>
          <t>MITJANA</t>
        </is>
      </c>
      <c r="J375" s="11" t="inlineStr">
        <is>
          <t>Direcció</t>
        </is>
      </c>
      <c r="K375" s="11" t="inlineStr">
        <is>
          <t>Marc</t>
        </is>
      </c>
      <c r="L375" s="11" t="inlineStr">
        <is>
          <t>COMUNICAR I DIFONDRE ELS VALORS DE L'ENP, contribuint a l'educació ambiental de la societat</t>
        </is>
      </c>
      <c r="M375" s="11" t="inlineStr">
        <is>
          <t>Augmentar el coneixement de l'ENP entre la població</t>
        </is>
      </c>
      <c r="N375" s="11" t="inlineStr">
        <is>
          <t>Comú</t>
        </is>
      </c>
      <c r="O375" s="11" t="inlineStr">
        <is>
          <t>Obligatori</t>
        </is>
      </c>
      <c r="P375" s="11" t="inlineStr">
        <is>
          <t>Si</t>
        </is>
      </c>
      <c r="Q375" s="11" t="inlineStr">
        <is>
          <t>14.1.1 · Inclusió d'aspectes de transparència informativa sobre el que s’està treballant des de l’ENP a la Junta Rectora — Número Juntes Rectores realitzades</t>
        </is>
      </c>
    </row>
    <row r="376">
      <c r="A376" s="11" t="inlineStr">
        <is>
          <t>6. Educació, voluntariat i comunicació</t>
        </is>
      </c>
      <c r="B376" s="11" t="inlineStr">
        <is>
          <t>14.1.1</t>
        </is>
      </c>
      <c r="C376" s="11" t="inlineStr">
        <is>
          <t>Informar periòdicament sobre les tasques, projectes i actuacions que duu a terme l'ENP a la població</t>
        </is>
      </c>
      <c r="D376" s="11" t="inlineStr">
        <is>
          <t>Informar periòdicament sobre les tasques, projectes i actuacions que duu a terme l'ENP a la població</t>
        </is>
      </c>
      <c r="E376" s="11" t="inlineStr">
        <is>
          <t>Realització d’un treball tècnic de diagnosis de la percepció social existent del Parc i establiment d’un pla d’acció comunicatiu per millorar-lo</t>
        </is>
      </c>
      <c r="F376" s="11" t="inlineStr">
        <is>
          <t>Realització del treball</t>
        </is>
      </c>
      <c r="G376" s="11" t="inlineStr">
        <is>
          <t>No</t>
        </is>
      </c>
      <c r="H376" s="11" t="inlineStr">
        <is>
          <t>si</t>
        </is>
      </c>
      <c r="I376" s="11" t="inlineStr">
        <is>
          <t>ALTA</t>
        </is>
      </c>
      <c r="J376" s="11" t="inlineStr"/>
      <c r="K376" s="11" t="inlineStr"/>
      <c r="L376" s="11" t="inlineStr">
        <is>
          <t>COMUNICAR I DIFONDRE ELS VALORS DE L'ENP, contribuint a l'educació ambiental de la societat</t>
        </is>
      </c>
      <c r="M376" s="11" t="inlineStr">
        <is>
          <t>Augmentar el coneixement de l'ENP entre la població</t>
        </is>
      </c>
      <c r="N376" s="11" t="inlineStr">
        <is>
          <t>Comú</t>
        </is>
      </c>
      <c r="O376" s="11" t="inlineStr">
        <is>
          <t>Obligatori</t>
        </is>
      </c>
      <c r="P376" s="11" t="inlineStr">
        <is>
          <t>Si</t>
        </is>
      </c>
      <c r="Q376" s="11" t="inlineStr">
        <is>
          <t>14.1.1 · Realització d’un treball tècnic de diagnosis de la percepció social existent del Parc i establiment d’un pla d’acció comunicatiu per millorar-lo — Realització del treball</t>
        </is>
      </c>
    </row>
    <row r="377">
      <c r="A377" s="11" t="inlineStr">
        <is>
          <t>6. Educació, voluntariat i comunicació</t>
        </is>
      </c>
      <c r="B377" s="11" t="inlineStr">
        <is>
          <t>14.1.1</t>
        </is>
      </c>
      <c r="C377" s="11" t="inlineStr">
        <is>
          <t>Informar periòdicament sobre les tasques, projectes i actuacions que duu a terme l'ENP a la població</t>
        </is>
      </c>
      <c r="D377" s="11" t="inlineStr">
        <is>
          <t>Informar periòdicament sobre les tasques, projectes i actuacions que duu a terme l'ENP a la població</t>
        </is>
      </c>
      <c r="E377" s="11" t="inlineStr">
        <is>
          <t>Realització de xerrades i presentacions del Parc específiques per a la població local per incrementar el sentiment de pertinença, procurant fer-ne per cada tema un mínim d’una xerrada a cada una de les dos comarques del Pallars Sobirà i Alt Urgell amb col·laboració amb entitats del territori</t>
        </is>
      </c>
      <c r="F377" s="11" t="inlineStr">
        <is>
          <t>Número de xerrades i/o presentacions realitzades</t>
        </is>
      </c>
      <c r="G377" s="11" t="n">
        <v>8</v>
      </c>
      <c r="H377" s="11" t="n">
        <v>24</v>
      </c>
      <c r="I377" s="11" t="inlineStr">
        <is>
          <t>MITJANA</t>
        </is>
      </c>
      <c r="J377" s="11" t="inlineStr"/>
      <c r="K377" s="11" t="inlineStr"/>
      <c r="L377" s="11" t="inlineStr">
        <is>
          <t>COMUNICAR I DIFONDRE ELS VALORS DE L'ENP, contribuint a l'educació ambiental de la societat</t>
        </is>
      </c>
      <c r="M377" s="11" t="inlineStr">
        <is>
          <t>Augmentar el coneixement de l'ENP entre la població</t>
        </is>
      </c>
      <c r="N377" s="11" t="inlineStr">
        <is>
          <t>Comú</t>
        </is>
      </c>
      <c r="O377" s="11" t="inlineStr">
        <is>
          <t>Obligatori</t>
        </is>
      </c>
      <c r="P377" s="11" t="inlineStr">
        <is>
          <t>Si</t>
        </is>
      </c>
      <c r="Q377" s="11" t="inlineStr">
        <is>
          <t>14.1.1 · Realització de xerrades i presentacions del Parc específiques per a la població local per incrementar el sentiment de pertinença, procurant fer-ne per — Número de xerrades i/o presentacions realitzades</t>
        </is>
      </c>
    </row>
    <row r="378">
      <c r="A378" s="11" t="inlineStr">
        <is>
          <t>6. Educació, voluntariat i comunicació</t>
        </is>
      </c>
      <c r="B378" s="11" t="inlineStr">
        <is>
          <t>14.1.1</t>
        </is>
      </c>
      <c r="C378" s="11" t="inlineStr">
        <is>
          <t>Informar periòdicament sobre les tasques, projectes i actuacions que duu a terme l'ENP a la població</t>
        </is>
      </c>
      <c r="D378" s="11" t="inlineStr">
        <is>
          <t>Informar periòdicament sobre les tasques, projectes i actuacions que duu a terme l'ENP a la població</t>
        </is>
      </c>
      <c r="E378" s="11" t="inlineStr">
        <is>
          <t>Creació d'un banc d’imatges, vídeos, vídeos amb vols de dron</t>
        </is>
      </c>
      <c r="F378" s="11" t="inlineStr">
        <is>
          <t>Número de contractes de creació i/o adquisició d'imatges i vídeos</t>
        </is>
      </c>
      <c r="G378" s="11" t="n">
        <v>4</v>
      </c>
      <c r="H378" s="11" t="n">
        <v>8</v>
      </c>
      <c r="I378" s="11" t="inlineStr">
        <is>
          <t>ALTA</t>
        </is>
      </c>
      <c r="J378" s="11" t="inlineStr">
        <is>
          <t>Direcció</t>
        </is>
      </c>
      <c r="K378" s="11" t="inlineStr">
        <is>
          <t>Marc</t>
        </is>
      </c>
      <c r="L378" s="11" t="inlineStr">
        <is>
          <t>COMUNICAR I DIFONDRE ELS VALORS DE L'ENP, contribuint a l'educació ambiental de la societat</t>
        </is>
      </c>
      <c r="M378" s="11" t="inlineStr">
        <is>
          <t>Augmentar el coneixement de l'ENP entre la població</t>
        </is>
      </c>
      <c r="N378" s="11" t="inlineStr">
        <is>
          <t>Comú</t>
        </is>
      </c>
      <c r="O378" s="11" t="inlineStr">
        <is>
          <t>Obligatori</t>
        </is>
      </c>
      <c r="P378" s="11" t="inlineStr">
        <is>
          <t>Si</t>
        </is>
      </c>
      <c r="Q378" s="11" t="inlineStr">
        <is>
          <t>14.1.1 · Creació d'un banc d’imatges, vídeos, vídeos amb vols de dron — Número de contractes de creació i/o adquisició d'imatges i vídeos</t>
        </is>
      </c>
    </row>
    <row r="379">
      <c r="A379" s="11" t="inlineStr">
        <is>
          <t>6. Educació, voluntariat i comunicació</t>
        </is>
      </c>
      <c r="B379" s="11" t="inlineStr">
        <is>
          <t>14.1.1</t>
        </is>
      </c>
      <c r="C379" s="11" t="inlineStr">
        <is>
          <t>Informar periòdicament sobre les tasques, projectes i actuacions que duu a terme l'ENP a la població</t>
        </is>
      </c>
      <c r="D379" s="11" t="inlineStr">
        <is>
          <t>Informar periòdicament sobre les tasques, projectes i actuacions que duu a terme l'ENP a la població</t>
        </is>
      </c>
      <c r="E379" s="11" t="inlineStr">
        <is>
          <t>Posar a disposició de la societat els estudis i informes que s'han fet del Parc (realització de xerrades de ciència, infografies, etc.)</t>
        </is>
      </c>
      <c r="F379" s="11" t="inlineStr">
        <is>
          <t>Número d'accions de comunicació realitzades</t>
        </is>
      </c>
      <c r="G379" s="11" t="n">
        <v>4</v>
      </c>
      <c r="H379" s="11" t="n">
        <v>12</v>
      </c>
      <c r="I379" s="11" t="inlineStr">
        <is>
          <t>MITJANA</t>
        </is>
      </c>
      <c r="J379" s="11" t="inlineStr">
        <is>
          <t>Observatori</t>
        </is>
      </c>
      <c r="K379" s="11" t="inlineStr">
        <is>
          <t>Oriol</t>
        </is>
      </c>
      <c r="L379" s="11" t="inlineStr">
        <is>
          <t>COMUNICAR I DIFONDRE ELS VALORS DE L'ENP, contribuint a l'educació ambiental de la societat</t>
        </is>
      </c>
      <c r="M379" s="11" t="inlineStr">
        <is>
          <t>Augmentar el coneixement de l'ENP entre la població</t>
        </is>
      </c>
      <c r="N379" s="11" t="inlineStr">
        <is>
          <t>Comú</t>
        </is>
      </c>
      <c r="O379" s="11" t="inlineStr">
        <is>
          <t>Obligatori</t>
        </is>
      </c>
      <c r="P379" s="11" t="inlineStr">
        <is>
          <t>Si</t>
        </is>
      </c>
      <c r="Q379" s="11" t="inlineStr">
        <is>
          <t>14.1.1 · Posar a disposició de la societat els estudis i informes que s'han fet del Parc (realització de xerrades de ciència, infografies, etc.) — Número d'accions de comunicació realitzades</t>
        </is>
      </c>
    </row>
    <row r="380">
      <c r="A380" s="11" t="inlineStr">
        <is>
          <t>6. Educació, voluntariat i comunicació</t>
        </is>
      </c>
      <c r="B380" s="11" t="inlineStr">
        <is>
          <t>14.1.1</t>
        </is>
      </c>
      <c r="C380" s="11" t="inlineStr">
        <is>
          <t>Informar periòdicament sobre les tasques, projectes i actuacions que duu a terme l'ENP a la població</t>
        </is>
      </c>
      <c r="D380" s="11" t="inlineStr">
        <is>
          <t>Informar periòdicament sobre les tasques, projectes i actuacions que duu a terme l'ENP a la població</t>
        </is>
      </c>
      <c r="E380" s="11" t="inlineStr">
        <is>
          <t>Generació d'un servei geogràfic d'oferta de senders oficials i equipaments (google maps)</t>
        </is>
      </c>
      <c r="F380" s="11" t="inlineStr">
        <is>
          <t>Realització del google maps dels senders i equipaments del Parc</t>
        </is>
      </c>
      <c r="G380" s="11" t="inlineStr">
        <is>
          <t>no</t>
        </is>
      </c>
      <c r="H380" s="11" t="inlineStr">
        <is>
          <t>si</t>
        </is>
      </c>
      <c r="I380" s="11" t="inlineStr">
        <is>
          <t>MITJANA</t>
        </is>
      </c>
      <c r="J380" s="11" t="inlineStr">
        <is>
          <t>Direcció</t>
        </is>
      </c>
      <c r="K380" s="11" t="inlineStr">
        <is>
          <t>Marc</t>
        </is>
      </c>
      <c r="L380" s="11" t="inlineStr">
        <is>
          <t>COMUNICAR I DIFONDRE ELS VALORS DE L'ENP, contribuint a l'educació ambiental de la societat</t>
        </is>
      </c>
      <c r="M380" s="11" t="inlineStr">
        <is>
          <t>Augmentar el coneixement de l'ENP entre la població</t>
        </is>
      </c>
      <c r="N380" s="11" t="inlineStr">
        <is>
          <t>Comú</t>
        </is>
      </c>
      <c r="O380" s="11" t="inlineStr">
        <is>
          <t>Obligatori</t>
        </is>
      </c>
      <c r="P380" s="11" t="inlineStr">
        <is>
          <t>Si</t>
        </is>
      </c>
      <c r="Q380" s="11" t="inlineStr">
        <is>
          <t>14.1.1 · Generació d'un servei geogràfic d'oferta de senders oficials i equipaments (google maps) — Realització del google maps dels senders i equipaments del Parc</t>
        </is>
      </c>
    </row>
    <row r="381">
      <c r="A381" s="11" t="inlineStr">
        <is>
          <t>6. Educació, voluntariat i comunicació</t>
        </is>
      </c>
      <c r="B381" s="11" t="inlineStr">
        <is>
          <t>14.1.1</t>
        </is>
      </c>
      <c r="C381" s="11" t="inlineStr">
        <is>
          <t>Informar periòdicament sobre les tasques, projectes i actuacions que duu a terme l'ENP a la població</t>
        </is>
      </c>
      <c r="D381" s="11" t="inlineStr">
        <is>
          <t>Informar periòdicament sobre les tasques, projectes i actuacions que duu a terme l'ENP a la població</t>
        </is>
      </c>
      <c r="E381" s="11" t="inlineStr">
        <is>
          <t>Actualització de l'apartat web i la plataforma Wikiloc amb l'oferta d'itineraris oficials (CaminaCat)</t>
        </is>
      </c>
      <c r="F381" s="11" t="inlineStr">
        <is>
          <t>Número d'itineraris nous incorporats</t>
        </is>
      </c>
      <c r="G381" s="11" t="n">
        <v>6</v>
      </c>
      <c r="H381" s="11" t="n">
        <v>30</v>
      </c>
      <c r="I381" s="11" t="inlineStr">
        <is>
          <t>ALTA</t>
        </is>
      </c>
      <c r="J381" s="11" t="inlineStr">
        <is>
          <t>Direcció</t>
        </is>
      </c>
      <c r="K381" s="11" t="inlineStr">
        <is>
          <t>Marc</t>
        </is>
      </c>
      <c r="L381" s="11" t="inlineStr">
        <is>
          <t>COMUNICAR I DIFONDRE ELS VALORS DE L'ENP, contribuint a l'educació ambiental de la societat</t>
        </is>
      </c>
      <c r="M381" s="11" t="inlineStr">
        <is>
          <t>Augmentar el coneixement de l'ENP entre la població</t>
        </is>
      </c>
      <c r="N381" s="11" t="inlineStr">
        <is>
          <t>Comú</t>
        </is>
      </c>
      <c r="O381" s="11" t="inlineStr">
        <is>
          <t>Obligatori</t>
        </is>
      </c>
      <c r="P381" s="11" t="inlineStr">
        <is>
          <t>Si</t>
        </is>
      </c>
      <c r="Q381" s="11" t="inlineStr">
        <is>
          <t>14.1.1 · Actualització de l'apartat web i la plataforma Wikiloc amb l'oferta d'itineraris oficials (CaminaCat) — Número d'itineraris nous incorporats</t>
        </is>
      </c>
    </row>
    <row r="382">
      <c r="A382" s="11" t="inlineStr">
        <is>
          <t>6. Educació, voluntariat i comunicació</t>
        </is>
      </c>
      <c r="B382" s="11" t="inlineStr">
        <is>
          <t>14.1.1</t>
        </is>
      </c>
      <c r="C382" s="11" t="inlineStr">
        <is>
          <t>Informar periòdicament sobre les tasques, projectes i actuacions que duu a terme l'ENP a la població</t>
        </is>
      </c>
      <c r="D382" s="11" t="inlineStr">
        <is>
          <t>Informar periòdicament sobre les tasques, projectes i actuacions que duu a terme l'ENP a la població</t>
        </is>
      </c>
      <c r="E382" s="11" t="inlineStr">
        <is>
          <t>Recuperar i actualitzar l’App “Deixa’t Guiar pel Parc Natural de l’Alt Pirineu” amb suport del CTTI</t>
        </is>
      </c>
      <c r="F382" s="11" t="inlineStr">
        <is>
          <t>L’app torna a estar operativa</t>
        </is>
      </c>
      <c r="G382" s="11" t="inlineStr">
        <is>
          <t>no</t>
        </is>
      </c>
      <c r="H382" s="11" t="inlineStr">
        <is>
          <t>si</t>
        </is>
      </c>
      <c r="I382" s="11" t="inlineStr">
        <is>
          <t>MITJANA</t>
        </is>
      </c>
      <c r="J382" s="11" t="inlineStr"/>
      <c r="K382" s="11" t="inlineStr"/>
      <c r="L382" s="11" t="inlineStr">
        <is>
          <t>COMUNICAR I DIFONDRE ELS VALORS DE L'ENP, contribuint a l'educació ambiental de la societat</t>
        </is>
      </c>
      <c r="M382" s="11" t="inlineStr">
        <is>
          <t>Augmentar el coneixement de l'ENP entre la població</t>
        </is>
      </c>
      <c r="N382" s="11" t="inlineStr">
        <is>
          <t>Comú</t>
        </is>
      </c>
      <c r="O382" s="11" t="inlineStr">
        <is>
          <t>Obligatori</t>
        </is>
      </c>
      <c r="P382" s="11" t="inlineStr">
        <is>
          <t>Si</t>
        </is>
      </c>
      <c r="Q382" s="11" t="inlineStr">
        <is>
          <t>14.1.1 · Recuperar i actualitzar l’App “Deixa’t Guiar pel Parc Natural de l’Alt Pirineu” amb suport del CTTI — L’app torna a estar operativa</t>
        </is>
      </c>
    </row>
    <row r="383">
      <c r="A383" s="11" t="inlineStr">
        <is>
          <t>6. Educació, voluntariat i comunicació</t>
        </is>
      </c>
      <c r="B383" s="11" t="inlineStr">
        <is>
          <t>14.1.1</t>
        </is>
      </c>
      <c r="C383" s="11" t="inlineStr">
        <is>
          <t>Informar periòdicament sobre les tasques, projectes i actuacions que duu a terme l'ENP a la població</t>
        </is>
      </c>
      <c r="D383" s="11" t="inlineStr">
        <is>
          <t>Informar periòdicament sobre les tasques, projectes i actuacions que duu a terme l'ENP a la població</t>
        </is>
      </c>
      <c r="E383" s="11" t="inlineStr">
        <is>
          <t>Vetllar pel correcte tractament i emmagatzematge d'aquests estudis i informes (repositori al web del Parc)</t>
        </is>
      </c>
      <c r="F383" s="11" t="inlineStr">
        <is>
          <t>Número de nous estudis i informes penjats al web del Parc</t>
        </is>
      </c>
      <c r="G383" s="11" t="n">
        <v>10</v>
      </c>
      <c r="H383" s="11" t="n">
        <v>40</v>
      </c>
      <c r="I383" s="11" t="inlineStr">
        <is>
          <t>MITJANA</t>
        </is>
      </c>
      <c r="J383" s="11" t="inlineStr">
        <is>
          <t>Observatori</t>
        </is>
      </c>
      <c r="K383" s="11" t="inlineStr">
        <is>
          <t>Oriol</t>
        </is>
      </c>
      <c r="L383" s="11" t="inlineStr">
        <is>
          <t>COMUNICAR I DIFONDRE ELS VALORS DE L'ENP, contribuint a l'educació ambiental de la societat</t>
        </is>
      </c>
      <c r="M383" s="11" t="inlineStr">
        <is>
          <t>Augmentar el coneixement de l'ENP entre la població</t>
        </is>
      </c>
      <c r="N383" s="11" t="inlineStr">
        <is>
          <t>Comú</t>
        </is>
      </c>
      <c r="O383" s="11" t="inlineStr">
        <is>
          <t>Obligatori</t>
        </is>
      </c>
      <c r="P383" s="11" t="inlineStr">
        <is>
          <t>Si</t>
        </is>
      </c>
      <c r="Q383" s="11" t="inlineStr">
        <is>
          <t>14.1.1 · Vetllar pel correcte tractament i emmagatzematge d'aquests estudis i informes (repositori al web del Parc) — Número de nous estudis i informes penjats al web del Parc</t>
        </is>
      </c>
    </row>
    <row r="384">
      <c r="A384" s="11" t="inlineStr">
        <is>
          <t>6. Educació, voluntariat i comunicació</t>
        </is>
      </c>
      <c r="B384" s="11" t="inlineStr">
        <is>
          <t>14.1.2</t>
        </is>
      </c>
      <c r="C384" s="11" t="inlineStr">
        <is>
          <t>Garantir l'accessibilitat i gestió del coneixement disponible sobre l'ENP</t>
        </is>
      </c>
      <c r="D384" s="11" t="inlineStr">
        <is>
          <t>Garantir l'accessibilitat i gestió del coneixement disponible sobre l'ENP</t>
        </is>
      </c>
      <c r="E384" s="11" t="inlineStr">
        <is>
          <t>Realització de diferents versions idiomàtiques dels materials de difusió</t>
        </is>
      </c>
      <c r="F384" s="11" t="inlineStr">
        <is>
          <t>Número fulletons realitzats amb diferents idiomes</t>
        </is>
      </c>
      <c r="G384" s="11" t="n">
        <v>4</v>
      </c>
      <c r="H384" s="11" t="n">
        <v>12</v>
      </c>
      <c r="I384" s="11" t="inlineStr">
        <is>
          <t>MITJANA</t>
        </is>
      </c>
      <c r="J384" s="11" t="inlineStr">
        <is>
          <t>Ús Públic</t>
        </is>
      </c>
      <c r="K384" s="11" t="inlineStr">
        <is>
          <t>Moi</t>
        </is>
      </c>
      <c r="L384" s="11" t="inlineStr">
        <is>
          <t>COMUNICAR I DIFONDRE ELS VALORS DE L'ENP, contribuint a l'educació ambiental de la societat</t>
        </is>
      </c>
      <c r="M384" s="11" t="inlineStr">
        <is>
          <t>Augmentar el coneixement de l'ENP entre la població</t>
        </is>
      </c>
      <c r="N384" s="11" t="inlineStr">
        <is>
          <t>Comú</t>
        </is>
      </c>
      <c r="O384" s="11" t="inlineStr">
        <is>
          <t>Obligatori</t>
        </is>
      </c>
      <c r="P384" s="11" t="inlineStr">
        <is>
          <t>Si</t>
        </is>
      </c>
      <c r="Q384" s="11" t="inlineStr">
        <is>
          <t>14.1.2 · Realització de diferents versions idiomàtiques dels materials de difusió — Número fulletons realitzats amb diferents idiomes</t>
        </is>
      </c>
    </row>
    <row r="385">
      <c r="A385" s="11" t="inlineStr">
        <is>
          <t>6. Educació, voluntariat i comunicació</t>
        </is>
      </c>
      <c r="B385" s="11" t="inlineStr">
        <is>
          <t>14.1.2</t>
        </is>
      </c>
      <c r="C385" s="11" t="inlineStr">
        <is>
          <t>Garantir l'accessibilitat i gestió del coneixement disponible sobre l'ENP</t>
        </is>
      </c>
      <c r="D385" s="11" t="inlineStr">
        <is>
          <t>Garantir l'accessibilitat i gestió del coneixement disponible sobre l'ENP</t>
        </is>
      </c>
      <c r="E385" s="11" t="inlineStr">
        <is>
          <t>Crear un nou espai al web de Preguntes freqüents</t>
        </is>
      </c>
      <c r="F385" s="11" t="inlineStr">
        <is>
          <t>Acció realitzada</t>
        </is>
      </c>
      <c r="G385" s="11" t="inlineStr">
        <is>
          <t>no</t>
        </is>
      </c>
      <c r="H385" s="11" t="inlineStr">
        <is>
          <t>si</t>
        </is>
      </c>
      <c r="I385" s="11" t="inlineStr">
        <is>
          <t>BAIXA</t>
        </is>
      </c>
      <c r="J385" s="11" t="inlineStr">
        <is>
          <t>Ús Públic</t>
        </is>
      </c>
      <c r="K385" s="11" t="inlineStr">
        <is>
          <t>Núria</t>
        </is>
      </c>
      <c r="L385" s="11" t="inlineStr">
        <is>
          <t>COMUNICAR I DIFONDRE ELS VALORS DE L'ENP, contribuint a l'educació ambiental de la societat</t>
        </is>
      </c>
      <c r="M385" s="11" t="inlineStr">
        <is>
          <t>Augmentar el coneixement de l'ENP entre la població</t>
        </is>
      </c>
      <c r="N385" s="11" t="inlineStr">
        <is>
          <t>Comú</t>
        </is>
      </c>
      <c r="O385" s="11" t="inlineStr">
        <is>
          <t>Obligatori</t>
        </is>
      </c>
      <c r="P385" s="11" t="inlineStr">
        <is>
          <t>Si</t>
        </is>
      </c>
      <c r="Q385" s="11" t="inlineStr">
        <is>
          <t>14.1.2 · Crear un nou espai al web de Preguntes freqüents — Acció realitzada</t>
        </is>
      </c>
    </row>
    <row r="386">
      <c r="A386" s="11" t="inlineStr">
        <is>
          <t>6. Educació, voluntariat i comunicació</t>
        </is>
      </c>
      <c r="B386" s="11" t="inlineStr">
        <is>
          <t>14.2.1</t>
        </is>
      </c>
      <c r="C386" s="11" t="inlineStr">
        <is>
          <t>Sensibilitzar als diferents agents sobre els valors de l'ENP</t>
        </is>
      </c>
      <c r="D386" s="11" t="inlineStr">
        <is>
          <t>Sensibilitzar als diferents agents sobre els valors de l'ENP</t>
        </is>
      </c>
      <c r="E386" s="11" t="inlineStr">
        <is>
          <t>Creació de material divulgatiu específic i en positiu a partir de les campanyes de comunicació elaborades conjuntament amb Serveis Centrals i de les necessitats del territori del Parc (bany en estanys, acampada, gos lligat circulació motoritzada, comportament en zona d’ós bru,..)(comunicació externa)</t>
        </is>
      </c>
      <c r="F386" s="11" t="inlineStr">
        <is>
          <t>Número materials realitzats</t>
        </is>
      </c>
      <c r="G386" s="11" t="n">
        <v>1</v>
      </c>
      <c r="H386" s="11" t="n">
        <v>4</v>
      </c>
      <c r="I386" s="11" t="inlineStr">
        <is>
          <t>MITJANA</t>
        </is>
      </c>
      <c r="J386" s="11" t="inlineStr">
        <is>
          <t>Ús Públic</t>
        </is>
      </c>
      <c r="K386" s="11" t="inlineStr">
        <is>
          <t>Núria</t>
        </is>
      </c>
      <c r="L386" s="11" t="inlineStr">
        <is>
          <t>COMUNICAR I DIFONDRE ELS VALORS DE L'ENP, contribuint a l'educació ambiental de la societat</t>
        </is>
      </c>
      <c r="M386" s="11" t="inlineStr">
        <is>
          <t>Conscienciar sobre els valors de l'ENP als diferents públics objectiu</t>
        </is>
      </c>
      <c r="N386" s="11" t="inlineStr">
        <is>
          <t>Comú</t>
        </is>
      </c>
      <c r="O386" s="11" t="inlineStr">
        <is>
          <t>Obligatori</t>
        </is>
      </c>
      <c r="P386" s="11" t="inlineStr">
        <is>
          <t>Si</t>
        </is>
      </c>
      <c r="Q386" s="11" t="inlineStr">
        <is>
          <t>14.2.1 · Creació de material divulgatiu específic i en positiu a partir de les campanyes de comunicació elaborades conjuntament amb Serveis Centrals i de les n — Número materials realitzats</t>
        </is>
      </c>
    </row>
    <row r="387">
      <c r="A387" s="11" t="inlineStr">
        <is>
          <t>6. Educació, voluntariat i comunicació</t>
        </is>
      </c>
      <c r="B387" s="11" t="inlineStr">
        <is>
          <t>14.2.1</t>
        </is>
      </c>
      <c r="C387" s="11" t="inlineStr">
        <is>
          <t>Sensibilitzar als diferents agents sobre els valors de l'ENP</t>
        </is>
      </c>
      <c r="D387" s="11" t="inlineStr">
        <is>
          <t>Sensibilitzar als diferents agents sobre els valors de l'ENP</t>
        </is>
      </c>
      <c r="E387" s="11" t="inlineStr">
        <is>
          <t>Realització de sessions d'intercanvi de coneixements i projectes en marxa entre l'equip gestor (Comunicació interna)</t>
        </is>
      </c>
      <c r="F387" s="11" t="inlineStr">
        <is>
          <t>Número sessions realitzades</t>
        </is>
      </c>
      <c r="G387" s="11" t="n">
        <v>4</v>
      </c>
      <c r="H387" s="11" t="n">
        <v>8</v>
      </c>
      <c r="I387" s="11" t="inlineStr">
        <is>
          <t>ALTA</t>
        </is>
      </c>
      <c r="J387" s="11" t="inlineStr">
        <is>
          <t>Ús Públic</t>
        </is>
      </c>
      <c r="K387" s="11" t="inlineStr">
        <is>
          <t>Núria</t>
        </is>
      </c>
      <c r="L387" s="11" t="inlineStr">
        <is>
          <t>COMUNICAR I DIFONDRE ELS VALORS DE L'ENP, contribuint a l'educació ambiental de la societat</t>
        </is>
      </c>
      <c r="M387" s="11" t="inlineStr">
        <is>
          <t>Conscienciar sobre els valors de l'ENP als diferents públics objectiu</t>
        </is>
      </c>
      <c r="N387" s="11" t="inlineStr">
        <is>
          <t>Comú</t>
        </is>
      </c>
      <c r="O387" s="11" t="inlineStr">
        <is>
          <t>Obligatori</t>
        </is>
      </c>
      <c r="P387" s="11" t="inlineStr">
        <is>
          <t>Si</t>
        </is>
      </c>
      <c r="Q387" s="11" t="inlineStr">
        <is>
          <t>14.2.1 · Realització de sessions d'intercanvi de coneixements i projectes en marxa entre l'equip gestor (Comunicació interna) — Número sessions realitzades</t>
        </is>
      </c>
    </row>
    <row r="388">
      <c r="A388" s="11" t="inlineStr">
        <is>
          <t>6. Educació, voluntariat i comunicació</t>
        </is>
      </c>
      <c r="B388" s="11" t="inlineStr">
        <is>
          <t>14.2.1</t>
        </is>
      </c>
      <c r="C388" s="11" t="inlineStr">
        <is>
          <t>Sensibilitzar als diferents agents sobre els valors de l'ENP</t>
        </is>
      </c>
      <c r="D388" s="11" t="inlineStr">
        <is>
          <t>Sensibilitzar als diferents agents sobre els valors de l'ENP</t>
        </is>
      </c>
      <c r="E388" s="11" t="inlineStr">
        <is>
          <t>Potenciació de la doble funció dels Centres de documentació: generar informació (material de recerca) i oferir informació als visitants.</t>
        </is>
      </c>
      <c r="F388" s="11" t="inlineStr">
        <is>
          <t>Número accions difusió realitzades</t>
        </is>
      </c>
      <c r="G388" s="11" t="n">
        <v>1</v>
      </c>
      <c r="H388" s="11" t="n">
        <v>4</v>
      </c>
      <c r="I388" s="11" t="inlineStr">
        <is>
          <t>BAIXA</t>
        </is>
      </c>
      <c r="J388" s="11" t="inlineStr">
        <is>
          <t>Direcció</t>
        </is>
      </c>
      <c r="K388" s="11" t="inlineStr">
        <is>
          <t>Marc</t>
        </is>
      </c>
      <c r="L388" s="11" t="inlineStr">
        <is>
          <t>COMUNICAR I DIFONDRE ELS VALORS DE L'ENP, contribuint a l'educació ambiental de la societat</t>
        </is>
      </c>
      <c r="M388" s="11" t="inlineStr">
        <is>
          <t>Conscienciar sobre els valors de l'ENP als diferents públics objectiu</t>
        </is>
      </c>
      <c r="N388" s="11" t="inlineStr">
        <is>
          <t>Comú</t>
        </is>
      </c>
      <c r="O388" s="11" t="inlineStr">
        <is>
          <t>Obligatori</t>
        </is>
      </c>
      <c r="P388" s="11" t="inlineStr">
        <is>
          <t>Si</t>
        </is>
      </c>
      <c r="Q388" s="11" t="inlineStr">
        <is>
          <t>14.2.1 · Potenciació de la doble funció dels Centres de documentació: generar informació (material de recerca) i oferir informació als visitants. — Número accions difusió realitzades</t>
        </is>
      </c>
    </row>
    <row r="389">
      <c r="A389" s="11" t="inlineStr">
        <is>
          <t>6. Educació, voluntariat i comunicació</t>
        </is>
      </c>
      <c r="B389" s="11" t="inlineStr">
        <is>
          <t>14.3.1</t>
        </is>
      </c>
      <c r="C389" s="11" t="inlineStr">
        <is>
          <t>Optimitzar els canals de comunicació</t>
        </is>
      </c>
      <c r="D389" s="11" t="inlineStr">
        <is>
          <t>Optimitzar els canals de comunicació</t>
        </is>
      </c>
      <c r="E389" s="11" t="inlineStr">
        <is>
          <t>Definició i clarificació dels rols de l'equip del parc i una correcta definició de les tasques de cada membre.</t>
        </is>
      </c>
      <c r="F389" s="11" t="inlineStr">
        <is>
          <t>Acció realitzada</t>
        </is>
      </c>
      <c r="G389" s="11" t="inlineStr">
        <is>
          <t>no</t>
        </is>
      </c>
      <c r="H389" s="11" t="inlineStr">
        <is>
          <t>si</t>
        </is>
      </c>
      <c r="I389" s="11" t="inlineStr">
        <is>
          <t>MITJANA</t>
        </is>
      </c>
      <c r="J389" s="11" t="inlineStr">
        <is>
          <t>Direcció</t>
        </is>
      </c>
      <c r="K389" s="11" t="inlineStr">
        <is>
          <t>Marc</t>
        </is>
      </c>
      <c r="L389" s="11" t="inlineStr">
        <is>
          <t>COMUNICAR I DIFONDRE ELS VALORS DE L'ENP, contribuint a l'educació ambiental de la societat</t>
        </is>
      </c>
      <c r="M389" s="11" t="inlineStr">
        <is>
          <t>Disposar d'una comunicació ordenada efectiva, positiva i coordinada que arribi a la ciutadania i aquesta pugui reconèixer fàcilment</t>
        </is>
      </c>
      <c r="N389" s="11" t="inlineStr">
        <is>
          <t>Comú</t>
        </is>
      </c>
      <c r="O389" s="11" t="inlineStr">
        <is>
          <t>Obligatori</t>
        </is>
      </c>
      <c r="P389" s="11" t="inlineStr">
        <is>
          <t>Si</t>
        </is>
      </c>
      <c r="Q389" s="11" t="inlineStr">
        <is>
          <t>14.3.1 · Definició i clarificació dels rols de l'equip del parc i una correcta definició de les tasques de cada membre. — Acció realitzada</t>
        </is>
      </c>
    </row>
    <row r="390">
      <c r="A390" s="11" t="inlineStr">
        <is>
          <t>6. Educació, voluntariat i comunicació</t>
        </is>
      </c>
      <c r="B390" s="11" t="inlineStr">
        <is>
          <t>14.3.1</t>
        </is>
      </c>
      <c r="C390" s="11" t="inlineStr">
        <is>
          <t>Optimitzar els canals de comunicació</t>
        </is>
      </c>
      <c r="D390" s="11" t="inlineStr">
        <is>
          <t>Optimitzar els canals de comunicació</t>
        </is>
      </c>
      <c r="E390" s="11" t="inlineStr">
        <is>
          <t>Actualització del web segons el format i estàndards establerts des de Serveis Centrals</t>
        </is>
      </c>
      <c r="F390" s="11" t="inlineStr">
        <is>
          <t>Acció realitzada</t>
        </is>
      </c>
      <c r="G390" s="11" t="inlineStr">
        <is>
          <t>no</t>
        </is>
      </c>
      <c r="H390" s="11" t="inlineStr">
        <is>
          <t>si</t>
        </is>
      </c>
      <c r="I390" s="11" t="inlineStr">
        <is>
          <t>MITJANA</t>
        </is>
      </c>
      <c r="J390" s="11" t="inlineStr">
        <is>
          <t>Ús Públic</t>
        </is>
      </c>
      <c r="K390" s="11" t="inlineStr">
        <is>
          <t>Núria</t>
        </is>
      </c>
      <c r="L390" s="11" t="inlineStr">
        <is>
          <t>COMUNICAR I DIFONDRE ELS VALORS DE L'ENP, contribuint a l'educació ambiental de la societat</t>
        </is>
      </c>
      <c r="M390" s="11" t="inlineStr">
        <is>
          <t>Disposar d'una comunicació ordenada efectiva, positiva i coordinada que arribi a la ciutadania i aquesta pugui reconèixer fàcilment</t>
        </is>
      </c>
      <c r="N390" s="11" t="inlineStr">
        <is>
          <t>Comú</t>
        </is>
      </c>
      <c r="O390" s="11" t="inlineStr">
        <is>
          <t>Obligatori</t>
        </is>
      </c>
      <c r="P390" s="11" t="inlineStr">
        <is>
          <t>Si</t>
        </is>
      </c>
      <c r="Q390" s="11" t="inlineStr">
        <is>
          <t>14.3.1 · Actualització del web segons el format i estàndards establerts des de Serveis Centrals — Acció realitzada</t>
        </is>
      </c>
    </row>
    <row r="391">
      <c r="A391" s="11" t="inlineStr">
        <is>
          <t>6. Educació, voluntariat i comunicació</t>
        </is>
      </c>
      <c r="B391" s="11" t="inlineStr">
        <is>
          <t>14.3.1</t>
        </is>
      </c>
      <c r="C391" s="11" t="inlineStr">
        <is>
          <t>Optimitzar els canals de comunicació</t>
        </is>
      </c>
      <c r="D391" s="11" t="inlineStr">
        <is>
          <t>Optimitzar els canals de comunicació</t>
        </is>
      </c>
      <c r="E391" s="11" t="inlineStr">
        <is>
          <t>Tenir un responsable/equip de comunicació amb formació tècnica que estudi la necessitat i viabilitat d'obrir nous canals comunicatius (butlletí, xxss, revistes etc.) conjuntament amb Serveis Centrals</t>
        </is>
      </c>
      <c r="F391" s="11" t="inlineStr">
        <is>
          <t>Hi ha un responsable</t>
        </is>
      </c>
      <c r="G391" s="11" t="inlineStr">
        <is>
          <t>no</t>
        </is>
      </c>
      <c r="H391" s="11" t="inlineStr">
        <is>
          <t>si</t>
        </is>
      </c>
      <c r="I391" s="11" t="inlineStr">
        <is>
          <t>ALTA</t>
        </is>
      </c>
      <c r="J391" s="11" t="inlineStr">
        <is>
          <t>Ús Públic</t>
        </is>
      </c>
      <c r="K391" s="11" t="inlineStr">
        <is>
          <t>Marc</t>
        </is>
      </c>
      <c r="L391" s="11" t="inlineStr">
        <is>
          <t>COMUNICAR I DIFONDRE ELS VALORS DE L'ENP, contribuint a l'educació ambiental de la societat</t>
        </is>
      </c>
      <c r="M391" s="11" t="inlineStr">
        <is>
          <t>Disposar d'una comunicació ordenada efectiva, positiva i coordinada que arribi a la ciutadania i aquesta pugui reconèixer fàcilment</t>
        </is>
      </c>
      <c r="N391" s="11" t="inlineStr">
        <is>
          <t>Comú</t>
        </is>
      </c>
      <c r="O391" s="11" t="inlineStr">
        <is>
          <t>Obligatori</t>
        </is>
      </c>
      <c r="P391" s="11" t="inlineStr">
        <is>
          <t>Si</t>
        </is>
      </c>
      <c r="Q391" s="11" t="inlineStr">
        <is>
          <t>14.3.1 · Tenir un responsable/equip de comunicació amb formació tècnica que estudi la necessitat i viabilitat d'obrir nous canals comunicatius (butlletí, xxss, — Hi ha un responsable</t>
        </is>
      </c>
    </row>
    <row r="392">
      <c r="A392" s="11" t="inlineStr">
        <is>
          <t>6. Educació, voluntariat i comunicació</t>
        </is>
      </c>
      <c r="B392" s="11" t="inlineStr">
        <is>
          <t>14.3.1</t>
        </is>
      </c>
      <c r="C392" s="11" t="inlineStr">
        <is>
          <t>Optimitzar els canals de comunicació</t>
        </is>
      </c>
      <c r="D392" s="11" t="inlineStr">
        <is>
          <t>Optimitzar els canals de comunicació</t>
        </is>
      </c>
      <c r="E392" s="11" t="inlineStr">
        <is>
          <t>Reunions d'equip periòdiques amb una freqüència no superior a 15 dies.</t>
        </is>
      </c>
      <c r="F392" s="11" t="inlineStr">
        <is>
          <t>Número reunions realitzades</t>
        </is>
      </c>
      <c r="G392" s="11" t="n">
        <v>48</v>
      </c>
      <c r="H392" s="11" t="n">
        <v>96</v>
      </c>
      <c r="I392" s="11" t="inlineStr">
        <is>
          <t>ALTA</t>
        </is>
      </c>
      <c r="J392" s="11" t="inlineStr">
        <is>
          <t>Direcció</t>
        </is>
      </c>
      <c r="K392" s="11" t="inlineStr">
        <is>
          <t>Marc</t>
        </is>
      </c>
      <c r="L392" s="11" t="inlineStr">
        <is>
          <t>COMUNICAR I DIFONDRE ELS VALORS DE L'ENP, contribuint a l'educació ambiental de la societat</t>
        </is>
      </c>
      <c r="M392" s="11" t="inlineStr">
        <is>
          <t>Disposar d'una comunicació ordenada efectiva, positiva i coordinada que arribi a la ciutadania i aquesta pugui reconèixer fàcilment</t>
        </is>
      </c>
      <c r="N392" s="11" t="inlineStr">
        <is>
          <t>Comú</t>
        </is>
      </c>
      <c r="O392" s="11" t="inlineStr">
        <is>
          <t>Obligatori</t>
        </is>
      </c>
      <c r="P392" s="11" t="inlineStr">
        <is>
          <t>Si</t>
        </is>
      </c>
      <c r="Q392" s="11" t="inlineStr">
        <is>
          <t>14.3.1 · Reunions d'equip periòdiques amb una freqüència no superior a 15 dies. — Número reunions realitzades</t>
        </is>
      </c>
    </row>
    <row r="393">
      <c r="A393" s="11" t="inlineStr">
        <is>
          <t>6. Educació, voluntariat i comunicació</t>
        </is>
      </c>
      <c r="B393" s="11" t="inlineStr">
        <is>
          <t>14.3.1</t>
        </is>
      </c>
      <c r="C393" s="11" t="inlineStr">
        <is>
          <t>Optimitzar els canals de comunicació</t>
        </is>
      </c>
      <c r="D393" s="11" t="inlineStr">
        <is>
          <t>Optimitzar els canals de comunicació</t>
        </is>
      </c>
      <c r="E393" s="11" t="inlineStr">
        <is>
          <t>Reunions bimensuals de coordinació de la Xarxa dels grups de conservació, d’ús públic i turisme, de gestió econòmica o RAE, d’educació ambiental, de centres de documentació, de millora rural, i de direcció.</t>
        </is>
      </c>
      <c r="F393" s="11" t="inlineStr">
        <is>
          <t>Número reunions realitzades</t>
        </is>
      </c>
      <c r="G393" s="11" t="n">
        <v>12</v>
      </c>
      <c r="H393" s="11" t="n">
        <v>24</v>
      </c>
      <c r="I393" s="11" t="inlineStr">
        <is>
          <t>MITJANA</t>
        </is>
      </c>
      <c r="J393" s="11" t="inlineStr">
        <is>
          <t>Direcció</t>
        </is>
      </c>
      <c r="K393" s="11" t="inlineStr">
        <is>
          <t>Marc</t>
        </is>
      </c>
      <c r="L393" s="11" t="inlineStr">
        <is>
          <t>COMUNICAR I DIFONDRE ELS VALORS DE L'ENP, contribuint a l'educació ambiental de la societat</t>
        </is>
      </c>
      <c r="M393" s="11" t="inlineStr">
        <is>
          <t>Disposar d'una comunicació ordenada efectiva, positiva i coordinada que arribi a la ciutadania i aquesta pugui reconèixer fàcilment</t>
        </is>
      </c>
      <c r="N393" s="11" t="inlineStr">
        <is>
          <t>Comú</t>
        </is>
      </c>
      <c r="O393" s="11" t="inlineStr">
        <is>
          <t>Obligatori</t>
        </is>
      </c>
      <c r="P393" s="11" t="inlineStr">
        <is>
          <t>Si</t>
        </is>
      </c>
      <c r="Q393" s="11" t="inlineStr">
        <is>
          <t>14.3.1 · Reunions bimensuals de coordinació de la Xarxa dels grups de conservació, d’ús públic i turisme, de gestió econòmica o RAE, d’educació ambiental, de c — Número reunions realitzades</t>
        </is>
      </c>
    </row>
    <row r="394">
      <c r="A394" s="11" t="inlineStr">
        <is>
          <t>6. Educació, voluntariat i comunicació</t>
        </is>
      </c>
      <c r="B394" s="11" t="inlineStr">
        <is>
          <t>14.3.2</t>
        </is>
      </c>
      <c r="C394" s="11" t="inlineStr">
        <is>
          <t>Garantir l'harmonització de la comunicació com a Parc, Xarxa i Generalitat.</t>
        </is>
      </c>
      <c r="D394" s="11" t="inlineStr">
        <is>
          <t>Garantir l'harmonització de la comunicació com a Parc, Xarxa i Generalitat.</t>
        </is>
      </c>
      <c r="E394" s="11" t="inlineStr">
        <is>
          <t>Planificació i disseny de la comunicació de cada Parc conjuntament amb els Serveis Centrals, per garantir-ne la imatge corporativa i la coherència com a xarxa (publicacions, xxss, web, NP, merxandatge etc.)</t>
        </is>
      </c>
      <c r="F394" s="11" t="inlineStr">
        <is>
          <t>Número reunions realitzades</t>
        </is>
      </c>
      <c r="G394" s="11" t="n">
        <v>4</v>
      </c>
      <c r="H394" s="11" t="n">
        <v>12</v>
      </c>
      <c r="I394" s="11" t="inlineStr">
        <is>
          <t>MITJANA</t>
        </is>
      </c>
      <c r="J394" s="11" t="inlineStr">
        <is>
          <t>Direcció</t>
        </is>
      </c>
      <c r="K394" s="11" t="inlineStr">
        <is>
          <t>Marc</t>
        </is>
      </c>
      <c r="L394" s="11" t="inlineStr">
        <is>
          <t>COMUNICAR I DIFONDRE ELS VALORS DE L'ENP, contribuint a l'educació ambiental de la societat</t>
        </is>
      </c>
      <c r="M394" s="11" t="inlineStr">
        <is>
          <t>Disposar d'una comunicació ordenada efectiva, positiva i coordinada que arribi a la ciutadania i aquesta pugui reconèixer fàcilment</t>
        </is>
      </c>
      <c r="N394" s="11" t="inlineStr">
        <is>
          <t>Comú</t>
        </is>
      </c>
      <c r="O394" s="11" t="inlineStr">
        <is>
          <t>Obligatori</t>
        </is>
      </c>
      <c r="P394" s="11" t="inlineStr">
        <is>
          <t>Si</t>
        </is>
      </c>
      <c r="Q394" s="11" t="inlineStr">
        <is>
          <t>14.3.2 · Planificació i disseny de la comunicació de cada Parc conjuntament amb els Serveis Centrals, per garantir-ne la imatge corporativa i la coherència com — Número reunions realitzades</t>
        </is>
      </c>
    </row>
    <row r="395">
      <c r="A395" s="11" t="inlineStr">
        <is>
          <t>6. Educació, voluntariat i comunicació</t>
        </is>
      </c>
      <c r="B395" s="11" t="inlineStr">
        <is>
          <t>14.3.2</t>
        </is>
      </c>
      <c r="C395" s="11" t="inlineStr">
        <is>
          <t>Garantir l'harmonització de la comunicació com a Parc, Xarxa i Generalitat.</t>
        </is>
      </c>
      <c r="D395" s="11" t="inlineStr">
        <is>
          <t>Garantir l'harmonització de la comunicació com a Parc, Xarxa i Generalitat.</t>
        </is>
      </c>
      <c r="E395" s="11" t="inlineStr">
        <is>
          <t>Elaboració i aplicació del Pla de comunicació de l'ENP que inclogui: els protocols vigents d'informació i comunicació, l'aplicació dels manuals existents i vigents en quan a comunicació corporativa i el protocol comunicatiu específic per a Juntes Rectores d'ENP</t>
        </is>
      </c>
      <c r="F395" s="11" t="inlineStr">
        <is>
          <t>Acció realitzada</t>
        </is>
      </c>
      <c r="G395" s="11" t="inlineStr">
        <is>
          <t>no</t>
        </is>
      </c>
      <c r="H395" s="11" t="inlineStr">
        <is>
          <t>si</t>
        </is>
      </c>
      <c r="I395" s="11" t="inlineStr">
        <is>
          <t>ALTA</t>
        </is>
      </c>
      <c r="J395" s="11" t="inlineStr">
        <is>
          <t>Direcció</t>
        </is>
      </c>
      <c r="K395" s="11" t="inlineStr">
        <is>
          <t>Marc</t>
        </is>
      </c>
      <c r="L395" s="11" t="inlineStr">
        <is>
          <t>COMUNICAR I DIFONDRE ELS VALORS DE L'ENP, contribuint a l'educació ambiental de la societat</t>
        </is>
      </c>
      <c r="M395" s="11" t="inlineStr">
        <is>
          <t>Disposar d'una comunicació ordenada efectiva, positiva i coordinada que arribi a la ciutadania i aquesta pugui reconèixer fàcilment</t>
        </is>
      </c>
      <c r="N395" s="11" t="inlineStr">
        <is>
          <t>Comú</t>
        </is>
      </c>
      <c r="O395" s="11" t="inlineStr">
        <is>
          <t>Obligatori</t>
        </is>
      </c>
      <c r="P395" s="11" t="inlineStr">
        <is>
          <t>Si</t>
        </is>
      </c>
      <c r="Q395" s="11" t="inlineStr">
        <is>
          <t>14.3.2 · Elaboració i aplicació del Pla de comunicació de l'ENP que inclogui: els protocols vigents d'informació i comunicació, l'aplicació dels manuals existe — Acció realitzada</t>
        </is>
      </c>
    </row>
    <row r="396">
      <c r="A396" s="11" t="inlineStr">
        <is>
          <t>6. Educació, voluntariat i comunicació</t>
        </is>
      </c>
      <c r="B396" s="11" t="inlineStr">
        <is>
          <t>14.3.2</t>
        </is>
      </c>
      <c r="C396" s="11" t="inlineStr">
        <is>
          <t>Garantir l'harmonització de la comunicació com a Parc, Xarxa i Generalitat.</t>
        </is>
      </c>
      <c r="D396" s="11" t="inlineStr">
        <is>
          <t>Garantir l'harmonització de la comunicació com a Parc, Xarxa i Generalitat.</t>
        </is>
      </c>
      <c r="E396" s="11" t="inlineStr">
        <is>
          <t>Participació en els espais d'intercanvi d'informació entre ENP</t>
        </is>
      </c>
      <c r="F396" s="11" t="inlineStr">
        <is>
          <t>Número sessions en que s'ha participat</t>
        </is>
      </c>
      <c r="G396" s="11" t="n">
        <v>3</v>
      </c>
      <c r="H396" s="11" t="n">
        <v>12</v>
      </c>
      <c r="I396" s="11" t="inlineStr">
        <is>
          <t>MITJANA</t>
        </is>
      </c>
      <c r="J396" s="11" t="inlineStr">
        <is>
          <t>Direcció</t>
        </is>
      </c>
      <c r="K396" s="11" t="inlineStr">
        <is>
          <t>Marc</t>
        </is>
      </c>
      <c r="L396" s="11" t="inlineStr">
        <is>
          <t>COMUNICAR I DIFONDRE ELS VALORS DE L'ENP, contribuint a l'educació ambiental de la societat</t>
        </is>
      </c>
      <c r="M396" s="11" t="inlineStr">
        <is>
          <t>Disposar d'una comunicació ordenada efectiva, positiva i coordinada que arribi a la ciutadania i aquesta pugui reconèixer fàcilment</t>
        </is>
      </c>
      <c r="N396" s="11" t="inlineStr">
        <is>
          <t>Comú</t>
        </is>
      </c>
      <c r="O396" s="11" t="inlineStr">
        <is>
          <t>Obligatori</t>
        </is>
      </c>
      <c r="P396" s="11" t="inlineStr">
        <is>
          <t>Si</t>
        </is>
      </c>
      <c r="Q396" s="11" t="inlineStr">
        <is>
          <t>14.3.2 · Participació en els espais d'intercanvi d'informació entre ENP — Número sessions en que s'ha participat</t>
        </is>
      </c>
    </row>
    <row r="397">
      <c r="A397" s="11" t="inlineStr">
        <is>
          <t>7. Gestió i administració</t>
        </is>
      </c>
      <c r="B397" s="11" t="inlineStr">
        <is>
          <t>15.1.1</t>
        </is>
      </c>
      <c r="C397" s="11" t="inlineStr">
        <is>
          <t>Crear una taula de treball amb els agents prioritaris per a la gestió de l'ENP i els grups de treball temàtics necessaris</t>
        </is>
      </c>
      <c r="D397" s="11" t="inlineStr">
        <is>
          <t>Crear una taula de treball amb els agents prioritaris per a la gestió de l'ENP i els grups de treball temàtics necessaris</t>
        </is>
      </c>
      <c r="E397" s="11" t="inlineStr">
        <is>
          <t>Creació i dinamització de la comissió ramadera del Parc</t>
        </is>
      </c>
      <c r="F397" s="11" t="inlineStr">
        <is>
          <t>Número de sessions de la comissió</t>
        </is>
      </c>
      <c r="G397" s="11" t="n">
        <v>4</v>
      </c>
      <c r="H397" s="11" t="n">
        <v>8</v>
      </c>
      <c r="I397" s="11" t="inlineStr">
        <is>
          <t>ALTA</t>
        </is>
      </c>
      <c r="J397" s="11" t="inlineStr">
        <is>
          <t>Direcció</t>
        </is>
      </c>
      <c r="K397" s="11" t="inlineStr">
        <is>
          <t>Marc</t>
        </is>
      </c>
      <c r="L397" s="11" t="inlineStr">
        <is>
          <t>ESTABLIR EL MARC PER A LA GOVERNANÇA i la gestió eficient de l'espai i la xarxa d'ENP</t>
        </is>
      </c>
      <c r="M397" s="11" t="inlineStr">
        <is>
          <t>Disposar d'espais per a la participació de personal expert i agents del territori en la governança de l'ENP</t>
        </is>
      </c>
      <c r="N397" s="11" t="inlineStr">
        <is>
          <t>Comú</t>
        </is>
      </c>
      <c r="O397" s="11" t="inlineStr">
        <is>
          <t>Optatiu</t>
        </is>
      </c>
      <c r="P397" s="11" t="inlineStr"/>
      <c r="Q397" s="11" t="inlineStr">
        <is>
          <t>15.1.1 · Creació i dinamització de la comissió ramadera del Parc — Número de sessions de la comissió</t>
        </is>
      </c>
    </row>
    <row r="398">
      <c r="A398" s="11" t="inlineStr">
        <is>
          <t>7. Gestió i administració</t>
        </is>
      </c>
      <c r="B398" s="11" t="inlineStr">
        <is>
          <t>15.1.1</t>
        </is>
      </c>
      <c r="C398" s="11" t="inlineStr">
        <is>
          <t>Crear una taula de treball amb els agents prioritaris per a la gestió de l'ENP i els grups de treball temàtics necessaris</t>
        </is>
      </c>
      <c r="D398" s="11" t="inlineStr">
        <is>
          <t>Crear una taula de treball amb els agents prioritaris per a la gestió de l'ENP i els grups de treball temàtics necessaris</t>
        </is>
      </c>
      <c r="E398" s="11" t="inlineStr">
        <is>
          <t>Recuperar les reunions de la Comissió permanent del Parc</t>
        </is>
      </c>
      <c r="F398" s="11" t="inlineStr">
        <is>
          <t>Número de sessions de la comissió</t>
        </is>
      </c>
      <c r="G398" s="11" t="n">
        <v>4</v>
      </c>
      <c r="H398" s="11" t="n">
        <v>8</v>
      </c>
      <c r="I398" s="11" t="inlineStr">
        <is>
          <t>MITJANA</t>
        </is>
      </c>
      <c r="J398" s="11" t="inlineStr"/>
      <c r="K398" s="11" t="inlineStr"/>
      <c r="L398" s="11" t="inlineStr">
        <is>
          <t>ESTABLIR EL MARC PER A LA GOVERNANÇA i la gestió eficient de l'espai i la xarxa d'ENP</t>
        </is>
      </c>
      <c r="M398" s="11" t="inlineStr">
        <is>
          <t>Disposar d'espais per a la participació de personal expert i agents del territori en la governança de l'ENP</t>
        </is>
      </c>
      <c r="N398" s="11" t="inlineStr">
        <is>
          <t>Comú</t>
        </is>
      </c>
      <c r="O398" s="11" t="inlineStr">
        <is>
          <t>Optatiu</t>
        </is>
      </c>
      <c r="P398" s="11" t="inlineStr"/>
      <c r="Q398" s="11" t="inlineStr">
        <is>
          <t>15.1.1 · Recuperar les reunions de la Comissió permanent del Parc — Número de sessions de la comissió</t>
        </is>
      </c>
    </row>
    <row r="399">
      <c r="A399" s="11" t="inlineStr">
        <is>
          <t>7. Gestió i administració</t>
        </is>
      </c>
      <c r="B399" s="11" t="inlineStr">
        <is>
          <t>15.1.1</t>
        </is>
      </c>
      <c r="C399" s="11" t="inlineStr">
        <is>
          <t>Crear una taula de treball amb els agents prioritaris per a la gestió de l'ENP i els grups de treball temàtics necessaris</t>
        </is>
      </c>
      <c r="D399" s="11" t="inlineStr">
        <is>
          <t>Crear una taula de treball amb els agents prioritaris per a la gestió de l'ENP i els grups de treball temàtics necessaris</t>
        </is>
      </c>
      <c r="E399" s="11" t="inlineStr">
        <is>
          <t>Activar de forma transparent i participativa el Consell de Cooperació del Parc del Pallars Sobirà i de l’Alt Urgell per donar veu a entitats de cada comarca</t>
        </is>
      </c>
      <c r="F399" s="11" t="inlineStr">
        <is>
          <t>Número de reunions realitzades</t>
        </is>
      </c>
      <c r="G399" s="11" t="n">
        <v>2</v>
      </c>
      <c r="H399" s="11" t="n">
        <v>8</v>
      </c>
      <c r="I399" s="11" t="inlineStr">
        <is>
          <t>MITJANA</t>
        </is>
      </c>
      <c r="J399" s="11" t="inlineStr"/>
      <c r="K399" s="11" t="inlineStr"/>
      <c r="L399" s="11" t="inlineStr">
        <is>
          <t>ESTABLIR EL MARC PER A LA GOVERNANÇA i la gestió eficient de l'espai i la xarxa d'ENP</t>
        </is>
      </c>
      <c r="M399" s="11" t="inlineStr">
        <is>
          <t>Disposar d'espais per a la participació de personal expert i agents del territori en la governança de l'ENP</t>
        </is>
      </c>
      <c r="N399" s="11" t="inlineStr">
        <is>
          <t>Comú</t>
        </is>
      </c>
      <c r="O399" s="11" t="inlineStr">
        <is>
          <t>Optatiu</t>
        </is>
      </c>
      <c r="P399" s="11" t="inlineStr"/>
      <c r="Q399" s="11" t="inlineStr">
        <is>
          <t>15.1.1 · Activar de forma transparent i participativa el Consell de Cooperació del Parc del Pallars Sobirà i de l’Alt Urgell per donar veu a entitats de cada c — Número de reunions realitzades</t>
        </is>
      </c>
    </row>
    <row r="400">
      <c r="A400" s="11" t="inlineStr">
        <is>
          <t>7. Gestió i administració</t>
        </is>
      </c>
      <c r="B400" s="11" t="inlineStr">
        <is>
          <t>15.1.1</t>
        </is>
      </c>
      <c r="C400" s="11" t="inlineStr">
        <is>
          <t>Crear una taula de treball amb els agents prioritaris per a la gestió de l'ENP i els grups de treball temàtics necessaris</t>
        </is>
      </c>
      <c r="D400" s="11" t="inlineStr">
        <is>
          <t>Crear una taula de treball amb els agents prioritaris per a la gestió de l'ENP i els grups de treball temàtics necessaris</t>
        </is>
      </c>
      <c r="E400" s="11" t="inlineStr">
        <is>
          <t>Crear i convocar el Consell Municipal del Parc per donar més pes als ens locals, abans de cada junta rectora</t>
        </is>
      </c>
      <c r="F400" s="11" t="inlineStr">
        <is>
          <t>Número de reunions realitzades</t>
        </is>
      </c>
      <c r="G400" s="11" t="n">
        <v>2</v>
      </c>
      <c r="H400" s="11" t="n">
        <v>8</v>
      </c>
      <c r="I400" s="11" t="inlineStr">
        <is>
          <t>ALTA</t>
        </is>
      </c>
      <c r="J400" s="11" t="inlineStr"/>
      <c r="K400" s="11" t="inlineStr"/>
      <c r="L400" s="11" t="inlineStr">
        <is>
          <t>ESTABLIR EL MARC PER A LA GOVERNANÇA i la gestió eficient de l'espai i la xarxa d'ENP</t>
        </is>
      </c>
      <c r="M400" s="11" t="inlineStr">
        <is>
          <t>Disposar d'espais per a la participació de personal expert i agents del territori en la governança de l'ENP</t>
        </is>
      </c>
      <c r="N400" s="11" t="inlineStr">
        <is>
          <t>Comú</t>
        </is>
      </c>
      <c r="O400" s="11" t="inlineStr">
        <is>
          <t>Optatiu</t>
        </is>
      </c>
      <c r="P400" s="11" t="inlineStr"/>
      <c r="Q400" s="11" t="inlineStr">
        <is>
          <t>15.1.1 · Crear i convocar el Consell Municipal del Parc per donar més pes als ens locals, abans de cada junta rectora — Número de reunions realitzades</t>
        </is>
      </c>
    </row>
    <row r="401">
      <c r="A401" s="11" t="inlineStr">
        <is>
          <t>7. Gestió i administració</t>
        </is>
      </c>
      <c r="B401" s="11" t="inlineStr">
        <is>
          <t>15.1.1</t>
        </is>
      </c>
      <c r="C401" s="11" t="inlineStr">
        <is>
          <t>Crear una taula de treball amb els agents prioritaris per a la gestió de l'ENP i els grups de treball temàtics necessaris</t>
        </is>
      </c>
      <c r="D401" s="11" t="inlineStr">
        <is>
          <t>Crear una taula de treball amb els agents prioritaris per a la gestió de l'ENP i els grups de treball temàtics necessaris</t>
        </is>
      </c>
      <c r="E401" s="11" t="inlineStr">
        <is>
          <t>Rebre assessorament professional extern per tal de millorar el sistema de funcionament i participació de la Junta Rectora</t>
        </is>
      </c>
      <c r="F401" s="11" t="inlineStr">
        <is>
          <t>Número de millores realitzades en el funcionament</t>
        </is>
      </c>
      <c r="G401" s="11" t="n">
        <v>1</v>
      </c>
      <c r="H401" s="11" t="n">
        <v>4</v>
      </c>
      <c r="I401" s="11" t="inlineStr">
        <is>
          <t>ALTA</t>
        </is>
      </c>
      <c r="J401" s="11" t="inlineStr"/>
      <c r="K401" s="11" t="inlineStr"/>
      <c r="L401" s="11" t="inlineStr">
        <is>
          <t>ESTABLIR EL MARC PER A LA GOVERNANÇA i la gestió eficient de l'espai i la xarxa d'ENP</t>
        </is>
      </c>
      <c r="M401" s="11" t="inlineStr">
        <is>
          <t>Disposar d'espais per a la participació de personal expert i agents del territori en la governança de l'ENP</t>
        </is>
      </c>
      <c r="N401" s="11" t="inlineStr">
        <is>
          <t>Comú</t>
        </is>
      </c>
      <c r="O401" s="11" t="inlineStr">
        <is>
          <t>Optatiu</t>
        </is>
      </c>
      <c r="P401" s="11" t="inlineStr"/>
      <c r="Q401" s="11" t="inlineStr">
        <is>
          <t>15.1.1 · Rebre assessorament professional extern per tal de millorar el sistema de funcionament i participació de la Junta Rectora — Número de millores realitzades en el funcionament</t>
        </is>
      </c>
    </row>
    <row r="402">
      <c r="A402" s="11" t="inlineStr">
        <is>
          <t>7. Gestió i administració</t>
        </is>
      </c>
      <c r="B402" s="11" t="inlineStr">
        <is>
          <t>15.1.1</t>
        </is>
      </c>
      <c r="C402" s="11" t="inlineStr">
        <is>
          <t>Crear una taula de treball amb els agents prioritaris per a la gestió de l'ENP i els grups de treball temàtics necessaris</t>
        </is>
      </c>
      <c r="D402" s="11" t="inlineStr">
        <is>
          <t>Crear una taula de treball amb els agents prioritaris per a la gestió de l'ENP i els grups de treball temàtics necessaris</t>
        </is>
      </c>
      <c r="E402" s="11" t="inlineStr">
        <is>
          <t>Creació d’una taula de treball tècnic transfronterer entre els equips de gestió del Parc Pirinenc de les Tres Nacions en el marc del POCTEFA PP3N i desenvolupar les accions previstes</t>
        </is>
      </c>
      <c r="F402" s="11" t="inlineStr">
        <is>
          <t>Número d’accions realitzades conjuntament</t>
        </is>
      </c>
      <c r="G402" s="11" t="n">
        <v>7</v>
      </c>
      <c r="H402" s="11" t="n">
        <v>15</v>
      </c>
      <c r="I402" s="11" t="inlineStr">
        <is>
          <t>MITJANA</t>
        </is>
      </c>
      <c r="J402" s="11" t="inlineStr"/>
      <c r="K402" s="11" t="inlineStr"/>
      <c r="L402" s="11" t="inlineStr">
        <is>
          <t>ESTABLIR EL MARC PER A LA GOVERNANÇA i la gestió eficient de l'espai i la xarxa d'ENP</t>
        </is>
      </c>
      <c r="M402" s="11" t="inlineStr">
        <is>
          <t>Disposar d'espais per a la participació de personal expert i agents del territori en la governança de l'ENP</t>
        </is>
      </c>
      <c r="N402" s="11" t="inlineStr">
        <is>
          <t>Comú</t>
        </is>
      </c>
      <c r="O402" s="11" t="inlineStr">
        <is>
          <t>Optatiu</t>
        </is>
      </c>
      <c r="P402" s="11" t="inlineStr"/>
      <c r="Q402" s="11" t="inlineStr">
        <is>
          <t>15.1.1 · Creació d’una taula de treball tècnic transfronterer entre els equips de gestió del Parc Pirinenc de les Tres Nacions en el marc del POCTEFA PP3N i de — Número d’accions realitzades conjuntament</t>
        </is>
      </c>
    </row>
    <row r="403">
      <c r="A403" s="11" t="inlineStr">
        <is>
          <t>7. Gestió i administració</t>
        </is>
      </c>
      <c r="B403" s="11" t="inlineStr">
        <is>
          <t>15.1.1</t>
        </is>
      </c>
      <c r="C403" s="11" t="inlineStr">
        <is>
          <t>Crear una taula de treball amb els agents prioritaris per a la gestió de l'ENP i els grups de treball temàtics necessaris</t>
        </is>
      </c>
      <c r="D403" s="11" t="inlineStr">
        <is>
          <t>Crear una taula de treball amb els agents prioritaris per a la gestió de l'ENP i els grups de treball temàtics necessaris</t>
        </is>
      </c>
      <c r="E403" s="11" t="inlineStr">
        <is>
          <t>Creació d’una taula de treball tècnic transfronterer entre els equips de gestió de la Xarxa de Parcs Pirinencs i generar projectes POCTEFA conjunts i intercanvis</t>
        </is>
      </c>
      <c r="F403" s="11" t="inlineStr">
        <is>
          <t>Acció realitzada</t>
        </is>
      </c>
      <c r="G403" s="11" t="inlineStr">
        <is>
          <t>no</t>
        </is>
      </c>
      <c r="H403" s="11" t="inlineStr">
        <is>
          <t>si</t>
        </is>
      </c>
      <c r="I403" s="11" t="inlineStr">
        <is>
          <t>MITJANA</t>
        </is>
      </c>
      <c r="J403" s="11" t="inlineStr"/>
      <c r="K403" s="11" t="inlineStr"/>
      <c r="L403" s="11" t="inlineStr">
        <is>
          <t>ESTABLIR EL MARC PER A LA GOVERNANÇA i la gestió eficient de l'espai i la xarxa d'ENP</t>
        </is>
      </c>
      <c r="M403" s="11" t="inlineStr">
        <is>
          <t>Disposar d'espais per a la participació de personal expert i agents del territori en la governança de l'ENP</t>
        </is>
      </c>
      <c r="N403" s="11" t="inlineStr">
        <is>
          <t>Comú</t>
        </is>
      </c>
      <c r="O403" s="11" t="inlineStr">
        <is>
          <t>Optatiu</t>
        </is>
      </c>
      <c r="P403" s="11" t="inlineStr"/>
      <c r="Q403" s="11" t="inlineStr">
        <is>
          <t>15.1.1 · Creació d’una taula de treball tècnic transfronterer entre els equips de gestió de la Xarxa de Parcs Pirinencs i generar projectes POCTEFA conjunts i  — Acció realitzada</t>
        </is>
      </c>
    </row>
    <row r="404">
      <c r="A404" s="11" t="inlineStr">
        <is>
          <t>7. Gestió i administració</t>
        </is>
      </c>
      <c r="B404" s="11" t="inlineStr">
        <is>
          <t>15.1.2</t>
        </is>
      </c>
      <c r="C404" s="11" t="inlineStr">
        <is>
          <t>Disposar d'assessorament científic en l'ENP</t>
        </is>
      </c>
      <c r="D404" s="11" t="inlineStr">
        <is>
          <t>Disposar d'assessorament científic en l'ENP</t>
        </is>
      </c>
      <c r="E404" s="11" t="inlineStr">
        <is>
          <t>Dinamització de la comissió científica del Parc ja existent</t>
        </is>
      </c>
      <c r="F404" s="11" t="inlineStr">
        <is>
          <t>Número de sessions de la comissió</t>
        </is>
      </c>
      <c r="G404" s="11" t="n">
        <v>4</v>
      </c>
      <c r="H404" s="11" t="n">
        <v>8</v>
      </c>
      <c r="I404" s="11" t="inlineStr">
        <is>
          <t>MITJANA</t>
        </is>
      </c>
      <c r="J404" s="11" t="inlineStr">
        <is>
          <t>Observatori</t>
        </is>
      </c>
      <c r="K404" s="11" t="inlineStr">
        <is>
          <t>Oriol</t>
        </is>
      </c>
      <c r="L404" s="11" t="inlineStr">
        <is>
          <t>ESTABLIR EL MARC PER A LA GOVERNANÇA i la gestió eficient de l'espai i la xarxa d'ENP</t>
        </is>
      </c>
      <c r="M404" s="11" t="inlineStr">
        <is>
          <t>Disposar d'espais per a la participació de personal expert i agents del territori en la governança de l'ENP</t>
        </is>
      </c>
      <c r="N404" s="11" t="inlineStr">
        <is>
          <t>Comú</t>
        </is>
      </c>
      <c r="O404" s="11" t="inlineStr">
        <is>
          <t>Optatiu</t>
        </is>
      </c>
      <c r="P404" s="11" t="inlineStr"/>
      <c r="Q404" s="11" t="inlineStr">
        <is>
          <t>15.1.2 · Dinamització de la comissió científica del Parc ja existent — Número de sessions de la comissió</t>
        </is>
      </c>
    </row>
    <row r="405">
      <c r="A405" s="11" t="inlineStr">
        <is>
          <t>7. Gestió i administració</t>
        </is>
      </c>
      <c r="B405" s="11" t="inlineStr">
        <is>
          <t>15.1.3</t>
        </is>
      </c>
      <c r="C405" s="11" t="inlineStr">
        <is>
          <t>Incloure entitats i organismes científics i culturals de referència en els mecanismes de presa de decisions de l'ENP</t>
        </is>
      </c>
      <c r="D405" s="11" t="inlineStr">
        <is>
          <t>Incloure entitats i organismes científics i culturals de referència en els mecanismes de presa de decisions de l'ENP</t>
        </is>
      </c>
      <c r="E405" s="11" t="inlineStr"/>
      <c r="F405" s="11" t="inlineStr"/>
      <c r="G405" s="11" t="n"/>
      <c r="H405" s="11" t="n"/>
      <c r="I405" s="11" t="inlineStr"/>
      <c r="J405" s="11" t="inlineStr"/>
      <c r="K405" s="11" t="inlineStr"/>
      <c r="L405" s="11" t="inlineStr">
        <is>
          <t>ESTABLIR EL MARC PER A LA GOVERNANÇA i la gestió eficient de l'espai i la xarxa d'ENP</t>
        </is>
      </c>
      <c r="M405" s="11" t="inlineStr">
        <is>
          <t>Disposar d'espais per a la participació de personal expert i agents del territori en la governança de l'ENP</t>
        </is>
      </c>
      <c r="N405" s="11" t="inlineStr">
        <is>
          <t>Comú</t>
        </is>
      </c>
      <c r="O405" s="11" t="inlineStr">
        <is>
          <t>Optatiu</t>
        </is>
      </c>
      <c r="P405" s="11" t="inlineStr"/>
      <c r="Q405" s="11" t="inlineStr">
        <is>
          <t>15.1.3 · (cap acció definida al Pla)</t>
        </is>
      </c>
    </row>
    <row r="406">
      <c r="A406" s="11" t="inlineStr">
        <is>
          <t>7. Gestió i administració</t>
        </is>
      </c>
      <c r="B406" s="11" t="inlineStr">
        <is>
          <t>15.1.4</t>
        </is>
      </c>
      <c r="C406" s="11" t="inlineStr">
        <is>
          <t>Adaptar i desplegar el model de governança dels espais naturals protegits</t>
        </is>
      </c>
      <c r="D406" s="11" t="inlineStr">
        <is>
          <t>Adaptar i desplegar el model de governança dels espais naturals protegits</t>
        </is>
      </c>
      <c r="E406" s="11" t="inlineStr">
        <is>
          <t>Presentació i aprovació de la proposta de Pla Estratègic a la Junta Rectora i engegar un procés participatiu per rebre aportacions</t>
        </is>
      </c>
      <c r="F406" s="11" t="inlineStr">
        <is>
          <t>Acció realitzada</t>
        </is>
      </c>
      <c r="G406" s="11" t="inlineStr">
        <is>
          <t>no</t>
        </is>
      </c>
      <c r="H406" s="11" t="inlineStr">
        <is>
          <t>si</t>
        </is>
      </c>
      <c r="I406" s="11" t="inlineStr">
        <is>
          <t>MÀXIMA</t>
        </is>
      </c>
      <c r="J406" s="11" t="inlineStr">
        <is>
          <t>Direcció</t>
        </is>
      </c>
      <c r="K406" s="11" t="inlineStr">
        <is>
          <t>Marc</t>
        </is>
      </c>
      <c r="L406" s="11" t="inlineStr">
        <is>
          <t>ESTABLIR EL MARC PER A LA GOVERNANÇA i la gestió eficient de l'espai i la xarxa d'ENP</t>
        </is>
      </c>
      <c r="M406" s="11" t="inlineStr">
        <is>
          <t>Disposar d'espais per a la participació de personal expert i agents del territori en la governança de l'ENP</t>
        </is>
      </c>
      <c r="N406" s="11" t="inlineStr">
        <is>
          <t>Comú</t>
        </is>
      </c>
      <c r="O406" s="11" t="inlineStr">
        <is>
          <t>Obligatori</t>
        </is>
      </c>
      <c r="P406" s="11" t="inlineStr">
        <is>
          <t>Si</t>
        </is>
      </c>
      <c r="Q406" s="11" t="inlineStr">
        <is>
          <t>15.1.4 · Presentació i aprovació de la proposta de Pla Estratègic a la Junta Rectora i engegar un procés participatiu per rebre aportacions — Acció realitzada</t>
        </is>
      </c>
    </row>
    <row r="407">
      <c r="A407" s="11" t="inlineStr">
        <is>
          <t>7. Gestió i administració</t>
        </is>
      </c>
      <c r="B407" s="11" t="inlineStr">
        <is>
          <t>15.1.4</t>
        </is>
      </c>
      <c r="C407" s="11" t="inlineStr">
        <is>
          <t>Adaptar i desplegar el model de governança dels espais naturals protegits</t>
        </is>
      </c>
      <c r="D407" s="11" t="inlineStr">
        <is>
          <t>Adaptar i desplegar el model de governança dels espais naturals protegits</t>
        </is>
      </c>
      <c r="E407" s="11" t="inlineStr">
        <is>
          <t>Realitzar un procés participatiu el 2028 per avaluar el Pla present i preparar el proper Pla Estratègic 2029 - 2032</t>
        </is>
      </c>
      <c r="F407" s="11" t="inlineStr">
        <is>
          <t>Acció realitzada</t>
        </is>
      </c>
      <c r="G407" s="11" t="inlineStr">
        <is>
          <t>no</t>
        </is>
      </c>
      <c r="H407" s="11" t="inlineStr">
        <is>
          <t>si</t>
        </is>
      </c>
      <c r="I407" s="11" t="inlineStr">
        <is>
          <t>ALTA</t>
        </is>
      </c>
      <c r="J407" s="11" t="inlineStr"/>
      <c r="K407" s="11" t="inlineStr"/>
      <c r="L407" s="11" t="inlineStr">
        <is>
          <t>ESTABLIR EL MARC PER A LA GOVERNANÇA i la gestió eficient de l'espai i la xarxa d'ENP</t>
        </is>
      </c>
      <c r="M407" s="11" t="inlineStr">
        <is>
          <t>Disposar d'espais per a la participació de personal expert i agents del territori en la governança de l'ENP</t>
        </is>
      </c>
      <c r="N407" s="11" t="inlineStr">
        <is>
          <t>Comú</t>
        </is>
      </c>
      <c r="O407" s="11" t="inlineStr">
        <is>
          <t>Obligatori</t>
        </is>
      </c>
      <c r="P407" s="11" t="inlineStr">
        <is>
          <t>Si</t>
        </is>
      </c>
      <c r="Q407" s="11" t="inlineStr">
        <is>
          <t>15.1.4 · Realitzar un procés participatiu el 2028 per avaluar el Pla present i preparar el proper Pla Estratègic 2029 - 2032 — Acció realitzada</t>
        </is>
      </c>
    </row>
    <row r="408">
      <c r="A408" s="11" t="inlineStr">
        <is>
          <t>7. Gestió i administració</t>
        </is>
      </c>
      <c r="B408" s="11" t="inlineStr">
        <is>
          <t>15.1.4</t>
        </is>
      </c>
      <c r="C408" s="11" t="inlineStr">
        <is>
          <t>Adaptar i desplegar el model de governança dels espais naturals protegits</t>
        </is>
      </c>
      <c r="D408" s="11" t="inlineStr">
        <is>
          <t>Adaptar i desplegar el model de governança dels espais naturals protegits</t>
        </is>
      </c>
      <c r="E408" s="11" t="inlineStr">
        <is>
          <t>Creació d’un nou model de governança a nivell transfronterer del Parc Pirinenc de les Tres Nacions en el marc del POCTEFA PP3N</t>
        </is>
      </c>
      <c r="F408" s="11" t="inlineStr">
        <is>
          <t>Acció realitzada</t>
        </is>
      </c>
      <c r="G408" s="11" t="inlineStr">
        <is>
          <t>no</t>
        </is>
      </c>
      <c r="H408" s="11" t="inlineStr">
        <is>
          <t>si</t>
        </is>
      </c>
      <c r="I408" s="11" t="inlineStr">
        <is>
          <t>MÀXIMA</t>
        </is>
      </c>
      <c r="J408" s="11" t="inlineStr"/>
      <c r="K408" s="11" t="inlineStr"/>
      <c r="L408" s="11" t="inlineStr">
        <is>
          <t>ESTABLIR EL MARC PER A LA GOVERNANÇA i la gestió eficient de l'espai i la xarxa d'ENP</t>
        </is>
      </c>
      <c r="M408" s="11" t="inlineStr">
        <is>
          <t>Disposar d'espais per a la participació de personal expert i agents del territori en la governança de l'ENP</t>
        </is>
      </c>
      <c r="N408" s="11" t="inlineStr">
        <is>
          <t>Comú</t>
        </is>
      </c>
      <c r="O408" s="11" t="inlineStr">
        <is>
          <t>Obligatori</t>
        </is>
      </c>
      <c r="P408" s="11" t="inlineStr">
        <is>
          <t>Si</t>
        </is>
      </c>
      <c r="Q408" s="11" t="inlineStr">
        <is>
          <t>15.1.4 · Creació d’un nou model de governança a nivell transfronterer del Parc Pirinenc de les Tres Nacions en el marc del POCTEFA PP3N — Acció realitzada</t>
        </is>
      </c>
    </row>
    <row r="409">
      <c r="A409" s="11" t="inlineStr">
        <is>
          <t>7. Gestió i administració</t>
        </is>
      </c>
      <c r="B409" s="11" t="inlineStr">
        <is>
          <t>16.1.1</t>
        </is>
      </c>
      <c r="C409" s="11" t="inlineStr">
        <is>
          <t>Millorar el sistema de control de l'execució del pressupost, d'acord amb les indicacions de Serveis Centrals</t>
        </is>
      </c>
      <c r="D409" s="11" t="inlineStr">
        <is>
          <t>Millorar el sistema de control de l'execució del pressupost, d'acord amb les indicacions de Serveis Centrals</t>
        </is>
      </c>
      <c r="E409" s="11" t="inlineStr">
        <is>
          <t>Aplicació del nou sistema de seguiment pressupostari conjunt per a tots els ENP per al control de les despeses (quan entri en funcionament).</t>
        </is>
      </c>
      <c r="F409" s="11" t="inlineStr">
        <is>
          <t>Acció realitzada</t>
        </is>
      </c>
      <c r="G409" s="11" t="inlineStr">
        <is>
          <t>no</t>
        </is>
      </c>
      <c r="H409" s="11" t="inlineStr">
        <is>
          <t>si</t>
        </is>
      </c>
      <c r="I409" s="11" t="inlineStr">
        <is>
          <t>MITJANA</t>
        </is>
      </c>
      <c r="J409" s="11" t="inlineStr">
        <is>
          <t>Gestió Econòmica</t>
        </is>
      </c>
      <c r="K409" s="11" t="inlineStr">
        <is>
          <t>Eva</t>
        </is>
      </c>
      <c r="L409" s="11" t="inlineStr">
        <is>
          <t>MILLORAR L'EFICIÈNCIA de la gestió administrativa</t>
        </is>
      </c>
      <c r="M409" s="11" t="inlineStr">
        <is>
          <t>Optimitzar l'aplicació pressupostaria</t>
        </is>
      </c>
      <c r="N409" s="11" t="inlineStr">
        <is>
          <t>Comú</t>
        </is>
      </c>
      <c r="O409" s="11" t="inlineStr">
        <is>
          <t>Obligatori</t>
        </is>
      </c>
      <c r="P409" s="11" t="inlineStr">
        <is>
          <t>Si</t>
        </is>
      </c>
      <c r="Q409" s="11" t="inlineStr">
        <is>
          <t>16.1.1 · Aplicació del nou sistema de seguiment pressupostari conjunt per a tots els ENP per al control de les despeses (quan entri en funcionament). — Acció realitzada</t>
        </is>
      </c>
    </row>
    <row r="410">
      <c r="A410" s="11" t="inlineStr">
        <is>
          <t>7. Gestió i administració</t>
        </is>
      </c>
      <c r="B410" s="11" t="inlineStr">
        <is>
          <t>16.1.1</t>
        </is>
      </c>
      <c r="C410" s="11" t="inlineStr">
        <is>
          <t>Millorar el sistema de control de l'execució del pressupost, d'acord amb les indicacions de Serveis Centrals</t>
        </is>
      </c>
      <c r="D410" s="11" t="inlineStr">
        <is>
          <t>Millorar el sistema de control de l'execució del pressupost, d'acord amb les indicacions de Serveis Centrals</t>
        </is>
      </c>
      <c r="E410" s="11" t="inlineStr">
        <is>
          <t>Aplicació del manual per al règim de gestió econòmica als ENP per traspassar dades al RAE</t>
        </is>
      </c>
      <c r="F410" s="11" t="inlineStr">
        <is>
          <t>Acció realitzada</t>
        </is>
      </c>
      <c r="G410" s="11" t="inlineStr">
        <is>
          <t>no</t>
        </is>
      </c>
      <c r="H410" s="11" t="inlineStr">
        <is>
          <t>si</t>
        </is>
      </c>
      <c r="I410" s="11" t="inlineStr">
        <is>
          <t>MÀXIMA</t>
        </is>
      </c>
      <c r="J410" s="11" t="inlineStr">
        <is>
          <t>Gestió Econòmica</t>
        </is>
      </c>
      <c r="K410" s="11" t="inlineStr">
        <is>
          <t>Eva</t>
        </is>
      </c>
      <c r="L410" s="11" t="inlineStr">
        <is>
          <t>MILLORAR L'EFICIÈNCIA de la gestió administrativa</t>
        </is>
      </c>
      <c r="M410" s="11" t="inlineStr">
        <is>
          <t>Optimitzar l'aplicació pressupostaria</t>
        </is>
      </c>
      <c r="N410" s="11" t="inlineStr">
        <is>
          <t>Comú</t>
        </is>
      </c>
      <c r="O410" s="11" t="inlineStr">
        <is>
          <t>Obligatori</t>
        </is>
      </c>
      <c r="P410" s="11" t="inlineStr">
        <is>
          <t>Si</t>
        </is>
      </c>
      <c r="Q410" s="11" t="inlineStr">
        <is>
          <t>16.1.1 · Aplicació del manual per al règim de gestió econòmica als ENP per traspassar dades al RAE — Acció realitzada</t>
        </is>
      </c>
    </row>
    <row r="411">
      <c r="A411" s="11" t="inlineStr">
        <is>
          <t>7. Gestió i administració</t>
        </is>
      </c>
      <c r="B411" s="11" t="inlineStr">
        <is>
          <t>16.1.1</t>
        </is>
      </c>
      <c r="C411" s="11" t="inlineStr">
        <is>
          <t>Millorar el sistema de control de l'execució del pressupost, d'acord amb les indicacions de Serveis Centrals</t>
        </is>
      </c>
      <c r="D411" s="11" t="inlineStr">
        <is>
          <t>Millorar el sistema de control de l'execució del pressupost, d'acord amb les indicacions de Serveis Centrals</t>
        </is>
      </c>
      <c r="E411" s="11" t="inlineStr">
        <is>
          <t>Participació dels espais de coordinació entre ENP per identificar les despeses comunes tramitables a càrrec del pressupost de la DG</t>
        </is>
      </c>
      <c r="F411" s="11" t="inlineStr">
        <is>
          <t>Número reunions realitzades</t>
        </is>
      </c>
      <c r="G411" s="11" t="n">
        <v>1</v>
      </c>
      <c r="H411" s="11" t="n">
        <v>4</v>
      </c>
      <c r="I411" s="11" t="inlineStr">
        <is>
          <t>MITJANA</t>
        </is>
      </c>
      <c r="J411" s="11" t="inlineStr">
        <is>
          <t>Gestió Econòmica</t>
        </is>
      </c>
      <c r="K411" s="11" t="inlineStr">
        <is>
          <t>Eva</t>
        </is>
      </c>
      <c r="L411" s="11" t="inlineStr">
        <is>
          <t>MILLORAR L'EFICIÈNCIA de la gestió administrativa</t>
        </is>
      </c>
      <c r="M411" s="11" t="inlineStr">
        <is>
          <t>Optimitzar l'aplicació pressupostaria</t>
        </is>
      </c>
      <c r="N411" s="11" t="inlineStr">
        <is>
          <t>Comú</t>
        </is>
      </c>
      <c r="O411" s="11" t="inlineStr">
        <is>
          <t>Obligatori</t>
        </is>
      </c>
      <c r="P411" s="11" t="inlineStr">
        <is>
          <t>Si</t>
        </is>
      </c>
      <c r="Q411" s="11" t="inlineStr">
        <is>
          <t>16.1.1 · Participació dels espais de coordinació entre ENP per identificar les despeses comunes tramitables a càrrec del pressupost de la DG — Número reunions realitzades</t>
        </is>
      </c>
    </row>
    <row r="412">
      <c r="A412" s="11" t="inlineStr">
        <is>
          <t>7. Gestió i administració</t>
        </is>
      </c>
      <c r="B412" s="11" t="inlineStr">
        <is>
          <t>16.1.1</t>
        </is>
      </c>
      <c r="C412" s="11" t="inlineStr">
        <is>
          <t>Millorar el sistema de control de l'execució del pressupost, d'acord amb les indicacions de Serveis Centrals</t>
        </is>
      </c>
      <c r="D412" s="11" t="inlineStr">
        <is>
          <t>Millorar el sistema de control de l'execució del pressupost, d'acord amb les indicacions de Serveis Centrals</t>
        </is>
      </c>
      <c r="E412" s="11" t="inlineStr">
        <is>
          <t>Establir un sistema de ponderació (a aprovar per la Junta Rectora) alhora de preparar el pressupost del Parc i actuacions de la brigada a nivell de cada municipi que tingui en compte la superfície que aporta cada municipi al Parc i la seva població resident</t>
        </is>
      </c>
      <c r="F412" s="11" t="inlineStr">
        <is>
          <t>Realització i aplicació del sistema</t>
        </is>
      </c>
      <c r="G412" s="11" t="inlineStr">
        <is>
          <t>no</t>
        </is>
      </c>
      <c r="H412" s="11" t="inlineStr">
        <is>
          <t>si</t>
        </is>
      </c>
      <c r="I412" s="11" t="inlineStr">
        <is>
          <t>ALTA</t>
        </is>
      </c>
      <c r="J412" s="11" t="inlineStr"/>
      <c r="K412" s="11" t="inlineStr"/>
      <c r="L412" s="11" t="inlineStr">
        <is>
          <t>MILLORAR L'EFICIÈNCIA de la gestió administrativa</t>
        </is>
      </c>
      <c r="M412" s="11" t="inlineStr">
        <is>
          <t>Optimitzar l'aplicació pressupostaria</t>
        </is>
      </c>
      <c r="N412" s="11" t="inlineStr">
        <is>
          <t>Comú</t>
        </is>
      </c>
      <c r="O412" s="11" t="inlineStr">
        <is>
          <t>Obligatori</t>
        </is>
      </c>
      <c r="P412" s="11" t="inlineStr">
        <is>
          <t>Si</t>
        </is>
      </c>
      <c r="Q412" s="11" t="inlineStr">
        <is>
          <t>16.1.1 · Establir un sistema de ponderació (a aprovar per la Junta Rectora) alhora de preparar el pressupost del Parc i actuacions de la brigada a nivell de ca — Realització i aplicació del sistema</t>
        </is>
      </c>
    </row>
    <row r="413">
      <c r="A413" s="11" t="inlineStr">
        <is>
          <t>7. Gestió i administració</t>
        </is>
      </c>
      <c r="B413" s="11" t="inlineStr">
        <is>
          <t>16.2.1</t>
        </is>
      </c>
      <c r="C413" s="11" t="inlineStr">
        <is>
          <t>Planificar i detectar les necessitats de contractació del l'ENP per a l'optimització dels contractes a nivell de Xarxa</t>
        </is>
      </c>
      <c r="D413" s="11" t="inlineStr">
        <is>
          <t>Planificar i detectar les necessitats de contractació del l'ENP per a l'optimització dels contractes a nivell de Xarxa</t>
        </is>
      </c>
      <c r="E413" s="11" t="inlineStr">
        <is>
          <t>Amb els espais de coordinació entre ENP, detecció de les necessitats conjuntes que es puguin agrupar en contractes únics (amb o sense lots) o en convocatòries amb concurrència</t>
        </is>
      </c>
      <c r="F413" s="11" t="inlineStr">
        <is>
          <t>Número de agrupacions identificades</t>
        </is>
      </c>
      <c r="G413" s="11" t="n">
        <v>1</v>
      </c>
      <c r="H413" s="11" t="n">
        <v>4</v>
      </c>
      <c r="I413" s="11" t="inlineStr">
        <is>
          <t>MITJANA</t>
        </is>
      </c>
      <c r="J413" s="11" t="inlineStr">
        <is>
          <t>Gestió Econòmica</t>
        </is>
      </c>
      <c r="K413" s="11" t="inlineStr">
        <is>
          <t>Eva</t>
        </is>
      </c>
      <c r="L413" s="11" t="inlineStr">
        <is>
          <t>MILLORAR L'EFICIÈNCIA de la gestió administrativa</t>
        </is>
      </c>
      <c r="M413" s="11" t="inlineStr">
        <is>
          <t>Planificar i optimitzar els processos de contractació, concessió d'ajuts, i les col·laboracions amb ens públics i privats</t>
        </is>
      </c>
      <c r="N413" s="11" t="inlineStr">
        <is>
          <t>Comú</t>
        </is>
      </c>
      <c r="O413" s="11" t="inlineStr">
        <is>
          <t>Obligatori</t>
        </is>
      </c>
      <c r="P413" s="11" t="inlineStr">
        <is>
          <t>Si</t>
        </is>
      </c>
      <c r="Q413" s="11" t="inlineStr">
        <is>
          <t>16.2.1 · Amb els espais de coordinació entre ENP, detecció de les necessitats conjuntes que es puguin agrupar en contractes únics (amb o sense lots) o en convo — Número de agrupacions identificades</t>
        </is>
      </c>
    </row>
    <row r="414">
      <c r="A414" s="11" t="inlineStr">
        <is>
          <t>7. Gestió i administració</t>
        </is>
      </c>
      <c r="B414" s="11" t="inlineStr">
        <is>
          <t>16.2.1</t>
        </is>
      </c>
      <c r="C414" s="11" t="inlineStr">
        <is>
          <t>Planificar i detectar les necessitats de contractació del l'ENP per a l'optimització dels contractes a nivell de Xarxa</t>
        </is>
      </c>
      <c r="D414" s="11" t="inlineStr">
        <is>
          <t>Planificar i detectar les necessitats de contractació del l'ENP per a l'optimització dels contractes a nivell de Xarxa</t>
        </is>
      </c>
      <c r="E414" s="11" t="inlineStr">
        <is>
          <t>Encaix de les necessitats específiques de cada ENP a les necessitats conjuntes detectades a nivell de Xarxa</t>
        </is>
      </c>
      <c r="F414" s="11" t="inlineStr">
        <is>
          <t>Acció realitzada</t>
        </is>
      </c>
      <c r="G414" s="11" t="inlineStr">
        <is>
          <t>no</t>
        </is>
      </c>
      <c r="H414" s="11" t="inlineStr">
        <is>
          <t>si</t>
        </is>
      </c>
      <c r="I414" s="11" t="inlineStr">
        <is>
          <t>BAIXA</t>
        </is>
      </c>
      <c r="J414" s="11" t="inlineStr">
        <is>
          <t>Direcció</t>
        </is>
      </c>
      <c r="K414" s="11" t="inlineStr">
        <is>
          <t>Marc</t>
        </is>
      </c>
      <c r="L414" s="11" t="inlineStr">
        <is>
          <t>MILLORAR L'EFICIÈNCIA de la gestió administrativa</t>
        </is>
      </c>
      <c r="M414" s="11" t="inlineStr">
        <is>
          <t>Planificar i optimitzar els processos de contractació, concessió d'ajuts, i les col·laboracions amb ens públics i privats</t>
        </is>
      </c>
      <c r="N414" s="11" t="inlineStr">
        <is>
          <t>Comú</t>
        </is>
      </c>
      <c r="O414" s="11" t="inlineStr">
        <is>
          <t>Obligatori</t>
        </is>
      </c>
      <c r="P414" s="11" t="inlineStr">
        <is>
          <t>Si</t>
        </is>
      </c>
      <c r="Q414" s="11" t="inlineStr">
        <is>
          <t>16.2.1 · Encaix de les necessitats específiques de cada ENP a les necessitats conjuntes detectades a nivell de Xarxa — Acció realitzada</t>
        </is>
      </c>
    </row>
    <row r="415">
      <c r="A415" s="11" t="inlineStr">
        <is>
          <t>7. Gestió i administració</t>
        </is>
      </c>
      <c r="B415" s="11" t="inlineStr">
        <is>
          <t>16.2.1</t>
        </is>
      </c>
      <c r="C415" s="11" t="inlineStr">
        <is>
          <t>Planificar i detectar les necessitats de contractació del l'ENP per a l'optimització dels contractes a nivell de Xarxa</t>
        </is>
      </c>
      <c r="D415" s="11" t="inlineStr">
        <is>
          <t>Planificar i detectar les necessitats de contractació del l'ENP per a l'optimització dels contractes a nivell de Xarxa</t>
        </is>
      </c>
      <c r="E415" s="11" t="inlineStr">
        <is>
          <t>Preveure amb una antelació mínima de 6 mesos les necessitats de contractació per augmentar l'eficiència de la tramitació i disposar de marge de maniobra davant qualsevol eventualitat</t>
        </is>
      </c>
      <c r="F415" s="11" t="inlineStr">
        <is>
          <t>Número de previsions realitzades</t>
        </is>
      </c>
      <c r="G415" s="11" t="n">
        <v>2</v>
      </c>
      <c r="H415" s="11" t="n">
        <v>4</v>
      </c>
      <c r="I415" s="11" t="inlineStr">
        <is>
          <t>MITJANA</t>
        </is>
      </c>
      <c r="J415" s="11" t="inlineStr">
        <is>
          <t>Gestió Econòmica</t>
        </is>
      </c>
      <c r="K415" s="11" t="inlineStr">
        <is>
          <t>Eva</t>
        </is>
      </c>
      <c r="L415" s="11" t="inlineStr">
        <is>
          <t>MILLORAR L'EFICIÈNCIA de la gestió administrativa</t>
        </is>
      </c>
      <c r="M415" s="11" t="inlineStr">
        <is>
          <t>Planificar i optimitzar els processos de contractació, concessió d'ajuts, i les col·laboracions amb ens públics i privats</t>
        </is>
      </c>
      <c r="N415" s="11" t="inlineStr">
        <is>
          <t>Comú</t>
        </is>
      </c>
      <c r="O415" s="11" t="inlineStr">
        <is>
          <t>Obligatori</t>
        </is>
      </c>
      <c r="P415" s="11" t="inlineStr">
        <is>
          <t>Si</t>
        </is>
      </c>
      <c r="Q415" s="11" t="inlineStr">
        <is>
          <t>16.2.1 · Preveure amb una antelació mínima de 6 mesos les necessitats de contractació per augmentar l'eficiència de la tramitació i disposar de marge de maniob — Número de previsions realitzades</t>
        </is>
      </c>
    </row>
    <row r="416">
      <c r="A416" s="11" t="inlineStr">
        <is>
          <t>7. Gestió i administració</t>
        </is>
      </c>
      <c r="B416" s="11" t="inlineStr">
        <is>
          <t>16.2.2</t>
        </is>
      </c>
      <c r="C416" s="11" t="inlineStr">
        <is>
          <t>Planificar i detectar les tasques de convocatòries d'ajuts de l'ENP</t>
        </is>
      </c>
      <c r="D416" s="11" t="inlineStr">
        <is>
          <t>Planificar i detectar les tasques de convocatòries d'ajuts de l'ENP</t>
        </is>
      </c>
      <c r="E416" s="11" t="inlineStr">
        <is>
          <t>Preveure amb una antelació mínima de 6 mesos les convocatòries d'ajuts per augmentar l'eficiència de la tramitació i disposar de marge de maniobra davant qualsevol eventualitat.</t>
        </is>
      </c>
      <c r="F416" s="11" t="inlineStr">
        <is>
          <t>Número de previsions realitzades</t>
        </is>
      </c>
      <c r="G416" s="11" t="n">
        <v>1</v>
      </c>
      <c r="H416" s="11" t="n">
        <v>3</v>
      </c>
      <c r="I416" s="11" t="inlineStr">
        <is>
          <t>MITJANA</t>
        </is>
      </c>
      <c r="J416" s="11" t="inlineStr">
        <is>
          <t>Direcció</t>
        </is>
      </c>
      <c r="K416" s="11" t="inlineStr">
        <is>
          <t>Marc</t>
        </is>
      </c>
      <c r="L416" s="11" t="inlineStr">
        <is>
          <t>MILLORAR L'EFICIÈNCIA de la gestió administrativa</t>
        </is>
      </c>
      <c r="M416" s="11" t="inlineStr">
        <is>
          <t>Planificar i optimitzar els processos de contractació, concessió d'ajuts, i les col·laboracions amb ens públics i privats</t>
        </is>
      </c>
      <c r="N416" s="11" t="inlineStr">
        <is>
          <t>Comú</t>
        </is>
      </c>
      <c r="O416" s="11" t="inlineStr">
        <is>
          <t>Obligatori</t>
        </is>
      </c>
      <c r="P416" s="11" t="inlineStr">
        <is>
          <t>Si</t>
        </is>
      </c>
      <c r="Q416" s="11" t="inlineStr">
        <is>
          <t>16.2.2 · Preveure amb una antelació mínima de 6 mesos les convocatòries d'ajuts per augmentar l'eficiència de la tramitació i disposar de marge de maniobra dav — Número de previsions realitzades</t>
        </is>
      </c>
    </row>
    <row r="417">
      <c r="A417" s="11" t="inlineStr">
        <is>
          <t>7. Gestió i administració</t>
        </is>
      </c>
      <c r="B417" s="11" t="inlineStr">
        <is>
          <t>16.2.2</t>
        </is>
      </c>
      <c r="C417" s="11" t="inlineStr">
        <is>
          <t>Planificar i detectar les tasques de convocatòries d'ajuts de l'ENP</t>
        </is>
      </c>
      <c r="D417" s="11" t="inlineStr">
        <is>
          <t>Planificar i detectar les tasques de convocatòries d'ajuts de l'ENP</t>
        </is>
      </c>
      <c r="E417" s="11" t="inlineStr">
        <is>
          <t>Participar amb el SENP en la redacció de les bases reguladores dels ajuts per tal que s’ampliin els criteris dels ajuts i es pugui invertir també al sòl urbà fora del límit del Parc per accions vinculades a aquest</t>
        </is>
      </c>
      <c r="F417" s="11" t="inlineStr">
        <is>
          <t>Número de revisions realitzades</t>
        </is>
      </c>
      <c r="G417" s="11" t="n">
        <v>1</v>
      </c>
      <c r="H417" s="11" t="n">
        <v>3</v>
      </c>
      <c r="I417" s="11" t="inlineStr">
        <is>
          <t>ALTA</t>
        </is>
      </c>
      <c r="J417" s="11" t="inlineStr"/>
      <c r="K417" s="11" t="inlineStr"/>
      <c r="L417" s="11" t="inlineStr">
        <is>
          <t>MILLORAR L'EFICIÈNCIA de la gestió administrativa</t>
        </is>
      </c>
      <c r="M417" s="11" t="inlineStr">
        <is>
          <t>Planificar i optimitzar els processos de contractació, concessió d'ajuts, i les col·laboracions amb ens públics i privats</t>
        </is>
      </c>
      <c r="N417" s="11" t="inlineStr">
        <is>
          <t>Comú</t>
        </is>
      </c>
      <c r="O417" s="11" t="inlineStr">
        <is>
          <t>Obligatori</t>
        </is>
      </c>
      <c r="P417" s="11" t="inlineStr">
        <is>
          <t>Si</t>
        </is>
      </c>
      <c r="Q417" s="11" t="inlineStr">
        <is>
          <t>16.2.2 · Participar amb el SENP en la redacció de les bases reguladores dels ajuts per tal que s’ampliin els criteris dels ajuts i es pugui invertir també al s — Número de revisions realitzades</t>
        </is>
      </c>
    </row>
    <row r="418">
      <c r="A418" s="11" t="inlineStr">
        <is>
          <t>7. Gestió i administració</t>
        </is>
      </c>
      <c r="B418" s="11" t="inlineStr">
        <is>
          <t>16.2.2</t>
        </is>
      </c>
      <c r="C418" s="11" t="inlineStr">
        <is>
          <t>Planificar i detectar les tasques de convocatòries d'ajuts de l'ENP</t>
        </is>
      </c>
      <c r="D418" s="11" t="inlineStr">
        <is>
          <t>Planificar i detectar les tasques de convocatòries d'ajuts de l'ENP</t>
        </is>
      </c>
      <c r="E418" s="11" t="inlineStr">
        <is>
          <t>Participar amb el SENP i Turisme en la redacció de les bases reguladores dels ajuts per tal que incorporin ajuts per a les empreses que s’acrediten per la CETS per desenvolupar les accions previstes alss seus plans d’acció</t>
        </is>
      </c>
      <c r="F418" s="11" t="inlineStr">
        <is>
          <t>Número de revisions realitzades</t>
        </is>
      </c>
      <c r="G418" s="11" t="n">
        <v>1</v>
      </c>
      <c r="H418" s="11" t="n">
        <v>3</v>
      </c>
      <c r="I418" s="11" t="inlineStr">
        <is>
          <t>MITJANA</t>
        </is>
      </c>
      <c r="J418" s="11" t="inlineStr"/>
      <c r="K418" s="11" t="inlineStr"/>
      <c r="L418" s="11" t="inlineStr">
        <is>
          <t>MILLORAR L'EFICIÈNCIA de la gestió administrativa</t>
        </is>
      </c>
      <c r="M418" s="11" t="inlineStr">
        <is>
          <t>Planificar i optimitzar els processos de contractació, concessió d'ajuts, i les col·laboracions amb ens públics i privats</t>
        </is>
      </c>
      <c r="N418" s="11" t="inlineStr">
        <is>
          <t>Comú</t>
        </is>
      </c>
      <c r="O418" s="11" t="inlineStr">
        <is>
          <t>Obligatori</t>
        </is>
      </c>
      <c r="P418" s="11" t="inlineStr">
        <is>
          <t>Si</t>
        </is>
      </c>
      <c r="Q418" s="11" t="inlineStr">
        <is>
          <t>16.2.2 · Participar amb el SENP i Turisme en la redacció de les bases reguladores dels ajuts per tal que incorporin ajuts per a les empreses que s’acrediten pe — Número de revisions realitzades</t>
        </is>
      </c>
    </row>
    <row r="419">
      <c r="A419" s="11" t="inlineStr">
        <is>
          <t>7. Gestió i administració</t>
        </is>
      </c>
      <c r="B419" s="11" t="inlineStr">
        <is>
          <t>16.2.2</t>
        </is>
      </c>
      <c r="C419" s="11" t="inlineStr">
        <is>
          <t>Planificar i detectar les tasques de convocatòries d'ajuts de l'ENP</t>
        </is>
      </c>
      <c r="D419" s="11" t="inlineStr">
        <is>
          <t>Planificar i detectar les tasques de convocatòries d'ajuts de l'ENP</t>
        </is>
      </c>
      <c r="E419" s="11" t="inlineStr">
        <is>
          <t>Implementació de gestor d'expedients</t>
        </is>
      </c>
      <c r="F419" s="11" t="inlineStr">
        <is>
          <t>Acció realitzada</t>
        </is>
      </c>
      <c r="G419" s="11" t="inlineStr">
        <is>
          <t>no</t>
        </is>
      </c>
      <c r="H419" s="11" t="inlineStr">
        <is>
          <t>si</t>
        </is>
      </c>
      <c r="I419" s="11" t="inlineStr">
        <is>
          <t>MITJANA</t>
        </is>
      </c>
      <c r="J419" s="11" t="inlineStr">
        <is>
          <t>Gestió Econòmica</t>
        </is>
      </c>
      <c r="K419" s="11" t="inlineStr">
        <is>
          <t>Eva</t>
        </is>
      </c>
      <c r="L419" s="11" t="inlineStr">
        <is>
          <t>MILLORAR L'EFICIÈNCIA de la gestió administrativa</t>
        </is>
      </c>
      <c r="M419" s="11" t="inlineStr">
        <is>
          <t>Planificar i optimitzar els processos de contractació, concessió d'ajuts, i les col·laboracions amb ens públics i privats</t>
        </is>
      </c>
      <c r="N419" s="11" t="inlineStr">
        <is>
          <t>Comú</t>
        </is>
      </c>
      <c r="O419" s="11" t="inlineStr">
        <is>
          <t>Obligatori</t>
        </is>
      </c>
      <c r="P419" s="11" t="inlineStr">
        <is>
          <t>Si</t>
        </is>
      </c>
      <c r="Q419" s="11" t="inlineStr">
        <is>
          <t>16.2.2 · Implementació de gestor d'expedients — Acció realitzada</t>
        </is>
      </c>
    </row>
    <row r="420">
      <c r="A420" s="11" t="inlineStr">
        <is>
          <t>7. Gestió i administració</t>
        </is>
      </c>
      <c r="B420" s="11" t="inlineStr">
        <is>
          <t>16.2.2</t>
        </is>
      </c>
      <c r="C420" s="11" t="inlineStr">
        <is>
          <t>Planificar i detectar les tasques de convocatòries d'ajuts de l'ENP</t>
        </is>
      </c>
      <c r="D420" s="11" t="inlineStr">
        <is>
          <t>Planificar i detectar les tasques de convocatòries d'ajuts de l'ENP</t>
        </is>
      </c>
      <c r="E420" s="11" t="inlineStr">
        <is>
          <t>Treballar amb SSCC per adaptar les convocatòries d'ajuts a les necessitats de l'ENP</t>
        </is>
      </c>
      <c r="F420" s="11" t="inlineStr">
        <is>
          <t>Número de reunions realitzades</t>
        </is>
      </c>
      <c r="G420" s="11" t="n">
        <v>1</v>
      </c>
      <c r="H420" s="11" t="n">
        <v>4</v>
      </c>
      <c r="I420" s="11" t="inlineStr">
        <is>
          <t>ALTA</t>
        </is>
      </c>
      <c r="J420" s="11" t="inlineStr">
        <is>
          <t>Direcció</t>
        </is>
      </c>
      <c r="K420" s="11" t="inlineStr">
        <is>
          <t>Marc</t>
        </is>
      </c>
      <c r="L420" s="11" t="inlineStr">
        <is>
          <t>MILLORAR L'EFICIÈNCIA de la gestió administrativa</t>
        </is>
      </c>
      <c r="M420" s="11" t="inlineStr">
        <is>
          <t>Planificar i optimitzar els processos de contractació, concessió d'ajuts, i les col·laboracions amb ens públics i privats</t>
        </is>
      </c>
      <c r="N420" s="11" t="inlineStr">
        <is>
          <t>Comú</t>
        </is>
      </c>
      <c r="O420" s="11" t="inlineStr">
        <is>
          <t>Obligatori</t>
        </is>
      </c>
      <c r="P420" s="11" t="inlineStr">
        <is>
          <t>Si</t>
        </is>
      </c>
      <c r="Q420" s="11" t="inlineStr">
        <is>
          <t>16.2.2 · Treballar amb SSCC per adaptar les convocatòries d'ajuts a les necessitats de l'ENP — Número de reunions realitzades</t>
        </is>
      </c>
    </row>
    <row r="421">
      <c r="A421" s="11" t="inlineStr">
        <is>
          <t>7. Gestió i administració</t>
        </is>
      </c>
      <c r="B421" s="11" t="inlineStr">
        <is>
          <t>16.2.3</t>
        </is>
      </c>
      <c r="C421" s="11" t="inlineStr">
        <is>
          <t>Establir i renovar en temps i forma convenis de col·laboració, convenis marc, acords, protocols i altres instruments de col·laboració.</t>
        </is>
      </c>
      <c r="D421" s="11" t="inlineStr">
        <is>
          <t>Establir i renovar en temps i forma convenis de col·laboració, convenis marc, acords, protocols i altres instruments de col·laboració.</t>
        </is>
      </c>
      <c r="E421" s="11" t="inlineStr">
        <is>
          <t>Elaboració d'un llistat de convenis i altres instruments de col·laboració vigents i planificar les pròrrogues que es requereixin</t>
        </is>
      </c>
      <c r="F421" s="11" t="inlineStr">
        <is>
          <t>Acció realitzada</t>
        </is>
      </c>
      <c r="G421" s="11" t="inlineStr">
        <is>
          <t>no</t>
        </is>
      </c>
      <c r="H421" s="11" t="inlineStr">
        <is>
          <t>si</t>
        </is>
      </c>
      <c r="I421" s="11" t="inlineStr">
        <is>
          <t>MITJANA</t>
        </is>
      </c>
      <c r="J421" s="11" t="inlineStr">
        <is>
          <t>Direció</t>
        </is>
      </c>
      <c r="K421" s="11" t="inlineStr">
        <is>
          <t>Marc</t>
        </is>
      </c>
      <c r="L421" s="11" t="inlineStr">
        <is>
          <t>MILLORAR L'EFICIÈNCIA de la gestió administrativa</t>
        </is>
      </c>
      <c r="M421" s="11" t="inlineStr">
        <is>
          <t>Planificar i optimitzar els processos de contractació, concessió d'ajuts, i les col·laboracions amb ens públics i privats</t>
        </is>
      </c>
      <c r="N421" s="11" t="inlineStr">
        <is>
          <t>Comú</t>
        </is>
      </c>
      <c r="O421" s="11" t="inlineStr">
        <is>
          <t>Obligatori</t>
        </is>
      </c>
      <c r="P421" s="11" t="inlineStr">
        <is>
          <t>Si</t>
        </is>
      </c>
      <c r="Q421" s="11" t="inlineStr">
        <is>
          <t>16.2.3 · Elaboració d'un llistat de convenis i altres instruments de col·laboració vigents i planificar les pròrrogues que es requereixin — Acció realitzada</t>
        </is>
      </c>
    </row>
    <row r="422">
      <c r="A422" s="11" t="inlineStr">
        <is>
          <t>7. Gestió i administració</t>
        </is>
      </c>
      <c r="B422" s="11" t="inlineStr">
        <is>
          <t>16.2.3</t>
        </is>
      </c>
      <c r="C422" s="11" t="inlineStr">
        <is>
          <t>Establir i renovar en temps i forma convenis de col·laboració, convenis marc, acords, protocols i altres instruments de col·laboració.</t>
        </is>
      </c>
      <c r="D422" s="11" t="inlineStr">
        <is>
          <t>Establir i renovar en temps i forma convenis de col·laboració, convenis marc, acords, protocols i altres instruments de col·laboració.</t>
        </is>
      </c>
      <c r="E422" s="11" t="inlineStr">
        <is>
          <t>Participació en l'elaboració coordinada dels catàlegs col·lectius amb universitats i centres documentació</t>
        </is>
      </c>
      <c r="F422" s="11" t="inlineStr">
        <is>
          <t>Acció realitzada</t>
        </is>
      </c>
      <c r="G422" s="11" t="inlineStr">
        <is>
          <t>no</t>
        </is>
      </c>
      <c r="H422" s="11" t="inlineStr">
        <is>
          <t>si</t>
        </is>
      </c>
      <c r="I422" s="11" t="inlineStr">
        <is>
          <t>MITJANA</t>
        </is>
      </c>
      <c r="J422" s="11" t="inlineStr">
        <is>
          <t>Observatori</t>
        </is>
      </c>
      <c r="K422" s="11" t="inlineStr">
        <is>
          <t>Oriol</t>
        </is>
      </c>
      <c r="L422" s="11" t="inlineStr">
        <is>
          <t>MILLORAR L'EFICIÈNCIA de la gestió administrativa</t>
        </is>
      </c>
      <c r="M422" s="11" t="inlineStr">
        <is>
          <t>Planificar i optimitzar els processos de contractació, concessió d'ajuts, i les col·laboracions amb ens públics i privats</t>
        </is>
      </c>
      <c r="N422" s="11" t="inlineStr">
        <is>
          <t>Comú</t>
        </is>
      </c>
      <c r="O422" s="11" t="inlineStr">
        <is>
          <t>Obligatori</t>
        </is>
      </c>
      <c r="P422" s="11" t="inlineStr">
        <is>
          <t>Si</t>
        </is>
      </c>
      <c r="Q422" s="11" t="inlineStr">
        <is>
          <t>16.2.3 · Participació en l'elaboració coordinada dels catàlegs col·lectius amb universitats i centres documentació — Acció realitzada</t>
        </is>
      </c>
    </row>
    <row r="423">
      <c r="A423" s="11" t="inlineStr">
        <is>
          <t>7. Gestió i administració</t>
        </is>
      </c>
      <c r="B423" s="11" t="inlineStr">
        <is>
          <t>16.2.3</t>
        </is>
      </c>
      <c r="C423" s="11" t="inlineStr">
        <is>
          <t>Establir i renovar en temps i forma convenis de col·laboració, convenis marc, acords, protocols i altres instruments de col·laboració.</t>
        </is>
      </c>
      <c r="D423" s="11" t="inlineStr">
        <is>
          <t>Establir i renovar en temps i forma convenis de col·laboració, convenis marc, acords, protocols i altres instruments de col·laboració.</t>
        </is>
      </c>
      <c r="E423" s="11" t="inlineStr">
        <is>
          <t>Implementació del gestor d'expedients (d'un registre únic de convenis)</t>
        </is>
      </c>
      <c r="F423" s="11" t="inlineStr">
        <is>
          <t>Acció realitzada</t>
        </is>
      </c>
      <c r="G423" s="11" t="inlineStr">
        <is>
          <t>no</t>
        </is>
      </c>
      <c r="H423" s="11" t="inlineStr">
        <is>
          <t>si</t>
        </is>
      </c>
      <c r="I423" s="11" t="inlineStr">
        <is>
          <t>BAIXA</t>
        </is>
      </c>
      <c r="J423" s="11" t="inlineStr">
        <is>
          <t>Gestió Econòmica</t>
        </is>
      </c>
      <c r="K423" s="11" t="inlineStr">
        <is>
          <t>Eva</t>
        </is>
      </c>
      <c r="L423" s="11" t="inlineStr">
        <is>
          <t>MILLORAR L'EFICIÈNCIA de la gestió administrativa</t>
        </is>
      </c>
      <c r="M423" s="11" t="inlineStr">
        <is>
          <t>Planificar i optimitzar els processos de contractació, concessió d'ajuts, i les col·laboracions amb ens públics i privats</t>
        </is>
      </c>
      <c r="N423" s="11" t="inlineStr">
        <is>
          <t>Comú</t>
        </is>
      </c>
      <c r="O423" s="11" t="inlineStr">
        <is>
          <t>Obligatori</t>
        </is>
      </c>
      <c r="P423" s="11" t="inlineStr">
        <is>
          <t>Si</t>
        </is>
      </c>
      <c r="Q423" s="11" t="inlineStr">
        <is>
          <t>16.2.3 · Implementació del gestor d'expedients (d'un registre únic de convenis) — Acció realitzada</t>
        </is>
      </c>
    </row>
    <row r="424">
      <c r="A424" s="11" t="inlineStr">
        <is>
          <t>7. Gestió i administració</t>
        </is>
      </c>
      <c r="B424" s="11" t="inlineStr">
        <is>
          <t>16.3.1</t>
        </is>
      </c>
      <c r="C424" s="11" t="inlineStr">
        <is>
          <t>Optimitzar l'elaboració d'informes</t>
        </is>
      </c>
      <c r="D424" s="11" t="inlineStr">
        <is>
          <t>Optimitzar l'elaboració d'informes</t>
        </is>
      </c>
      <c r="E424" s="11" t="inlineStr">
        <is>
          <t>Optimitzar la comunicació i acompanyament durant els processos administratius amb el personal tècnic de Serveis Centrals</t>
        </is>
      </c>
      <c r="F424" s="11" t="inlineStr">
        <is>
          <t>Acció realitzada</t>
        </is>
      </c>
      <c r="G424" s="11" t="inlineStr">
        <is>
          <t>no</t>
        </is>
      </c>
      <c r="H424" s="11" t="inlineStr">
        <is>
          <t>si</t>
        </is>
      </c>
      <c r="I424" s="11" t="inlineStr">
        <is>
          <t>MITJANA</t>
        </is>
      </c>
      <c r="J424" s="11" t="inlineStr">
        <is>
          <t>Gestió Econòmica</t>
        </is>
      </c>
      <c r="K424" s="11" t="inlineStr">
        <is>
          <t>Eva</t>
        </is>
      </c>
      <c r="L424" s="11" t="inlineStr">
        <is>
          <t>MILLORAR L'EFICIÈNCIA de la gestió administrativa</t>
        </is>
      </c>
      <c r="M424" s="11" t="inlineStr">
        <is>
          <t>Agilitzar, incrementar l'eficiència i incrementar l’assoliment dels procediments administratius</t>
        </is>
      </c>
      <c r="N424" s="11" t="inlineStr">
        <is>
          <t>Comú</t>
        </is>
      </c>
      <c r="O424" s="11" t="inlineStr">
        <is>
          <t>Obligatori</t>
        </is>
      </c>
      <c r="P424" s="11" t="inlineStr">
        <is>
          <t>Si</t>
        </is>
      </c>
      <c r="Q424" s="11" t="inlineStr">
        <is>
          <t>16.3.1 · Optimitzar la comunicació i acompanyament durant els processos administratius amb el personal tècnic de Serveis Centrals — Acció realitzada</t>
        </is>
      </c>
    </row>
    <row r="425">
      <c r="A425" s="11" t="inlineStr">
        <is>
          <t>7. Gestió i administració</t>
        </is>
      </c>
      <c r="B425" s="11" t="inlineStr">
        <is>
          <t>16.3.1</t>
        </is>
      </c>
      <c r="C425" s="11" t="inlineStr">
        <is>
          <t>Optimitzar l'elaboració d'informes</t>
        </is>
      </c>
      <c r="D425" s="11" t="inlineStr">
        <is>
          <t>Optimitzar l'elaboració d'informes</t>
        </is>
      </c>
      <c r="E425" s="11" t="inlineStr">
        <is>
          <t>Designació d'interlocutors tècnics per al desenvolupament d'accions que requereixen procediments administratius.</t>
        </is>
      </c>
      <c r="F425" s="11" t="inlineStr">
        <is>
          <t>Acció realitzada</t>
        </is>
      </c>
      <c r="G425" s="11" t="inlineStr">
        <is>
          <t>no</t>
        </is>
      </c>
      <c r="H425" s="11" t="inlineStr">
        <is>
          <t>si</t>
        </is>
      </c>
      <c r="I425" s="11" t="inlineStr">
        <is>
          <t>BAIXA</t>
        </is>
      </c>
      <c r="J425" s="11" t="inlineStr">
        <is>
          <t>Direció</t>
        </is>
      </c>
      <c r="K425" s="11" t="inlineStr">
        <is>
          <t>Marc</t>
        </is>
      </c>
      <c r="L425" s="11" t="inlineStr">
        <is>
          <t>MILLORAR L'EFICIÈNCIA de la gestió administrativa</t>
        </is>
      </c>
      <c r="M425" s="11" t="inlineStr">
        <is>
          <t>Agilitzar, incrementar l'eficiència i incrementar l’assoliment dels procediments administratius</t>
        </is>
      </c>
      <c r="N425" s="11" t="inlineStr">
        <is>
          <t>Comú</t>
        </is>
      </c>
      <c r="O425" s="11" t="inlineStr">
        <is>
          <t>Obligatori</t>
        </is>
      </c>
      <c r="P425" s="11" t="inlineStr">
        <is>
          <t>Si</t>
        </is>
      </c>
      <c r="Q425" s="11" t="inlineStr">
        <is>
          <t>16.3.1 · Designació d'interlocutors tècnics per al desenvolupament d'accions que requereixen procediments administratius. — Acció realitzada</t>
        </is>
      </c>
    </row>
    <row r="426">
      <c r="A426" s="11" t="inlineStr">
        <is>
          <t>7. Gestió i administració</t>
        </is>
      </c>
      <c r="B426" s="11" t="inlineStr">
        <is>
          <t>16.3.1</t>
        </is>
      </c>
      <c r="C426" s="11" t="inlineStr">
        <is>
          <t>Optimitzar l'elaboració d'informes</t>
        </is>
      </c>
      <c r="D426" s="11" t="inlineStr">
        <is>
          <t>Optimitzar l'elaboració d'informes</t>
        </is>
      </c>
      <c r="E426" s="11" t="inlineStr">
        <is>
          <t>Manteniment d'una comunicació continuada amb l'UGA.</t>
        </is>
      </c>
      <c r="F426" s="11" t="inlineStr">
        <is>
          <t>Acció realitzada</t>
        </is>
      </c>
      <c r="G426" s="11" t="inlineStr">
        <is>
          <t>no</t>
        </is>
      </c>
      <c r="H426" s="11" t="inlineStr">
        <is>
          <t>si</t>
        </is>
      </c>
      <c r="I426" s="11" t="inlineStr">
        <is>
          <t>MITJANA</t>
        </is>
      </c>
      <c r="J426" s="11" t="inlineStr">
        <is>
          <t>Direció</t>
        </is>
      </c>
      <c r="K426" s="11" t="inlineStr">
        <is>
          <t>Marc</t>
        </is>
      </c>
      <c r="L426" s="11" t="inlineStr">
        <is>
          <t>MILLORAR L'EFICIÈNCIA de la gestió administrativa</t>
        </is>
      </c>
      <c r="M426" s="11" t="inlineStr">
        <is>
          <t>Agilitzar, incrementar l'eficiència i incrementar l’assoliment dels procediments administratius</t>
        </is>
      </c>
      <c r="N426" s="11" t="inlineStr">
        <is>
          <t>Comú</t>
        </is>
      </c>
      <c r="O426" s="11" t="inlineStr">
        <is>
          <t>Obligatori</t>
        </is>
      </c>
      <c r="P426" s="11" t="inlineStr">
        <is>
          <t>Si</t>
        </is>
      </c>
      <c r="Q426" s="11" t="inlineStr">
        <is>
          <t>16.3.1 · Manteniment d'una comunicació continuada amb l'UGA. — Acció realitzada</t>
        </is>
      </c>
    </row>
    <row r="427">
      <c r="A427" s="11" t="inlineStr">
        <is>
          <t>7. Gestió i administració</t>
        </is>
      </c>
      <c r="B427" s="11" t="inlineStr">
        <is>
          <t>16.3.1</t>
        </is>
      </c>
      <c r="C427" s="11" t="inlineStr">
        <is>
          <t>Optimitzar l'elaboració d'informes</t>
        </is>
      </c>
      <c r="D427" s="11" t="inlineStr">
        <is>
          <t>Optimitzar l'elaboració d'informes</t>
        </is>
      </c>
      <c r="E427" s="11" t="inlineStr">
        <is>
          <t>Elaboració d'una llista dels tràmits realitzats pels ENP per detectar necessitats de suport i acompanyament administratiu.</t>
        </is>
      </c>
      <c r="F427" s="11" t="inlineStr">
        <is>
          <t>Acció realitzada</t>
        </is>
      </c>
      <c r="G427" s="11" t="inlineStr">
        <is>
          <t>no</t>
        </is>
      </c>
      <c r="H427" s="11" t="inlineStr">
        <is>
          <t>si</t>
        </is>
      </c>
      <c r="I427" s="11" t="inlineStr">
        <is>
          <t>MITJANA</t>
        </is>
      </c>
      <c r="J427" s="11" t="inlineStr">
        <is>
          <t>Direció</t>
        </is>
      </c>
      <c r="K427" s="11" t="inlineStr">
        <is>
          <t>Marc</t>
        </is>
      </c>
      <c r="L427" s="11" t="inlineStr">
        <is>
          <t>MILLORAR L'EFICIÈNCIA de la gestió administrativa</t>
        </is>
      </c>
      <c r="M427" s="11" t="inlineStr">
        <is>
          <t>Agilitzar, incrementar l'eficiència i incrementar l’assoliment dels procediments administratius</t>
        </is>
      </c>
      <c r="N427" s="11" t="inlineStr">
        <is>
          <t>Comú</t>
        </is>
      </c>
      <c r="O427" s="11" t="inlineStr">
        <is>
          <t>Obligatori</t>
        </is>
      </c>
      <c r="P427" s="11" t="inlineStr">
        <is>
          <t>Si</t>
        </is>
      </c>
      <c r="Q427" s="11" t="inlineStr">
        <is>
          <t>16.3.1 · Elaboració d'una llista dels tràmits realitzats pels ENP per detectar necessitats de suport i acompanyament administratiu. — Acció realitzada</t>
        </is>
      </c>
    </row>
    <row r="428">
      <c r="A428" s="11" t="inlineStr">
        <is>
          <t>7. Gestió i administració</t>
        </is>
      </c>
      <c r="B428" s="11" t="inlineStr">
        <is>
          <t>16.3.1</t>
        </is>
      </c>
      <c r="C428" s="11" t="inlineStr">
        <is>
          <t>Optimitzar l'elaboració d'informes</t>
        </is>
      </c>
      <c r="D428" s="11" t="inlineStr">
        <is>
          <t>Optimitzar l'elaboració d'informes</t>
        </is>
      </c>
      <c r="E428" s="11" t="inlineStr">
        <is>
          <t>Implementació de gestor d'expedients</t>
        </is>
      </c>
      <c r="F428" s="11" t="inlineStr">
        <is>
          <t>Acció realitzada</t>
        </is>
      </c>
      <c r="G428" s="11" t="inlineStr">
        <is>
          <t>no</t>
        </is>
      </c>
      <c r="H428" s="11" t="inlineStr">
        <is>
          <t>si</t>
        </is>
      </c>
      <c r="I428" s="11" t="inlineStr">
        <is>
          <t>BAIXA</t>
        </is>
      </c>
      <c r="J428" s="11" t="inlineStr">
        <is>
          <t>Direció</t>
        </is>
      </c>
      <c r="K428" s="11" t="inlineStr">
        <is>
          <t>Marc</t>
        </is>
      </c>
      <c r="L428" s="11" t="inlineStr">
        <is>
          <t>MILLORAR L'EFICIÈNCIA de la gestió administrativa</t>
        </is>
      </c>
      <c r="M428" s="11" t="inlineStr">
        <is>
          <t>Agilitzar, incrementar l'eficiència i incrementar l’assoliment dels procediments administratius</t>
        </is>
      </c>
      <c r="N428" s="11" t="inlineStr">
        <is>
          <t>Comú</t>
        </is>
      </c>
      <c r="O428" s="11" t="inlineStr">
        <is>
          <t>Obligatori</t>
        </is>
      </c>
      <c r="P428" s="11" t="inlineStr">
        <is>
          <t>Si</t>
        </is>
      </c>
      <c r="Q428" s="11" t="inlineStr">
        <is>
          <t>16.3.1 · Implementació de gestor d'expedients — Acció realitzada</t>
        </is>
      </c>
    </row>
    <row r="429">
      <c r="A429" s="11" t="inlineStr">
        <is>
          <t>7. Gestió i administració</t>
        </is>
      </c>
      <c r="B429" s="11" t="inlineStr">
        <is>
          <t>16.3.2</t>
        </is>
      </c>
      <c r="C429" s="11" t="inlineStr">
        <is>
          <t>Adequar i actualitzar els procediments i tramitacions realitzats des de l'ENP als nous processos i eines conjuntes proposades des de Serveis Centrals</t>
        </is>
      </c>
      <c r="D429" s="11" t="inlineStr">
        <is>
          <t>Adequar i actualitzar els procediments i tramitacions realitzats des de l'ENP als nous processos i eines conjuntes proposades des de Serveis Centrals</t>
        </is>
      </c>
      <c r="E429" s="11" t="inlineStr">
        <is>
          <t>Ús dels formularis simplificats</t>
        </is>
      </c>
      <c r="F429" s="11" t="inlineStr">
        <is>
          <t>Acció realitzada</t>
        </is>
      </c>
      <c r="G429" s="11" t="inlineStr">
        <is>
          <t>no</t>
        </is>
      </c>
      <c r="H429" s="11" t="inlineStr">
        <is>
          <t>si</t>
        </is>
      </c>
      <c r="I429" s="11" t="inlineStr">
        <is>
          <t>MITJANA</t>
        </is>
      </c>
      <c r="J429" s="11" t="inlineStr">
        <is>
          <t>Direció</t>
        </is>
      </c>
      <c r="K429" s="11" t="inlineStr">
        <is>
          <t>Marc</t>
        </is>
      </c>
      <c r="L429" s="11" t="inlineStr">
        <is>
          <t>MILLORAR L'EFICIÈNCIA de la gestió administrativa</t>
        </is>
      </c>
      <c r="M429" s="11" t="inlineStr">
        <is>
          <t>Agilitzar, incrementar l'eficiència i incrementar l’assoliment dels procediments administratius</t>
        </is>
      </c>
      <c r="N429" s="11" t="inlineStr">
        <is>
          <t>Comú</t>
        </is>
      </c>
      <c r="O429" s="11" t="inlineStr">
        <is>
          <t>Obligatori</t>
        </is>
      </c>
      <c r="P429" s="11" t="inlineStr">
        <is>
          <t>No</t>
        </is>
      </c>
      <c r="Q429" s="11" t="inlineStr">
        <is>
          <t>16.3.2 · Ús dels formularis simplificats — Acció realitzada</t>
        </is>
      </c>
    </row>
    <row r="430">
      <c r="A430" s="11" t="inlineStr">
        <is>
          <t>7. Gestió i administració</t>
        </is>
      </c>
      <c r="B430" s="11" t="inlineStr">
        <is>
          <t>16.3.2</t>
        </is>
      </c>
      <c r="C430" s="11" t="inlineStr">
        <is>
          <t>Adequar i actualitzar els procediments i tramitacions realitzats des de l'ENP als nous processos i eines conjuntes proposades des de Serveis Centrals</t>
        </is>
      </c>
      <c r="D430" s="11" t="inlineStr">
        <is>
          <t>Adequar i actualitzar els procediments i tramitacions realitzats des de l'ENP als nous processos i eines conjuntes proposades des de Serveis Centrals</t>
        </is>
      </c>
      <c r="E430" s="11" t="inlineStr">
        <is>
          <t>Implementació de gestor d'expedients</t>
        </is>
      </c>
      <c r="F430" s="11" t="inlineStr">
        <is>
          <t>Acció realitzada</t>
        </is>
      </c>
      <c r="G430" s="11" t="inlineStr">
        <is>
          <t>no</t>
        </is>
      </c>
      <c r="H430" s="11" t="inlineStr">
        <is>
          <t>si</t>
        </is>
      </c>
      <c r="I430" s="11" t="inlineStr">
        <is>
          <t>BAIXA</t>
        </is>
      </c>
      <c r="J430" s="11" t="inlineStr">
        <is>
          <t>Direció</t>
        </is>
      </c>
      <c r="K430" s="11" t="inlineStr">
        <is>
          <t>Marc</t>
        </is>
      </c>
      <c r="L430" s="11" t="inlineStr">
        <is>
          <t>MILLORAR L'EFICIÈNCIA de la gestió administrativa</t>
        </is>
      </c>
      <c r="M430" s="11" t="inlineStr">
        <is>
          <t>Agilitzar, incrementar l'eficiència i incrementar l’assoliment dels procediments administratius</t>
        </is>
      </c>
      <c r="N430" s="11" t="inlineStr">
        <is>
          <t>Comú</t>
        </is>
      </c>
      <c r="O430" s="11" t="inlineStr">
        <is>
          <t>Obligatori</t>
        </is>
      </c>
      <c r="P430" s="11" t="inlineStr">
        <is>
          <t>No</t>
        </is>
      </c>
      <c r="Q430" s="11" t="inlineStr">
        <is>
          <t>16.3.2 · Implementació de gestor d'expedients — Acció realitzada</t>
        </is>
      </c>
    </row>
    <row r="431">
      <c r="A431" s="11" t="inlineStr">
        <is>
          <t>7. Gestió i administració</t>
        </is>
      </c>
      <c r="B431" s="11" t="inlineStr">
        <is>
          <t>16.3.3</t>
        </is>
      </c>
      <c r="C431" s="11" t="inlineStr">
        <is>
          <t>Augmentar el coneixement de l'equip de treball en matèria de procediment administratiu</t>
        </is>
      </c>
      <c r="D431" s="11" t="inlineStr">
        <is>
          <t>Augmentar el coneixement de l'equip de treball en matèria de procediment administratiu</t>
        </is>
      </c>
      <c r="E431" s="11" t="inlineStr">
        <is>
          <t>Participació de les formacions oferides des del Centre de formació i estudis agrorurals per al personal administratiu</t>
        </is>
      </c>
      <c r="F431" s="11" t="inlineStr">
        <is>
          <t>Número de formacions realitzades</t>
        </is>
      </c>
      <c r="G431" s="11" t="n">
        <v>2</v>
      </c>
      <c r="H431" s="11" t="n">
        <v>6</v>
      </c>
      <c r="I431" s="11" t="inlineStr">
        <is>
          <t>MITJANA</t>
        </is>
      </c>
      <c r="J431" s="11" t="inlineStr">
        <is>
          <t>Direció</t>
        </is>
      </c>
      <c r="K431" s="11" t="inlineStr">
        <is>
          <t>Marc</t>
        </is>
      </c>
      <c r="L431" s="11" t="inlineStr">
        <is>
          <t>MILLORAR L'EFICIÈNCIA de la gestió administrativa</t>
        </is>
      </c>
      <c r="M431" s="11" t="inlineStr">
        <is>
          <t>Agilitzar, incrementar l'eficiència i incrementar l’assoliment dels procediments administratius</t>
        </is>
      </c>
      <c r="N431" s="11" t="inlineStr">
        <is>
          <t>Comú</t>
        </is>
      </c>
      <c r="O431" s="11" t="inlineStr">
        <is>
          <t>Obligatori</t>
        </is>
      </c>
      <c r="P431" s="11" t="inlineStr">
        <is>
          <t>Si</t>
        </is>
      </c>
      <c r="Q431" s="11" t="inlineStr">
        <is>
          <t>16.3.3 · Participació de les formacions oferides des del Centre de formació i estudis agrorurals per al personal administratiu — Número de formacions realitzades</t>
        </is>
      </c>
    </row>
    <row r="432">
      <c r="A432" s="11" t="inlineStr">
        <is>
          <t>7. Gestió i administració</t>
        </is>
      </c>
      <c r="B432" s="11" t="inlineStr">
        <is>
          <t>16.3.3</t>
        </is>
      </c>
      <c r="C432" s="11" t="inlineStr">
        <is>
          <t>Augmentar el coneixement de l'equip de treball en matèria de procediment administratiu</t>
        </is>
      </c>
      <c r="D432" s="11" t="inlineStr">
        <is>
          <t>Augmentar el coneixement de l'equip de treball en matèria de procediment administratiu</t>
        </is>
      </c>
      <c r="E432" s="11" t="inlineStr">
        <is>
          <t>Respondre a la demanda activa de formacions quan es planifica el Pla anual de formació oferides des del Centre de formació i estudis agrorurals</t>
        </is>
      </c>
      <c r="F432" s="11" t="inlineStr">
        <is>
          <t>Número de formacions proposades</t>
        </is>
      </c>
      <c r="G432" s="11" t="n">
        <v>2</v>
      </c>
      <c r="H432" s="11" t="n">
        <v>4</v>
      </c>
      <c r="I432" s="11" t="inlineStr">
        <is>
          <t>BAIXA</t>
        </is>
      </c>
      <c r="J432" s="11" t="inlineStr">
        <is>
          <t>Direció</t>
        </is>
      </c>
      <c r="K432" s="11" t="inlineStr">
        <is>
          <t>Marc</t>
        </is>
      </c>
      <c r="L432" s="11" t="inlineStr">
        <is>
          <t>MILLORAR L'EFICIÈNCIA de la gestió administrativa</t>
        </is>
      </c>
      <c r="M432" s="11" t="inlineStr">
        <is>
          <t>Agilitzar, incrementar l'eficiència i incrementar l’assoliment dels procediments administratius</t>
        </is>
      </c>
      <c r="N432" s="11" t="inlineStr">
        <is>
          <t>Comú</t>
        </is>
      </c>
      <c r="O432" s="11" t="inlineStr">
        <is>
          <t>Obligatori</t>
        </is>
      </c>
      <c r="P432" s="11" t="inlineStr">
        <is>
          <t>Si</t>
        </is>
      </c>
      <c r="Q432" s="11" t="inlineStr">
        <is>
          <t>16.3.3 · Respondre a la demanda activa de formacions quan es planifica el Pla anual de formació oferides des del Centre de formació i estudis agrorurals — Número de formacions proposades</t>
        </is>
      </c>
    </row>
    <row r="433">
      <c r="A433" s="11" t="inlineStr">
        <is>
          <t>7. Gestió i administració</t>
        </is>
      </c>
      <c r="B433" s="11" t="inlineStr">
        <is>
          <t>16.3.3</t>
        </is>
      </c>
      <c r="C433" s="11" t="inlineStr">
        <is>
          <t>Augmentar el coneixement de l'equip de treball en matèria de procediment administratiu</t>
        </is>
      </c>
      <c r="D433" s="11" t="inlineStr">
        <is>
          <t>Augmentar el coneixement de l'equip de treball en matèria de procediment administratiu</t>
        </is>
      </c>
      <c r="E433" s="11" t="inlineStr">
        <is>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sol·licituds accés informació ambiental)</t>
        </is>
      </c>
      <c r="F433" s="11" t="inlineStr">
        <is>
          <t>Número de formacions realitzades</t>
        </is>
      </c>
      <c r="G433" s="11" t="n">
        <v>2</v>
      </c>
      <c r="H433" s="11" t="n">
        <v>6</v>
      </c>
      <c r="I433" s="11" t="inlineStr">
        <is>
          <t>MITJANA</t>
        </is>
      </c>
      <c r="J433" s="11" t="inlineStr">
        <is>
          <t>Direció</t>
        </is>
      </c>
      <c r="K433" s="11" t="inlineStr">
        <is>
          <t>Marc</t>
        </is>
      </c>
      <c r="L433" s="11" t="inlineStr">
        <is>
          <t>MILLORAR L'EFICIÈNCIA de la gestió administrativa</t>
        </is>
      </c>
      <c r="M433" s="11" t="inlineStr">
        <is>
          <t>Agilitzar, incrementar l'eficiència i incrementar l’assoliment dels procediments administratius</t>
        </is>
      </c>
      <c r="N433" s="11" t="inlineStr">
        <is>
          <t>Comú</t>
        </is>
      </c>
      <c r="O433" s="11" t="inlineStr">
        <is>
          <t>Obligatori</t>
        </is>
      </c>
      <c r="P433" s="11" t="inlineStr">
        <is>
          <t>Si</t>
        </is>
      </c>
      <c r="Q433" s="11" t="inlineStr">
        <is>
          <t>16.3.3 · Formació interna de l'equip administratiu de l'ENP per adquirir coneixements bàsics en temes prioritaris (comptabilitat, contractació, tramitació elec — Número de formacions realitzades</t>
        </is>
      </c>
    </row>
    <row r="434">
      <c r="A434" s="11" t="inlineStr">
        <is>
          <t>7. Gestió i administració</t>
        </is>
      </c>
      <c r="B434" s="11" t="inlineStr">
        <is>
          <t>16.3.4</t>
        </is>
      </c>
      <c r="C434" s="11" t="inlineStr">
        <is>
          <t>Garantir la transparència administrativa</t>
        </is>
      </c>
      <c r="D434" s="11" t="inlineStr">
        <is>
          <t>Garantir la transparència administrativa</t>
        </is>
      </c>
      <c r="E434" s="11" t="inlineStr">
        <is>
          <t>Difondre o permetre l'accés a la informació pública</t>
        </is>
      </c>
      <c r="F434" s="11" t="inlineStr">
        <is>
          <t>Acció realitzada</t>
        </is>
      </c>
      <c r="G434" s="11" t="inlineStr">
        <is>
          <t>no</t>
        </is>
      </c>
      <c r="H434" s="11" t="inlineStr">
        <is>
          <t>si</t>
        </is>
      </c>
      <c r="I434" s="11" t="inlineStr">
        <is>
          <t>MITJANA</t>
        </is>
      </c>
      <c r="J434" s="11" t="inlineStr">
        <is>
          <t>Direció</t>
        </is>
      </c>
      <c r="K434" s="11" t="inlineStr">
        <is>
          <t>Marc</t>
        </is>
      </c>
      <c r="L434" s="11" t="inlineStr">
        <is>
          <t>MILLORAR L'EFICIÈNCIA de la gestió administrativa</t>
        </is>
      </c>
      <c r="M434" s="11" t="inlineStr">
        <is>
          <t>Agilitzar, incrementar l'eficiència i incrementar l’assoliment dels procediments administratius</t>
        </is>
      </c>
      <c r="N434" s="11" t="inlineStr">
        <is>
          <t>Específic</t>
        </is>
      </c>
      <c r="O434" s="11" t="inlineStr">
        <is>
          <t>Obligatori</t>
        </is>
      </c>
      <c r="P434" s="11" t="inlineStr">
        <is>
          <t>Si</t>
        </is>
      </c>
      <c r="Q434" s="11" t="inlineStr">
        <is>
          <t>16.3.4 · Difondre o permetre l'accés a la informació pública — Acció realitzada</t>
        </is>
      </c>
    </row>
    <row r="435">
      <c r="A435" s="11" t="inlineStr">
        <is>
          <t>7. Gestió i administració</t>
        </is>
      </c>
      <c r="B435" s="11" t="inlineStr">
        <is>
          <t>16.3.4</t>
        </is>
      </c>
      <c r="C435" s="11" t="inlineStr">
        <is>
          <t>Garantir la transparència administrativa</t>
        </is>
      </c>
      <c r="D435" s="11" t="inlineStr">
        <is>
          <t>Garantir la transparència administrativa</t>
        </is>
      </c>
      <c r="E435" s="11" t="inlineStr">
        <is>
          <t>Atendre les sol·licituds d'informació</t>
        </is>
      </c>
      <c r="F435" s="11" t="inlineStr">
        <is>
          <t>Número de sol·licituds d'informació ateses</t>
        </is>
      </c>
      <c r="G435" s="11" t="n">
        <v>20</v>
      </c>
      <c r="H435" s="11" t="n">
        <v>60</v>
      </c>
      <c r="I435" s="11" t="inlineStr">
        <is>
          <t>ALTA</t>
        </is>
      </c>
      <c r="J435" s="11" t="inlineStr">
        <is>
          <t>Administració</t>
        </is>
      </c>
      <c r="K435" s="11" t="inlineStr">
        <is>
          <t>Teresa</t>
        </is>
      </c>
      <c r="L435" s="11" t="inlineStr">
        <is>
          <t>MILLORAR L'EFICIÈNCIA de la gestió administrativa</t>
        </is>
      </c>
      <c r="M435" s="11" t="inlineStr">
        <is>
          <t>Agilitzar, incrementar l'eficiència i incrementar l’assoliment dels procediments administratius</t>
        </is>
      </c>
      <c r="N435" s="11" t="inlineStr">
        <is>
          <t>Específic</t>
        </is>
      </c>
      <c r="O435" s="11" t="inlineStr">
        <is>
          <t>Obligatori</t>
        </is>
      </c>
      <c r="P435" s="11" t="inlineStr">
        <is>
          <t>Si</t>
        </is>
      </c>
      <c r="Q435" s="11" t="inlineStr">
        <is>
          <t>16.3.4 · Atendre les sol·licituds d'informació — Número de sol·licituds d'informació ateses</t>
        </is>
      </c>
    </row>
    <row r="436">
      <c r="A436" s="11" t="inlineStr">
        <is>
          <t>7. Gestió i administració</t>
        </is>
      </c>
      <c r="B436" s="11" t="inlineStr">
        <is>
          <t>16.3.4</t>
        </is>
      </c>
      <c r="C436" s="11" t="inlineStr">
        <is>
          <t>Garantir la transparència administrativa</t>
        </is>
      </c>
      <c r="D436" s="11" t="inlineStr">
        <is>
          <t>Garantir la transparència administrativa</t>
        </is>
      </c>
      <c r="E436" s="11" t="inlineStr">
        <is>
          <t>Realització i divulgació d’un informe públic sobre els compromisos adquirits en el Decret de creació del Parc i valoració de les actuacions realitzades i no realitzades</t>
        </is>
      </c>
      <c r="F436" s="11" t="inlineStr">
        <is>
          <t>Realització i publicació de l’informe</t>
        </is>
      </c>
      <c r="G436" s="11" t="inlineStr">
        <is>
          <t>no</t>
        </is>
      </c>
      <c r="H436" s="11" t="inlineStr">
        <is>
          <t>si</t>
        </is>
      </c>
      <c r="I436" s="11" t="inlineStr">
        <is>
          <t>MITJANA</t>
        </is>
      </c>
      <c r="J436" s="11" t="inlineStr">
        <is>
          <t>Administració</t>
        </is>
      </c>
      <c r="K436" s="11" t="inlineStr">
        <is>
          <t>Teresa</t>
        </is>
      </c>
      <c r="L436" s="11" t="inlineStr">
        <is>
          <t>MILLORAR L'EFICIÈNCIA de la gestió administrativa</t>
        </is>
      </c>
      <c r="M436" s="11" t="inlineStr">
        <is>
          <t>Agilitzar, incrementar l'eficiència i incrementar l’assoliment dels procediments administratius</t>
        </is>
      </c>
      <c r="N436" s="11" t="inlineStr">
        <is>
          <t>Específic</t>
        </is>
      </c>
      <c r="O436" s="11" t="inlineStr">
        <is>
          <t>Obligatori</t>
        </is>
      </c>
      <c r="P436" s="11" t="inlineStr">
        <is>
          <t>Si</t>
        </is>
      </c>
      <c r="Q436" s="11" t="inlineStr">
        <is>
          <t>16.3.4 · Realització i divulgació d’un informe públic sobre els compromisos adquirits en el Decret de creació del Parc i valoració de les actuacions realitzade — Realització i publicació de l’informe</t>
        </is>
      </c>
    </row>
    <row r="437">
      <c r="A437" s="11" t="inlineStr">
        <is>
          <t>7. Gestió i administració</t>
        </is>
      </c>
      <c r="B437" s="11" t="inlineStr">
        <is>
          <t>16.3.5</t>
        </is>
      </c>
      <c r="C437" s="11" t="inlineStr">
        <is>
          <t>Millorar i mantenir el material i infraestructures de gestió</t>
        </is>
      </c>
      <c r="D437" s="11" t="inlineStr">
        <is>
          <t>Millorar i mantenir el material i infraestructures de gestió</t>
        </is>
      </c>
      <c r="E437" s="11" t="inlineStr">
        <is>
          <t>Millora del material i els serveis informàtics</t>
        </is>
      </c>
      <c r="F437" s="11" t="inlineStr">
        <is>
          <t>Número de millores realitzades</t>
        </is>
      </c>
      <c r="G437" s="11" t="n">
        <v>4</v>
      </c>
      <c r="H437" s="11" t="n">
        <v>8</v>
      </c>
      <c r="I437" s="11" t="inlineStr">
        <is>
          <t>MITJANA</t>
        </is>
      </c>
      <c r="J437" s="11" t="inlineStr">
        <is>
          <t>Gestió Econòmica</t>
        </is>
      </c>
      <c r="K437" s="11" t="inlineStr">
        <is>
          <t>Eva</t>
        </is>
      </c>
      <c r="L437" s="11" t="inlineStr">
        <is>
          <t>MILLORAR L'EFICIÈNCIA de la gestió administrativa</t>
        </is>
      </c>
      <c r="M437" s="11" t="inlineStr">
        <is>
          <t>Agilitzar, incrementar l'eficiència i incrementar l’assoliment dels procediments administratius</t>
        </is>
      </c>
      <c r="N437" s="11" t="inlineStr">
        <is>
          <t>Comú</t>
        </is>
      </c>
      <c r="O437" s="11" t="inlineStr">
        <is>
          <t>Optatiu</t>
        </is>
      </c>
      <c r="P437" s="11" t="inlineStr">
        <is>
          <t>Si</t>
        </is>
      </c>
      <c r="Q437" s="11" t="inlineStr">
        <is>
          <t>16.3.5 · Millora del material i els serveis informàtics — Número de millores realitzades</t>
        </is>
      </c>
    </row>
    <row r="438">
      <c r="A438" s="11" t="inlineStr">
        <is>
          <t>7. Gestió i administració</t>
        </is>
      </c>
      <c r="B438" s="11" t="inlineStr">
        <is>
          <t>16.3.5</t>
        </is>
      </c>
      <c r="C438" s="11" t="inlineStr">
        <is>
          <t>Millorar i mantenir el material i infraestructures de gestió</t>
        </is>
      </c>
      <c r="D438" s="11" t="inlineStr">
        <is>
          <t>Millorar i mantenir el material i infraestructures de gestió</t>
        </is>
      </c>
      <c r="E438" s="11" t="inlineStr">
        <is>
          <t>Compra de material d'oficina</t>
        </is>
      </c>
      <c r="F438" s="11" t="inlineStr">
        <is>
          <t>Número de contractes realitzats</t>
        </is>
      </c>
      <c r="G438" s="11" t="n">
        <v>4</v>
      </c>
      <c r="H438" s="11" t="n">
        <v>12</v>
      </c>
      <c r="I438" s="11" t="inlineStr">
        <is>
          <t>MITJANA</t>
        </is>
      </c>
      <c r="J438" s="11" t="inlineStr">
        <is>
          <t>Gestió Econòmica</t>
        </is>
      </c>
      <c r="K438" s="11" t="inlineStr">
        <is>
          <t>Eva</t>
        </is>
      </c>
      <c r="L438" s="11" t="inlineStr">
        <is>
          <t>MILLORAR L'EFICIÈNCIA de la gestió administrativa</t>
        </is>
      </c>
      <c r="M438" s="11" t="inlineStr">
        <is>
          <t>Agilitzar, incrementar l'eficiència i incrementar l’assoliment dels procediments administratius</t>
        </is>
      </c>
      <c r="N438" s="11" t="inlineStr">
        <is>
          <t>Comú</t>
        </is>
      </c>
      <c r="O438" s="11" t="inlineStr">
        <is>
          <t>Optatiu</t>
        </is>
      </c>
      <c r="P438" s="11" t="inlineStr">
        <is>
          <t>Si</t>
        </is>
      </c>
      <c r="Q438" s="11" t="inlineStr">
        <is>
          <t>16.3.5 · Compra de material d'oficina — Número de contractes realitzats</t>
        </is>
      </c>
    </row>
    <row r="439">
      <c r="A439" s="11" t="inlineStr">
        <is>
          <t>7. Gestió i administració</t>
        </is>
      </c>
      <c r="B439" s="11" t="inlineStr">
        <is>
          <t>16.3.5</t>
        </is>
      </c>
      <c r="C439" s="11" t="inlineStr">
        <is>
          <t>Millorar i mantenir el material i infraestructures de gestió</t>
        </is>
      </c>
      <c r="D439" s="11" t="inlineStr">
        <is>
          <t>Millorar i mantenir el material i infraestructures de gestió</t>
        </is>
      </c>
      <c r="E439" s="11" t="inlineStr">
        <is>
          <t>Reparació i millora del material de la brigada</t>
        </is>
      </c>
      <c r="F439" s="11" t="inlineStr">
        <is>
          <t>Número de contractes realitzats</t>
        </is>
      </c>
      <c r="G439" s="11" t="n">
        <v>4</v>
      </c>
      <c r="H439" s="11" t="n">
        <v>12</v>
      </c>
      <c r="I439" s="11" t="inlineStr">
        <is>
          <t>MITJANA</t>
        </is>
      </c>
      <c r="J439" s="11" t="inlineStr">
        <is>
          <t>Millora Rural</t>
        </is>
      </c>
      <c r="K439" s="11" t="inlineStr">
        <is>
          <t>Natàlia</t>
        </is>
      </c>
      <c r="L439" s="11" t="inlineStr">
        <is>
          <t>MILLORAR L'EFICIÈNCIA de la gestió administrativa</t>
        </is>
      </c>
      <c r="M439" s="11" t="inlineStr">
        <is>
          <t>Agilitzar, incrementar l'eficiència i incrementar l’assoliment dels procediments administratius</t>
        </is>
      </c>
      <c r="N439" s="11" t="inlineStr">
        <is>
          <t>Comú</t>
        </is>
      </c>
      <c r="O439" s="11" t="inlineStr">
        <is>
          <t>Optatiu</t>
        </is>
      </c>
      <c r="P439" s="11" t="inlineStr">
        <is>
          <t>Si</t>
        </is>
      </c>
      <c r="Q439" s="11" t="inlineStr">
        <is>
          <t>16.3.5 · Reparació i millora del material de la brigada — Número de contractes realitzats</t>
        </is>
      </c>
    </row>
    <row r="440">
      <c r="A440" s="11" t="inlineStr">
        <is>
          <t>7. Gestió i administració</t>
        </is>
      </c>
      <c r="B440" s="11" t="inlineStr">
        <is>
          <t>16.4.1</t>
        </is>
      </c>
      <c r="C440" s="11" t="inlineStr">
        <is>
          <t>Revisar l’estat dels béns patrimonials i la situació administrativa-legal dels equipaments del parc</t>
        </is>
      </c>
      <c r="D440" s="11" t="inlineStr">
        <is>
          <t>Revisar l’estat dels béns patrimonials i la situació administrativa-legal dels equipaments del parc</t>
        </is>
      </c>
      <c r="E440" s="11" t="inlineStr">
        <is>
          <t>Revisió de tota la documentació relativa als béns patrimonials de l'ENP</t>
        </is>
      </c>
      <c r="F440" s="11" t="inlineStr">
        <is>
          <t>Acció realitzada</t>
        </is>
      </c>
      <c r="G440" s="11" t="inlineStr">
        <is>
          <t>no</t>
        </is>
      </c>
      <c r="H440" s="11" t="inlineStr">
        <is>
          <t>si</t>
        </is>
      </c>
      <c r="I440" s="11" t="inlineStr">
        <is>
          <t>MÀXIMA</t>
        </is>
      </c>
      <c r="J440" s="11" t="inlineStr">
        <is>
          <t>Direcció</t>
        </is>
      </c>
      <c r="K440" s="11" t="inlineStr">
        <is>
          <t>Marc</t>
        </is>
      </c>
      <c r="L440" s="11" t="inlineStr">
        <is>
          <t>MILLORAR L'EFICIÈNCIA de la gestió administrativa</t>
        </is>
      </c>
      <c r="M440" s="11" t="inlineStr">
        <is>
          <t>Ordenar l'estat dels béns patrimonials</t>
        </is>
      </c>
      <c r="N440" s="11" t="inlineStr">
        <is>
          <t>Comú</t>
        </is>
      </c>
      <c r="O440" s="11" t="inlineStr">
        <is>
          <t>Obligatori</t>
        </is>
      </c>
      <c r="P440" s="11" t="inlineStr">
        <is>
          <t>Si</t>
        </is>
      </c>
      <c r="Q440" s="11" t="inlineStr">
        <is>
          <t>16.4.1 · Revisió de tota la documentació relativa als béns patrimonials de l'ENP — Acció realitzada</t>
        </is>
      </c>
    </row>
    <row r="441">
      <c r="A441" s="11" t="inlineStr">
        <is>
          <t>7. Gestió i administració</t>
        </is>
      </c>
      <c r="B441" s="11" t="inlineStr">
        <is>
          <t>16.4.1</t>
        </is>
      </c>
      <c r="C441" s="11" t="inlineStr">
        <is>
          <t>Revisar l’estat dels béns patrimonials i la situació administrativa-legal dels equipaments del parc</t>
        </is>
      </c>
      <c r="D441" s="11" t="inlineStr">
        <is>
          <t>Revisar l’estat dels béns patrimonials i la situació administrativa-legal dels equipaments del parc</t>
        </is>
      </c>
      <c r="E441" s="11" t="inlineStr">
        <is>
          <t>Traspàs de tota la informació del béns patrimonials i col·laborar amb el Servei de Contractació i Patrimoni per tramitar els expedients de cessió de titularitat, declaracions d'obra nova, compra, lloguer...</t>
        </is>
      </c>
      <c r="F441" s="11" t="inlineStr">
        <is>
          <t>Expedients tramitats</t>
        </is>
      </c>
      <c r="G441" s="11" t="n">
        <v>2</v>
      </c>
      <c r="H441" s="11" t="n">
        <v>8</v>
      </c>
      <c r="I441" s="11" t="inlineStr">
        <is>
          <t>ALTA</t>
        </is>
      </c>
      <c r="J441" s="11" t="inlineStr">
        <is>
          <t>Direcció</t>
        </is>
      </c>
      <c r="K441" s="11" t="inlineStr">
        <is>
          <t>Marc</t>
        </is>
      </c>
      <c r="L441" s="11" t="inlineStr">
        <is>
          <t>MILLORAR L'EFICIÈNCIA de la gestió administrativa</t>
        </is>
      </c>
      <c r="M441" s="11" t="inlineStr">
        <is>
          <t>Ordenar l'estat dels béns patrimonials</t>
        </is>
      </c>
      <c r="N441" s="11" t="inlineStr">
        <is>
          <t>Comú</t>
        </is>
      </c>
      <c r="O441" s="11" t="inlineStr">
        <is>
          <t>Obligatori</t>
        </is>
      </c>
      <c r="P441" s="11" t="inlineStr">
        <is>
          <t>Si</t>
        </is>
      </c>
      <c r="Q441" s="11" t="inlineStr">
        <is>
          <t>16.4.1 · Traspàs de tota la informació del béns patrimonials i col·laborar amb el Servei de Contractació i Patrimoni per tramitar els expedients de cessió de t — Expedients tramitats</t>
        </is>
      </c>
    </row>
    <row r="442">
      <c r="A442" s="11" t="inlineStr">
        <is>
          <t>7. Gestió i administració</t>
        </is>
      </c>
      <c r="B442" s="11" t="inlineStr">
        <is>
          <t>16.4.2</t>
        </is>
      </c>
      <c r="C442" s="11" t="inlineStr">
        <is>
          <t>Tenir cobertes les pèrdues o danys materials del patrimoni de la Direcció General que hi ha a l'àmbit territorial del Parc, com a conseqüència de la materialització de qualsevol dels riscs emparats en el plec de prescripcions tècniques de la pòlissa.</t>
        </is>
      </c>
      <c r="D442" s="11" t="inlineStr">
        <is>
          <t>Tenir cobertes les pèrdues o danys materials del patrimoni de la Direcció General que hi ha a l'àmbit territorial del Parc, com a conseqüència de la materialització de qualsevol dels riscs emparats en el plec de prescripcions tècniques de la pòlissa.</t>
        </is>
      </c>
      <c r="E442" s="11" t="inlineStr">
        <is>
          <t>Revisió que tots els equipaments del parc estiguin correctament assegurats dins la pòlissa d'assegurança de danys materials (número 86-5034332) de la Generalitat, en col·laboració amb serveis centrals i d'acord amb les seves directrius</t>
        </is>
      </c>
      <c r="F442" s="11" t="inlineStr">
        <is>
          <t>Acció realitzada</t>
        </is>
      </c>
      <c r="G442" s="11" t="inlineStr">
        <is>
          <t>no</t>
        </is>
      </c>
      <c r="H442" s="11" t="inlineStr">
        <is>
          <t>si</t>
        </is>
      </c>
      <c r="I442" s="11" t="inlineStr">
        <is>
          <t>MÀXIMA</t>
        </is>
      </c>
      <c r="J442" s="11" t="inlineStr">
        <is>
          <t>Gestió Econòmica</t>
        </is>
      </c>
      <c r="K442" s="11" t="inlineStr">
        <is>
          <t>Eva</t>
        </is>
      </c>
      <c r="L442" s="11" t="inlineStr">
        <is>
          <t>MILLORAR L'EFICIÈNCIA de la gestió administrativa</t>
        </is>
      </c>
      <c r="M442" s="11" t="inlineStr">
        <is>
          <t>Ordenar l'estat dels béns patrimonials</t>
        </is>
      </c>
      <c r="N442" s="11" t="inlineStr">
        <is>
          <t>Comú</t>
        </is>
      </c>
      <c r="O442" s="11" t="inlineStr">
        <is>
          <t>Obligatori</t>
        </is>
      </c>
      <c r="P442" s="11" t="inlineStr">
        <is>
          <t>Si</t>
        </is>
      </c>
      <c r="Q442" s="11" t="inlineStr">
        <is>
          <t>16.4.2 · Revisió que tots els equipaments del parc estiguin correctament assegurats dins la pòlissa d'assegurança de danys materials (número 86-5034332) de la  — Acció realitzada</t>
        </is>
      </c>
    </row>
    <row r="443">
      <c r="A443" s="11" t="inlineStr">
        <is>
          <t>7. Gestió i administració</t>
        </is>
      </c>
      <c r="B443" s="11" t="inlineStr">
        <is>
          <t>16.4.2</t>
        </is>
      </c>
      <c r="C443" s="11" t="inlineStr">
        <is>
          <t>Tenir cobertes les pèrdues o danys materials del patrimoni de la Direcció General que hi ha a l'àmbit territorial del Parc, com a conseqüència de la materialització de qualsevol dels riscs emparats en el plec de prescripcions tècniques de la pòlissa.</t>
        </is>
      </c>
      <c r="D443" s="11" t="inlineStr">
        <is>
          <t>Tenir cobertes les pèrdues o danys materials del patrimoni de la Direcció General que hi ha a l'àmbit territorial del Parc, com a conseqüència de la materialització de qualsevol dels riscs emparats en el plec de prescripcions tècniques de la pòlissa.</t>
        </is>
      </c>
      <c r="E443" s="11" t="inlineStr">
        <is>
          <t>Col·laboració amb el Servei de Contractació i Patrimoni per tramitar les assegurances dels béns patrimonials</t>
        </is>
      </c>
      <c r="F443" s="11" t="inlineStr">
        <is>
          <t>Número d'assegurances tramitades</t>
        </is>
      </c>
      <c r="G443" s="11" t="n">
        <v>2</v>
      </c>
      <c r="H443" s="11" t="n">
        <v>6</v>
      </c>
      <c r="I443" s="11" t="inlineStr">
        <is>
          <t>ALTA</t>
        </is>
      </c>
      <c r="J443" s="11" t="inlineStr">
        <is>
          <t>Gestió Econòmica</t>
        </is>
      </c>
      <c r="K443" s="11" t="inlineStr">
        <is>
          <t>Eva</t>
        </is>
      </c>
      <c r="L443" s="11" t="inlineStr">
        <is>
          <t>MILLORAR L'EFICIÈNCIA de la gestió administrativa</t>
        </is>
      </c>
      <c r="M443" s="11" t="inlineStr">
        <is>
          <t>Ordenar l'estat dels béns patrimonials</t>
        </is>
      </c>
      <c r="N443" s="11" t="inlineStr">
        <is>
          <t>Comú</t>
        </is>
      </c>
      <c r="O443" s="11" t="inlineStr">
        <is>
          <t>Obligatori</t>
        </is>
      </c>
      <c r="P443" s="11" t="inlineStr">
        <is>
          <t>Si</t>
        </is>
      </c>
      <c r="Q443" s="11" t="inlineStr">
        <is>
          <t>16.4.2 · Col·laboració amb el Servei de Contractació i Patrimoni per tramitar les assegurances dels béns patrimonials — Número d'assegurances tramitades</t>
        </is>
      </c>
    </row>
    <row r="444">
      <c r="A444" s="11" t="inlineStr">
        <is>
          <t>7. Gestió i administració</t>
        </is>
      </c>
      <c r="B444" s="11" t="inlineStr">
        <is>
          <t>16.5.1</t>
        </is>
      </c>
      <c r="C444" s="11" t="inlineStr">
        <is>
          <t>Millorar l'accessibilitat i la gestió documental del centre o punt de documentació de l'ENP</t>
        </is>
      </c>
      <c r="D444" s="11" t="inlineStr">
        <is>
          <t>Millorar l'accessibilitat i la gestió documental del centre o punt de documentació de l'ENP</t>
        </is>
      </c>
      <c r="E444" s="11" t="inlineStr">
        <is>
          <t>Desenvolupament del repositori digital, recollint, preservant i difonent la informació generada</t>
        </is>
      </c>
      <c r="F444" s="11" t="inlineStr">
        <is>
          <t>Acció realitzada</t>
        </is>
      </c>
      <c r="G444" s="11" t="inlineStr">
        <is>
          <t>no</t>
        </is>
      </c>
      <c r="H444" s="11" t="inlineStr">
        <is>
          <t>si</t>
        </is>
      </c>
      <c r="I444" s="11" t="inlineStr">
        <is>
          <t>BAIXA</t>
        </is>
      </c>
      <c r="J444" s="11" t="inlineStr">
        <is>
          <t>Gestió Econòmica</t>
        </is>
      </c>
      <c r="K444" s="11" t="inlineStr">
        <is>
          <t>Eva</t>
        </is>
      </c>
      <c r="L444" s="11" t="inlineStr">
        <is>
          <t>MILLORAR L'EFICIÈNCIA de la gestió administrativa</t>
        </is>
      </c>
      <c r="M444" s="11" t="inlineStr">
        <is>
          <t>Estructurar la gestió documental</t>
        </is>
      </c>
      <c r="N444" s="11" t="inlineStr">
        <is>
          <t>Comú</t>
        </is>
      </c>
      <c r="O444" s="11" t="inlineStr">
        <is>
          <t>Obligatori</t>
        </is>
      </c>
      <c r="P444" s="11" t="inlineStr">
        <is>
          <t>Si</t>
        </is>
      </c>
      <c r="Q444" s="11" t="inlineStr">
        <is>
          <t>16.5.1 · Desenvolupament del repositori digital, recollint, preservant i difonent la informació generada — Acció realitzada</t>
        </is>
      </c>
    </row>
    <row r="445">
      <c r="A445" s="11" t="inlineStr">
        <is>
          <t>7. Gestió i administració</t>
        </is>
      </c>
      <c r="B445" s="11" t="inlineStr">
        <is>
          <t>16.5.1</t>
        </is>
      </c>
      <c r="C445" s="11" t="inlineStr">
        <is>
          <t>Millorar l'accessibilitat i la gestió documental del centre o punt de documentació de l'ENP</t>
        </is>
      </c>
      <c r="D445" s="11" t="inlineStr">
        <is>
          <t>Millorar l'accessibilitat i la gestió documental del centre o punt de documentació de l'ENP</t>
        </is>
      </c>
      <c r="E445" s="11" t="inlineStr">
        <is>
          <t>Catalogar i digitalitzar el fons documental.</t>
        </is>
      </c>
      <c r="F445" s="11" t="inlineStr">
        <is>
          <t>Acció realitzada</t>
        </is>
      </c>
      <c r="G445" s="11" t="inlineStr">
        <is>
          <t>no</t>
        </is>
      </c>
      <c r="H445" s="11" t="inlineStr">
        <is>
          <t>si</t>
        </is>
      </c>
      <c r="I445" s="11" t="inlineStr">
        <is>
          <t>ALTA</t>
        </is>
      </c>
      <c r="J445" s="11" t="inlineStr">
        <is>
          <t>Gestió Econòmica</t>
        </is>
      </c>
      <c r="K445" s="11" t="inlineStr">
        <is>
          <t>Eva</t>
        </is>
      </c>
      <c r="L445" s="11" t="inlineStr">
        <is>
          <t>MILLORAR L'EFICIÈNCIA de la gestió administrativa</t>
        </is>
      </c>
      <c r="M445" s="11" t="inlineStr">
        <is>
          <t>Estructurar la gestió documental</t>
        </is>
      </c>
      <c r="N445" s="11" t="inlineStr">
        <is>
          <t>Comú</t>
        </is>
      </c>
      <c r="O445" s="11" t="inlineStr">
        <is>
          <t>Obligatori</t>
        </is>
      </c>
      <c r="P445" s="11" t="inlineStr">
        <is>
          <t>Si</t>
        </is>
      </c>
      <c r="Q445" s="11" t="inlineStr">
        <is>
          <t>16.5.1 · Catalogar i digitalitzar el fons documental. — Acció realitzada</t>
        </is>
      </c>
    </row>
    <row r="446">
      <c r="A446" s="11" t="inlineStr">
        <is>
          <t>7. Gestió i administració</t>
        </is>
      </c>
      <c r="B446" s="11" t="inlineStr">
        <is>
          <t>16.5.1</t>
        </is>
      </c>
      <c r="C446" s="11" t="inlineStr">
        <is>
          <t>Millorar l'accessibilitat i la gestió documental del centre o punt de documentació de l'ENP</t>
        </is>
      </c>
      <c r="D446" s="11" t="inlineStr">
        <is>
          <t>Millorar l'accessibilitat i la gestió documental del centre o punt de documentació de l'ENP</t>
        </is>
      </c>
      <c r="E446" s="11" t="inlineStr">
        <is>
          <t>Millora de l'accessibilitat documental al web.</t>
        </is>
      </c>
      <c r="F446" s="11" t="inlineStr">
        <is>
          <t>Acció realitzada</t>
        </is>
      </c>
      <c r="G446" s="11" t="inlineStr">
        <is>
          <t>no</t>
        </is>
      </c>
      <c r="H446" s="11" t="inlineStr">
        <is>
          <t>si</t>
        </is>
      </c>
      <c r="I446" s="11" t="inlineStr">
        <is>
          <t>MITJANA</t>
        </is>
      </c>
      <c r="J446" s="11" t="inlineStr">
        <is>
          <t>Us Públic</t>
        </is>
      </c>
      <c r="K446" s="11" t="inlineStr">
        <is>
          <t>Moi</t>
        </is>
      </c>
      <c r="L446" s="11" t="inlineStr">
        <is>
          <t>MILLORAR L'EFICIÈNCIA de la gestió administrativa</t>
        </is>
      </c>
      <c r="M446" s="11" t="inlineStr">
        <is>
          <t>Estructurar la gestió documental</t>
        </is>
      </c>
      <c r="N446" s="11" t="inlineStr">
        <is>
          <t>Comú</t>
        </is>
      </c>
      <c r="O446" s="11" t="inlineStr">
        <is>
          <t>Obligatori</t>
        </is>
      </c>
      <c r="P446" s="11" t="inlineStr">
        <is>
          <t>Si</t>
        </is>
      </c>
      <c r="Q446" s="11" t="inlineStr">
        <is>
          <t>16.5.1 · Millora de l'accessibilitat documental al web. — Acció realitzada</t>
        </is>
      </c>
    </row>
    <row r="447">
      <c r="A447" s="11" t="inlineStr">
        <is>
          <t>7. Gestió i administració</t>
        </is>
      </c>
      <c r="B447" s="11" t="inlineStr">
        <is>
          <t>16.5.1</t>
        </is>
      </c>
      <c r="C447" s="11" t="inlineStr">
        <is>
          <t>Millorar l'accessibilitat i la gestió documental del centre o punt de documentació de l'ENP</t>
        </is>
      </c>
      <c r="D447" s="11" t="inlineStr">
        <is>
          <t>Millorar l'accessibilitat i la gestió documental del centre o punt de documentació de l'ENP</t>
        </is>
      </c>
      <c r="E447" s="11" t="inlineStr">
        <is>
          <t>Implementació de gestor d'expedients</t>
        </is>
      </c>
      <c r="F447" s="11" t="inlineStr">
        <is>
          <t>Acció realitzada</t>
        </is>
      </c>
      <c r="G447" s="11" t="inlineStr">
        <is>
          <t>no</t>
        </is>
      </c>
      <c r="H447" s="11" t="inlineStr">
        <is>
          <t>si</t>
        </is>
      </c>
      <c r="I447" s="11" t="inlineStr">
        <is>
          <t>BAIXA</t>
        </is>
      </c>
      <c r="J447" s="11" t="inlineStr">
        <is>
          <t>Gestió Econòmica</t>
        </is>
      </c>
      <c r="K447" s="11" t="inlineStr">
        <is>
          <t>Eva</t>
        </is>
      </c>
      <c r="L447" s="11" t="inlineStr">
        <is>
          <t>MILLORAR L'EFICIÈNCIA de la gestió administrativa</t>
        </is>
      </c>
      <c r="M447" s="11" t="inlineStr">
        <is>
          <t>Estructurar la gestió documental</t>
        </is>
      </c>
      <c r="N447" s="11" t="inlineStr">
        <is>
          <t>Comú</t>
        </is>
      </c>
      <c r="O447" s="11" t="inlineStr">
        <is>
          <t>Obligatori</t>
        </is>
      </c>
      <c r="P447" s="11" t="inlineStr">
        <is>
          <t>Si</t>
        </is>
      </c>
      <c r="Q447" s="11" t="inlineStr">
        <is>
          <t>16.5.1 · Implementació de gestor d'expedients — Acció realitzada</t>
        </is>
      </c>
    </row>
    <row r="448">
      <c r="A448" s="11" t="inlineStr">
        <is>
          <t>7. Gestió i administració</t>
        </is>
      </c>
      <c r="B448" s="11" t="inlineStr">
        <is>
          <t>16.6.1</t>
        </is>
      </c>
      <c r="C448" s="11" t="inlineStr">
        <is>
          <t>Gestió de la brigada de manteniment</t>
        </is>
      </c>
      <c r="D448" s="11" t="inlineStr">
        <is>
          <t>Gestió de la brigada de manteniment</t>
        </is>
      </c>
      <c r="E448" s="11" t="inlineStr">
        <is>
          <t>Redacció i difusió Plans periòdics del Servei de Manteniment</t>
        </is>
      </c>
      <c r="F448" s="11" t="inlineStr">
        <is>
          <t>Número plans redactats i difosos</t>
        </is>
      </c>
      <c r="G448" s="11" t="n">
        <v>16</v>
      </c>
      <c r="H448" s="11" t="n">
        <v>24</v>
      </c>
      <c r="I448" s="11" t="inlineStr">
        <is>
          <t>ALTA</t>
        </is>
      </c>
      <c r="J448" s="11" t="inlineStr">
        <is>
          <t>Millora Rural</t>
        </is>
      </c>
      <c r="K448" s="11" t="inlineStr">
        <is>
          <t>Natalia</t>
        </is>
      </c>
      <c r="L448" s="11" t="inlineStr">
        <is>
          <t>MILLORAR L'EFICIÈNCIA de la gestió administrativa</t>
        </is>
      </c>
      <c r="M448" s="11" t="inlineStr">
        <is>
          <t>Gestionar recursos humans</t>
        </is>
      </c>
      <c r="N448" s="11" t="inlineStr">
        <is>
          <t>Específic</t>
        </is>
      </c>
      <c r="O448" s="11" t="inlineStr">
        <is>
          <t>Obligatori</t>
        </is>
      </c>
      <c r="P448" s="11" t="inlineStr">
        <is>
          <t>Si</t>
        </is>
      </c>
      <c r="Q448" s="11" t="inlineStr">
        <is>
          <t>16.6.1 · Redacció i difusió Plans periòdics del Servei de Manteniment — Número plans redactats i difosos</t>
        </is>
      </c>
    </row>
    <row r="449">
      <c r="A449" s="11" t="inlineStr">
        <is>
          <t>7. Gestió i administració</t>
        </is>
      </c>
      <c r="B449" s="11" t="inlineStr">
        <is>
          <t>16.6.1</t>
        </is>
      </c>
      <c r="C449" s="11" t="inlineStr">
        <is>
          <t>Gestió de la brigada de manteniment</t>
        </is>
      </c>
      <c r="D449" s="11" t="inlineStr">
        <is>
          <t>Gestió de la brigada de manteniment</t>
        </is>
      </c>
      <c r="E449" s="11" t="inlineStr">
        <is>
          <t>Millorar la comunicació directe amb els representants dels ens locals de les actuacions de la brigada que es duen a terme al seus municipis</t>
        </is>
      </c>
      <c r="F449" s="11" t="inlineStr">
        <is>
          <t>Número de sistemes de comunicació nous establerts</t>
        </is>
      </c>
      <c r="G449" s="11" t="n">
        <v>1</v>
      </c>
      <c r="H449" s="11" t="n">
        <v>2</v>
      </c>
      <c r="I449" s="11" t="inlineStr">
        <is>
          <t>ALTA</t>
        </is>
      </c>
      <c r="J449" s="11" t="inlineStr"/>
      <c r="K449" s="11" t="inlineStr"/>
      <c r="L449" s="11" t="inlineStr">
        <is>
          <t>MILLORAR L'EFICIÈNCIA de la gestió administrativa</t>
        </is>
      </c>
      <c r="M449" s="11" t="inlineStr">
        <is>
          <t>Gestionar recursos humans</t>
        </is>
      </c>
      <c r="N449" s="11" t="inlineStr">
        <is>
          <t>Específic</t>
        </is>
      </c>
      <c r="O449" s="11" t="inlineStr">
        <is>
          <t>Obligatori</t>
        </is>
      </c>
      <c r="P449" s="11" t="inlineStr">
        <is>
          <t>Si</t>
        </is>
      </c>
      <c r="Q449" s="11" t="inlineStr">
        <is>
          <t>16.6.1 · Millorar la comunicació directe amb els representants dels ens locals de les actuacions de la brigada que es duen a terme al seus municipis — Número de sistemes de comunicació nous establerts</t>
        </is>
      </c>
    </row>
    <row r="450">
      <c r="A450" s="11" t="inlineStr">
        <is>
          <t>7. Gestió i administració</t>
        </is>
      </c>
      <c r="B450" s="11" t="inlineStr">
        <is>
          <t>16.6.1</t>
        </is>
      </c>
      <c r="C450" s="11" t="inlineStr">
        <is>
          <t>Gestió de la brigada de manteniment</t>
        </is>
      </c>
      <c r="D450" s="11" t="inlineStr">
        <is>
          <t>Gestió de la brigada de manteniment</t>
        </is>
      </c>
      <c r="E450" s="11" t="inlineStr">
        <is>
          <t>Contractes de despesa de material pel manteniment i millora per la brigada</t>
        </is>
      </c>
      <c r="F450" s="11" t="inlineStr">
        <is>
          <t>Número contractes</t>
        </is>
      </c>
      <c r="G450" s="11" t="n">
        <v>15</v>
      </c>
      <c r="H450" s="11" t="n">
        <v>33</v>
      </c>
      <c r="I450" s="11" t="inlineStr">
        <is>
          <t>ALTA</t>
        </is>
      </c>
      <c r="J450" s="11" t="inlineStr">
        <is>
          <t>Millora Rural</t>
        </is>
      </c>
      <c r="K450" s="11" t="inlineStr">
        <is>
          <t>Natalia</t>
        </is>
      </c>
      <c r="L450" s="11" t="inlineStr">
        <is>
          <t>MILLORAR L'EFICIÈNCIA de la gestió administrativa</t>
        </is>
      </c>
      <c r="M450" s="11" t="inlineStr">
        <is>
          <t>Gestionar recursos humans</t>
        </is>
      </c>
      <c r="N450" s="11" t="inlineStr">
        <is>
          <t>Específic</t>
        </is>
      </c>
      <c r="O450" s="11" t="inlineStr">
        <is>
          <t>Obligatori</t>
        </is>
      </c>
      <c r="P450" s="11" t="inlineStr">
        <is>
          <t>Si</t>
        </is>
      </c>
      <c r="Q450" s="11" t="inlineStr">
        <is>
          <t>16.6.1 · Contractes de despesa de material pel manteniment i millora per la brigada — Número contractes</t>
        </is>
      </c>
    </row>
    <row r="451">
      <c r="A451" s="11" t="inlineStr">
        <is>
          <t>7. Gestió i administració</t>
        </is>
      </c>
      <c r="B451" s="11" t="inlineStr">
        <is>
          <t>16.6.1</t>
        </is>
      </c>
      <c r="C451" s="11" t="inlineStr">
        <is>
          <t>Gestió de la brigada de manteniment</t>
        </is>
      </c>
      <c r="D451" s="11" t="inlineStr">
        <is>
          <t>Gestió de la brigada de manteniment</t>
        </is>
      </c>
      <c r="E451" s="11" t="inlineStr">
        <is>
          <t>Incrementar la dotació de personal al Servei de Mantneiment del Parc</t>
        </is>
      </c>
      <c r="F451" s="11" t="inlineStr">
        <is>
          <t>Nompre de persones estructurals a la brigada de manteniment</t>
        </is>
      </c>
      <c r="G451" s="11" t="n">
        <v>11</v>
      </c>
      <c r="H451" s="11" t="n">
        <v>18</v>
      </c>
      <c r="I451" s="11" t="inlineStr">
        <is>
          <t>MÀXIMA</t>
        </is>
      </c>
      <c r="J451" s="11" t="inlineStr">
        <is>
          <t>Direcció</t>
        </is>
      </c>
      <c r="K451" s="11" t="inlineStr">
        <is>
          <t>Marc</t>
        </is>
      </c>
      <c r="L451" s="11" t="inlineStr">
        <is>
          <t>MILLORAR L'EFICIÈNCIA de la gestió administrativa</t>
        </is>
      </c>
      <c r="M451" s="11" t="inlineStr">
        <is>
          <t>Gestionar recursos humans</t>
        </is>
      </c>
      <c r="N451" s="11" t="inlineStr">
        <is>
          <t>Específic</t>
        </is>
      </c>
      <c r="O451" s="11" t="inlineStr">
        <is>
          <t>Obligatori</t>
        </is>
      </c>
      <c r="P451" s="11" t="inlineStr">
        <is>
          <t>Si</t>
        </is>
      </c>
      <c r="Q451" s="11" t="inlineStr">
        <is>
          <t>16.6.1 · Incrementar la dotació de personal al Servei de Mantneiment del Parc — Nompre de persones estructurals a la brigada de manteniment</t>
        </is>
      </c>
    </row>
    <row r="452">
      <c r="A452" s="11" t="inlineStr">
        <is>
          <t>7. Gestió i administració</t>
        </is>
      </c>
      <c r="B452" s="11" t="inlineStr">
        <is>
          <t>16.6.2</t>
        </is>
      </c>
      <c r="C452" s="11" t="inlineStr">
        <is>
          <t>Gestió de personal</t>
        </is>
      </c>
      <c r="D452" s="11" t="inlineStr">
        <is>
          <t>Dotació de personal estructural del parc</t>
        </is>
      </c>
      <c r="E452" s="11" t="inlineStr">
        <is>
          <t>Dotació de dues persones per àrea en l'organigrama del parc natural</t>
        </is>
      </c>
      <c r="F452" s="11" t="inlineStr">
        <is>
          <t>Nombre de persones estructurals a l'equip de gestió</t>
        </is>
      </c>
      <c r="G452" s="11" t="n">
        <v>8</v>
      </c>
      <c r="H452" s="11" t="n">
        <v>16</v>
      </c>
      <c r="I452" s="11" t="inlineStr">
        <is>
          <t>MÀXIMA</t>
        </is>
      </c>
      <c r="J452" s="11" t="inlineStr">
        <is>
          <t>Direcció</t>
        </is>
      </c>
      <c r="K452" s="11" t="inlineStr">
        <is>
          <t>Marc</t>
        </is>
      </c>
      <c r="L452" s="11" t="inlineStr">
        <is>
          <t>MILLORAR L'EFICIÈNCIA de la gestió administrativa</t>
        </is>
      </c>
      <c r="M452" s="11" t="inlineStr">
        <is>
          <t>Gestionar recursos humans</t>
        </is>
      </c>
      <c r="N452" s="11" t="inlineStr">
        <is>
          <t>Específic</t>
        </is>
      </c>
      <c r="O452" s="11" t="inlineStr">
        <is>
          <t>Obligatori</t>
        </is>
      </c>
      <c r="P452" s="11" t="inlineStr">
        <is>
          <t>Si</t>
        </is>
      </c>
      <c r="Q452" s="11" t="inlineStr">
        <is>
          <t>16.6.2 · Dotació de dues persones per àrea en l'organigrama del parc natural — Nombre de persones estructurals a l'equip de gestió</t>
        </is>
      </c>
    </row>
  </sheetData>
  <autoFilter ref="A3:Q452"/>
  <pageMargins left="0.75" right="0.75" top="1" bottom="1" header="0.5" footer="0.5"/>
</worksheet>
</file>

<file path=xl/worksheets/sheet4.xml><?xml version="1.0" encoding="utf-8"?>
<worksheet xmlns="http://schemas.openxmlformats.org/spreadsheetml/2006/main">
  <sheetPr>
    <tabColor rgb="005C6BC0"/>
    <outlinePr summaryBelow="1" summaryRight="1"/>
    <pageSetUpPr/>
  </sheetPr>
  <dimension ref="A1:O34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60" customWidth="1" min="3" max="3"/>
    <col width="11" customWidth="1" min="4" max="4"/>
    <col width="18" customWidth="1" min="5" max="5"/>
    <col width="22" customWidth="1" min="6" max="6"/>
    <col width="30" customWidth="1" min="7" max="7"/>
    <col width="34" customWidth="1" min="8" max="8"/>
    <col width="38" customWidth="1" min="9" max="9"/>
    <col width="12" customWidth="1" min="10" max="10"/>
    <col width="11" customWidth="1" min="11" max="11"/>
    <col width="36" customWidth="1" min="12" max="12"/>
    <col width="22" customWidth="1" min="13" max="13"/>
    <col width="10" customWidth="1" min="14" max="14"/>
    <col width="14" customWidth="1" min="15" max="15"/>
  </cols>
  <sheetData>
    <row r="1">
      <c r="A1" s="14" t="inlineStr">
        <is>
          <t>PROGRAMA D'ACTUACIONS 2026 — Parc Natural de l'Alt Pirineu (només consulta)</t>
        </is>
      </c>
    </row>
    <row r="2">
      <c r="A2" t="inlineStr">
        <is>
          <t>Codis amb prefix 26_, objectius i eixos normalitzats. Si no hi ha actuacions, el parc no tenia programa 2026 al Motor.</t>
        </is>
      </c>
    </row>
    <row r="4" ht="48" customHeight="1">
      <c r="A4" s="9" t="inlineStr">
        <is>
          <t>Codi 2026</t>
        </is>
      </c>
      <c r="B4" s="9" t="inlineStr">
        <is>
          <t>Codi RAE</t>
        </is>
      </c>
      <c r="C4" s="9" t="inlineStr">
        <is>
          <t>Actuació</t>
        </is>
      </c>
      <c r="D4" s="9" t="inlineStr">
        <is>
          <t>Objectiu operatiu</t>
        </is>
      </c>
      <c r="E4" s="9" t="inlineStr">
        <is>
          <t>Altres objectius</t>
        </is>
      </c>
      <c r="F4" s="9" t="inlineStr">
        <is>
          <t>Eix</t>
        </is>
      </c>
      <c r="G4" s="9" t="inlineStr">
        <is>
          <t>Tipus de despesa</t>
        </is>
      </c>
      <c r="H4" s="9" t="inlineStr">
        <is>
          <t>Partida RAE</t>
        </is>
      </c>
      <c r="I4" s="9" t="inlineStr">
        <is>
          <t>Tipus MAP</t>
        </is>
      </c>
      <c r="J4" s="9" t="inlineStr">
        <is>
          <t>Import (€)</t>
        </is>
      </c>
      <c r="K4" s="9" t="inlineStr">
        <is>
          <t>Grau de compliment</t>
        </is>
      </c>
      <c r="L4" s="9" t="inlineStr">
        <is>
          <t>Observacions</t>
        </is>
      </c>
      <c r="M4" s="9" t="inlineStr">
        <is>
          <t>Gestor</t>
        </is>
      </c>
      <c r="N4" s="9" t="inlineStr">
        <is>
          <t>Recurrent</t>
        </is>
      </c>
      <c r="O4" s="9" t="inlineStr">
        <is>
          <t>L'objectiu és al Pla 2027?</t>
        </is>
      </c>
    </row>
    <row r="5">
      <c r="A5" s="11" t="inlineStr">
        <is>
          <t>26_NA_01</t>
        </is>
      </c>
      <c r="B5" s="11" t="inlineStr"/>
      <c r="C5" s="11" t="inlineStr">
        <is>
          <t>Realització d'accions per a la millora dels elements prioritzats a l'espai, incloent les accions previstes de conservació al Marc d’Acció Prioritària dels espais Xarxa Natura 2000 “Alt Pallars” i “la Torrassa”: Canalització del camí d'accés a la Pica d'estats al seu pas per la tartera de Sotllo. Redacció del projecte</t>
        </is>
      </c>
      <c r="D5" s="11" t="inlineStr">
        <is>
          <t>01.1.1</t>
        </is>
      </c>
      <c r="E5" s="11" t="inlineStr"/>
      <c r="F5" s="11" t="inlineStr">
        <is>
          <t>1. Natura</t>
        </is>
      </c>
      <c r="G5" s="11" t="inlineStr">
        <is>
          <t>PEA Infraestructures</t>
        </is>
      </c>
      <c r="H5" s="11" t="inlineStr"/>
      <c r="I5" s="11" t="inlineStr">
        <is>
          <t>2.7 Mesures de conservació i restauració d'hàbitats rocosos, dunes i terres de vegetació esparsa</t>
        </is>
      </c>
      <c r="J5" s="12" t="n">
        <v>30000</v>
      </c>
      <c r="K5" s="13" t="n">
        <v>0.2</v>
      </c>
      <c r="L5" s="11" t="inlineStr">
        <is>
          <t>Import aproximat, en funció del previst finalment al projecte executiu</t>
        </is>
      </c>
      <c r="M5" s="11" t="inlineStr">
        <is>
          <t>Marc Garriga Lujan</t>
        </is>
      </c>
      <c r="N5" s="11" t="inlineStr">
        <is>
          <t>No</t>
        </is>
      </c>
      <c r="O5" s="15">
        <f>IF(COUNTIF(Objectius!$A$2:$A$183,D5)&gt;0,"Sí","No")</f>
        <v/>
      </c>
    </row>
    <row r="6">
      <c r="A6" s="11" t="inlineStr">
        <is>
          <t>26_NA_02</t>
        </is>
      </c>
      <c r="B6" s="11" t="inlineStr"/>
      <c r="C6" s="11" t="inlineStr">
        <is>
          <t>Realització d'accions per a la millora dels elements prioritzats a l'espai, incloent les accions previstes de conservació al Marc d’Acció Prioritària dels espais Xarxa Natura 2000 “Alt Pallars” i “la Torrassa”: Restauració de la cua de l'embassament de Boren. Redacció del proejcte</t>
        </is>
      </c>
      <c r="D6" s="11" t="inlineStr">
        <is>
          <t>01.1.1</t>
        </is>
      </c>
      <c r="E6" s="11" t="inlineStr"/>
      <c r="F6" s="11" t="inlineStr">
        <is>
          <t>1. Natura</t>
        </is>
      </c>
      <c r="G6" s="11" t="inlineStr">
        <is>
          <t>PEA Infraestructures</t>
        </is>
      </c>
      <c r="H6" s="11" t="inlineStr"/>
      <c r="I6" s="11" t="inlineStr">
        <is>
          <t>2.8 Mesures de manteniment i restauració d'hàbitats d'aigua dolça (rius, llacs i zones humides no litorals)</t>
        </is>
      </c>
      <c r="J6" s="12" t="n">
        <v>30000</v>
      </c>
      <c r="K6" s="13" t="n">
        <v>0.2</v>
      </c>
      <c r="L6" s="11" t="inlineStr">
        <is>
          <t>Xifra final pendent d'adjudicació del contracte</t>
        </is>
      </c>
      <c r="M6" s="11" t="inlineStr">
        <is>
          <t>Marc Garriga Lujan</t>
        </is>
      </c>
      <c r="N6" s="11" t="inlineStr">
        <is>
          <t>No</t>
        </is>
      </c>
      <c r="O6" s="15">
        <f>IF(COUNTIF(Objectius!$A$2:$A$183,D6)&gt;0,"Sí","No")</f>
        <v/>
      </c>
    </row>
    <row r="7">
      <c r="A7" s="11" t="inlineStr">
        <is>
          <t>26_NA_03</t>
        </is>
      </c>
      <c r="B7" s="11" t="inlineStr"/>
      <c r="C7" s="11" t="inlineStr">
        <is>
          <t>Realització d'accions per a la millora dels elements prioritzats a l'espai, incloent les accions previstes de conservació al Marc d’Acció Prioritària dels espais Xarxa Natura 2000 “Alt Pallars” i “la Torrassa”: Realització d'accions de millora d'habitat de gall ger en boscos patrimonials. Redacció del projecte.</t>
        </is>
      </c>
      <c r="D7" s="11" t="inlineStr">
        <is>
          <t>01.1.1</t>
        </is>
      </c>
      <c r="E7" s="11" t="inlineStr">
        <is>
          <t>01.3.2, 01.4.2, 02.1.3</t>
        </is>
      </c>
      <c r="F7" s="11" t="inlineStr">
        <is>
          <t>1. Natura</t>
        </is>
      </c>
      <c r="G7" s="11" t="inlineStr">
        <is>
          <t>PEA Infraestructures</t>
        </is>
      </c>
      <c r="H7" s="11" t="inlineStr"/>
      <c r="I7" s="11" t="inlineStr">
        <is>
          <t>2.6 Mesures de manteniment i restauració de boscos i superfícies forestals</t>
        </is>
      </c>
      <c r="J7" s="12" t="n">
        <v>30000</v>
      </c>
      <c r="K7" s="13" t="n">
        <v>0.2</v>
      </c>
      <c r="L7" s="11" t="inlineStr">
        <is>
          <t>Xifra final pendent d'adjudicació del contracte</t>
        </is>
      </c>
      <c r="M7" s="11" t="inlineStr">
        <is>
          <t>Josep Pique Palacin</t>
        </is>
      </c>
      <c r="N7" s="11" t="inlineStr">
        <is>
          <t>No</t>
        </is>
      </c>
      <c r="O7" s="15">
        <f>IF(COUNTIF(Objectius!$A$2:$A$183,D7)&gt;0,"Sí","No")</f>
        <v/>
      </c>
    </row>
    <row r="8">
      <c r="A8" s="11" t="inlineStr">
        <is>
          <t>26_NA_04</t>
        </is>
      </c>
      <c r="B8" s="11" t="inlineStr"/>
      <c r="C8" s="11" t="inlineStr">
        <is>
          <t>Realització d'accions per a la millora dels elements prioritzats a l'espai, incloent les accions previstes de conservació al Marc d’Acció Prioritària dels espais Xarxa Natura 2000 “Alt Pallars” i “la Torrassa”: Revisió, modificació i/o visibilització de filats perillosos per a fauna amenaçada, en especial gall fer.</t>
        </is>
      </c>
      <c r="D8" s="11" t="inlineStr">
        <is>
          <t>01.1.1</t>
        </is>
      </c>
      <c r="E8" s="11" t="inlineStr"/>
      <c r="F8" s="11" t="inlineStr">
        <is>
          <t>1. Natura</t>
        </is>
      </c>
      <c r="G8" s="11" t="inlineStr">
        <is>
          <t>Encomana Forestal Catalana</t>
        </is>
      </c>
      <c r="H8" s="11" t="inlineStr"/>
      <c r="I8" s="11" t="inlineStr">
        <is>
          <t>2.6 Mesures de manteniment i restauració de boscos i superfícies forestals</t>
        </is>
      </c>
      <c r="J8" s="12" t="n">
        <v>36222.283</v>
      </c>
      <c r="K8" s="13" t="n"/>
      <c r="L8" s="11" t="inlineStr">
        <is>
          <t>5% de l'encomana de manteniment. Import 2026 calculat amb la fórmula =724445.66*0.05</t>
        </is>
      </c>
      <c r="M8" s="11" t="inlineStr">
        <is>
          <t>Josep Pique Palacin</t>
        </is>
      </c>
      <c r="N8" s="11" t="inlineStr">
        <is>
          <t>No</t>
        </is>
      </c>
      <c r="O8" s="15">
        <f>IF(COUNTIF(Objectius!$A$2:$A$183,D8)&gt;0,"Sí","No")</f>
        <v/>
      </c>
    </row>
    <row r="9">
      <c r="A9" s="11" t="inlineStr">
        <is>
          <t>26_NA_05</t>
        </is>
      </c>
      <c r="B9" s="11" t="n">
        <v>6</v>
      </c>
      <c r="C9" s="11" t="inlineStr">
        <is>
          <t>Realització d'accions per a la millora dels elements prioritzats a l'espai, incloent les accions previstes de conservació al Marc d’Acció Prioritària dels espais Xarxa Natura 2000 “Alt Pallars” i “la Torrassa”: Millora de les poblacions d'Hippuris a la Torrassa</t>
        </is>
      </c>
      <c r="D9" s="11" t="inlineStr">
        <is>
          <t>01.1.1</t>
        </is>
      </c>
      <c r="E9" s="11" t="inlineStr"/>
      <c r="F9" s="11" t="inlineStr">
        <is>
          <t>1. Natura</t>
        </is>
      </c>
      <c r="G9" s="11" t="inlineStr">
        <is>
          <t>Contracte menor a càrrec del RAE</t>
        </is>
      </c>
      <c r="H9" s="11" t="inlineStr">
        <is>
          <t>210.0001 - Conservació, reparació i manteniment de terrenys</t>
        </is>
      </c>
      <c r="I9" s="11" t="inlineStr">
        <is>
          <t>2.8 Mesures de manteniment i restauració d'hàbitats d'aigua dolça (rius, llacs i zones humides no litorals)</t>
        </is>
      </c>
      <c r="J9" s="12" t="n">
        <v>4560</v>
      </c>
      <c r="K9" s="13" t="n">
        <v>0.1</v>
      </c>
      <c r="L9" s="11" t="inlineStr"/>
      <c r="M9" s="11" t="inlineStr">
        <is>
          <t>Mariona Martinez Salvador</t>
        </is>
      </c>
      <c r="N9" s="11" t="inlineStr">
        <is>
          <t>No</t>
        </is>
      </c>
      <c r="O9" s="15">
        <f>IF(COUNTIF(Objectius!$A$2:$A$183,D9)&gt;0,"Sí","No")</f>
        <v/>
      </c>
    </row>
    <row r="10">
      <c r="A10" s="11" t="inlineStr">
        <is>
          <t>26_NA_06</t>
        </is>
      </c>
      <c r="B10" s="11" t="inlineStr"/>
      <c r="C10" s="11" t="inlineStr">
        <is>
          <t>Realització d'accions per a la millora dels elements prioritzats a l'espai, incloent les accions previstes de conservació al Marc d’Acció Prioritària dels espais Xarxa Natura 2000 “Alt Pallars” i “la Torrassa”: Realització d'accions d'exclusió d'herbivors en molleres</t>
        </is>
      </c>
      <c r="D10" s="11" t="inlineStr">
        <is>
          <t>01.1.1</t>
        </is>
      </c>
      <c r="E10" s="11" t="inlineStr"/>
      <c r="F10" s="11" t="inlineStr">
        <is>
          <t>1. Natura</t>
        </is>
      </c>
      <c r="G10" s="11" t="inlineStr">
        <is>
          <t>Encomana Forestal Catalana</t>
        </is>
      </c>
      <c r="H10" s="11" t="inlineStr"/>
      <c r="I10" s="11" t="inlineStr">
        <is>
          <t>2.3 Mesures de manteniment i restauració de torberes</t>
        </is>
      </c>
      <c r="J10" s="12" t="n">
        <v>36222.283</v>
      </c>
      <c r="K10" s="13" t="n">
        <v>0.2</v>
      </c>
      <c r="L10" s="11" t="inlineStr">
        <is>
          <t>5% de l'encomana de manteniment. Import 2026 calculat amb la fórmula =724445.66*0.05</t>
        </is>
      </c>
      <c r="M10" s="11" t="inlineStr">
        <is>
          <t>Nil Bacardit Tudela</t>
        </is>
      </c>
      <c r="N10" s="11" t="inlineStr">
        <is>
          <t>No</t>
        </is>
      </c>
      <c r="O10" s="15">
        <f>IF(COUNTIF(Objectius!$A$2:$A$183,D10)&gt;0,"Sí","No")</f>
        <v/>
      </c>
    </row>
    <row r="11">
      <c r="A11" s="11" t="inlineStr">
        <is>
          <t>26_NA_07</t>
        </is>
      </c>
      <c r="B11" s="11" t="inlineStr"/>
      <c r="C11" s="11" t="inlineStr">
        <is>
          <t>Realització d'accions per a la millora dels elements prioritzats a l'espai, incloent les accions previstes de conservació al Marc d’Acció Prioritària dels espais Xarxa Natura 2000 “Alt Pallars” i “la Torrassa”: seguiment d'actuacions de conservació en molleres</t>
        </is>
      </c>
      <c r="D11" s="11" t="inlineStr">
        <is>
          <t>01.1.1</t>
        </is>
      </c>
      <c r="E11" s="11" t="inlineStr"/>
      <c r="F11" s="11" t="inlineStr">
        <is>
          <t>1. Natura</t>
        </is>
      </c>
      <c r="G11" s="11" t="inlineStr">
        <is>
          <t>Contracte menor des de la DG</t>
        </is>
      </c>
      <c r="H11" s="11" t="inlineStr"/>
      <c r="I11" s="11" t="inlineStr">
        <is>
          <t>2.3 Mesures de manteniment i restauració de torberes</t>
        </is>
      </c>
      <c r="J11" s="12" t="n">
        <v>18128.58</v>
      </c>
      <c r="K11" s="13" t="n"/>
      <c r="L11" s="11" t="inlineStr"/>
      <c r="M11" s="11" t="inlineStr">
        <is>
          <t>Mariona Martinez Salvador</t>
        </is>
      </c>
      <c r="N11" s="11" t="inlineStr">
        <is>
          <t>No</t>
        </is>
      </c>
      <c r="O11" s="15">
        <f>IF(COUNTIF(Objectius!$A$2:$A$183,D11)&gt;0,"Sí","No")</f>
        <v/>
      </c>
    </row>
    <row r="12">
      <c r="A12" s="11" t="inlineStr">
        <is>
          <t>26_NA_08</t>
        </is>
      </c>
      <c r="B12" s="11" t="inlineStr"/>
      <c r="C12" s="11" t="inlineStr">
        <is>
          <t>Realització d’actuacions de control i eradicació d’espècies invasores (exòtiques o no) que afecten a l’estat de conservació d’hàbitats i espècies: actuacions de control de flora invasora</t>
        </is>
      </c>
      <c r="D12" s="11" t="inlineStr">
        <is>
          <t>01.1.1</t>
        </is>
      </c>
      <c r="E12" s="11" t="inlineStr"/>
      <c r="F12" s="11" t="inlineStr">
        <is>
          <t>1. Natura</t>
        </is>
      </c>
      <c r="G12" s="11" t="inlineStr">
        <is>
          <t>Encomana Forestal Catalana</t>
        </is>
      </c>
      <c r="H12" s="11" t="inlineStr"/>
      <c r="I12" s="11" t="inlineStr">
        <is>
          <t>2.8 Mesures de manteniment i restauració d'hàbitats d'aigua dolça (rius, llacs i zones humides no litorals)</t>
        </is>
      </c>
      <c r="J12" s="12" t="n">
        <v>100000</v>
      </c>
      <c r="K12" s="13" t="n">
        <v>0.25</v>
      </c>
      <c r="L12" s="11" t="inlineStr">
        <is>
          <t>Xifra aproximada dins un contracte més global</t>
        </is>
      </c>
      <c r="M12" s="11" t="inlineStr">
        <is>
          <t>Mariona Martinez Salvador</t>
        </is>
      </c>
      <c r="N12" s="11" t="inlineStr">
        <is>
          <t>No</t>
        </is>
      </c>
      <c r="O12" s="15">
        <f>IF(COUNTIF(Objectius!$A$2:$A$183,D12)&gt;0,"Sí","No")</f>
        <v/>
      </c>
    </row>
    <row r="13">
      <c r="A13" s="11" t="inlineStr">
        <is>
          <t>26_NA_09</t>
        </is>
      </c>
      <c r="B13" s="11" t="inlineStr"/>
      <c r="C13" s="11" t="inlineStr">
        <is>
          <t>Realització de les actuacions de conservació d’hàbitats i espècies aquàtiques d’alta muntanya previstes al projecte LIFE RESQUE ALPYR: restauració estanys Muntanyó d'Arreu i Naorte, molleres de Comes de Rubió, Sartari i Pallerols</t>
        </is>
      </c>
      <c r="D13" s="11" t="inlineStr">
        <is>
          <t>01.1.1</t>
        </is>
      </c>
      <c r="E13" s="11" t="inlineStr"/>
      <c r="F13" s="11" t="inlineStr">
        <is>
          <t>1. Natura</t>
        </is>
      </c>
      <c r="G13" s="11" t="inlineStr">
        <is>
          <t>Encomana Forestal Catalana</t>
        </is>
      </c>
      <c r="H13" s="11" t="inlineStr"/>
      <c r="I13" s="11" t="inlineStr">
        <is>
          <t>2.8 Mesures de manteniment i restauració d'hàbitats d'aigua dolça (rius, llacs i zones humides no litorals)</t>
        </is>
      </c>
      <c r="J13" s="12" t="n">
        <v>100000</v>
      </c>
      <c r="K13" s="13" t="n">
        <v>0.25</v>
      </c>
      <c r="L13" s="11" t="inlineStr">
        <is>
          <t>Brigades extra que s'aporten al Projecte</t>
        </is>
      </c>
      <c r="M13" s="11" t="inlineStr">
        <is>
          <t>Marc Garriga Lujan</t>
        </is>
      </c>
      <c r="N13" s="11" t="inlineStr">
        <is>
          <t>No</t>
        </is>
      </c>
      <c r="O13" s="15">
        <f>IF(COUNTIF(Objectius!$A$2:$A$183,D13)&gt;0,"Sí","No")</f>
        <v/>
      </c>
    </row>
    <row r="14">
      <c r="A14" s="11" t="inlineStr">
        <is>
          <t>26_NA_10</t>
        </is>
      </c>
      <c r="B14" s="11" t="inlineStr"/>
      <c r="C14" s="11" t="inlineStr">
        <is>
          <t>Realització de les actuacions de conservació d’hàbitats i espècies aquàtiques d’alta muntanya previstes al projecte LIFE RESQUE ALPYR:programa d'educació ambiental</t>
        </is>
      </c>
      <c r="D14" s="11" t="inlineStr">
        <is>
          <t>01.1.1</t>
        </is>
      </c>
      <c r="E14" s="11" t="inlineStr"/>
      <c r="F14" s="11" t="inlineStr">
        <is>
          <t>1. Natura</t>
        </is>
      </c>
      <c r="G14" s="11" t="inlineStr">
        <is>
          <t>Contracte menor des de la DG</t>
        </is>
      </c>
      <c r="H14" s="11" t="inlineStr"/>
      <c r="I14" s="11" t="inlineStr">
        <is>
          <t>1.5 Mesures de comunicació i sensibilització, educació i accés de visitants relacionades amb Natura 2000</t>
        </is>
      </c>
      <c r="J14" s="12" t="n">
        <v>6824.4</v>
      </c>
      <c r="K14" s="13" t="n">
        <v>0.25</v>
      </c>
      <c r="L14" s="11" t="inlineStr"/>
      <c r="M14" s="11" t="inlineStr">
        <is>
          <t>Moises Villanueva Coello</t>
        </is>
      </c>
      <c r="N14" s="11" t="inlineStr">
        <is>
          <t>No</t>
        </is>
      </c>
      <c r="O14" s="15">
        <f>IF(COUNTIF(Objectius!$A$2:$A$183,D14)&gt;0,"Sí","No")</f>
        <v/>
      </c>
    </row>
    <row r="15">
      <c r="A15" s="11" t="inlineStr">
        <is>
          <t>26_NA_11</t>
        </is>
      </c>
      <c r="B15" s="11" t="inlineStr"/>
      <c r="C15" s="11" t="inlineStr">
        <is>
          <t>Realització de les actuacions de conservació d’hàbitats i espècies aquàtiques d’alta muntanya previstes al projecte LIFE RESQUE ALPYR: Treballs de disseny i maquetació de plafons i cartelleres per Muntanyó, Sartari, Comes de Rubió, mirador de la Font de la Tosca i Tavascan</t>
        </is>
      </c>
      <c r="D15" s="11" t="inlineStr">
        <is>
          <t>01.1.1</t>
        </is>
      </c>
      <c r="E15" s="11" t="inlineStr"/>
      <c r="F15" s="11" t="inlineStr">
        <is>
          <t>1. Natura</t>
        </is>
      </c>
      <c r="G15" s="11" t="inlineStr">
        <is>
          <t>Contracte menor des de la DG</t>
        </is>
      </c>
      <c r="H15" s="11" t="inlineStr"/>
      <c r="I15" s="11" t="inlineStr">
        <is>
          <t>1.5 Mesures de comunicació i sensibilització, educació i accés de visitants relacionades amb Natura 2000</t>
        </is>
      </c>
      <c r="J15" s="12" t="n">
        <v>17859.6</v>
      </c>
      <c r="K15" s="13" t="n">
        <v>0.25</v>
      </c>
      <c r="L15" s="11" t="inlineStr"/>
      <c r="M15" s="11" t="inlineStr">
        <is>
          <t>Nil Bacardit Tudela</t>
        </is>
      </c>
      <c r="N15" s="11" t="inlineStr">
        <is>
          <t>No</t>
        </is>
      </c>
      <c r="O15" s="15">
        <f>IF(COUNTIF(Objectius!$A$2:$A$183,D15)&gt;0,"Sí","No")</f>
        <v/>
      </c>
    </row>
    <row r="16">
      <c r="A16" s="11" t="inlineStr">
        <is>
          <t>26_NA_12</t>
        </is>
      </c>
      <c r="B16" s="11" t="inlineStr"/>
      <c r="C16" s="11" t="inlineStr">
        <is>
          <t>Realització de les actuacions de conservació d’hàbitats i espècies aquàtiques d’alta muntanya previstes al projecte LIFE RESQUE ALPYR: impressió i instalació senyalització</t>
        </is>
      </c>
      <c r="D16" s="11" t="inlineStr">
        <is>
          <t>01.1.1</t>
        </is>
      </c>
      <c r="E16" s="11" t="inlineStr"/>
      <c r="F16" s="11" t="inlineStr">
        <is>
          <t>1. Natura</t>
        </is>
      </c>
      <c r="G16" s="11" t="inlineStr">
        <is>
          <t>Contracte menor des de la DG</t>
        </is>
      </c>
      <c r="H16" s="11" t="inlineStr"/>
      <c r="I16" s="11" t="inlineStr">
        <is>
          <t>1.5 Mesures de comunicació i sensibilització, educació i accés de visitants relacionades amb Natura 2000</t>
        </is>
      </c>
      <c r="J16" s="12" t="n">
        <v>12021.68</v>
      </c>
      <c r="K16" s="13" t="n">
        <v>0.25</v>
      </c>
      <c r="L16" s="11" t="inlineStr"/>
      <c r="M16" s="11" t="inlineStr">
        <is>
          <t>Nil Bacardit Tudela</t>
        </is>
      </c>
      <c r="N16" s="11" t="inlineStr">
        <is>
          <t>No</t>
        </is>
      </c>
      <c r="O16" s="15">
        <f>IF(COUNTIF(Objectius!$A$2:$A$183,D16)&gt;0,"Sí","No")</f>
        <v/>
      </c>
    </row>
    <row r="17">
      <c r="A17" s="11" t="inlineStr">
        <is>
          <t>26_NA_13</t>
        </is>
      </c>
      <c r="B17" s="11" t="inlineStr"/>
      <c r="C17" s="11" t="inlineStr">
        <is>
          <t>Elaboració de plans de gestió per elements prioritzats a l'espai: Document d'avaluació d'eficàcia de la gestió del Parc (LIFE PAME)</t>
        </is>
      </c>
      <c r="D17" s="11" t="inlineStr">
        <is>
          <t>01.1.1</t>
        </is>
      </c>
      <c r="E17" s="11" t="inlineStr"/>
      <c r="F17" s="11" t="inlineStr">
        <is>
          <t>1. Natura</t>
        </is>
      </c>
      <c r="G17" s="11" t="inlineStr">
        <is>
          <t>Altres</t>
        </is>
      </c>
      <c r="H17" s="11" t="inlineStr"/>
      <c r="I17" s="11" t="inlineStr">
        <is>
          <t>1.1 Planificació de la gestió i designació del lloc</t>
        </is>
      </c>
      <c r="J17" s="12" t="n">
        <v>0</v>
      </c>
      <c r="K17" s="13" t="n">
        <v>0.25</v>
      </c>
      <c r="L17" s="11" t="inlineStr">
        <is>
          <t>A realitzar amb mitjans propis en el marc LIFE PAME</t>
        </is>
      </c>
      <c r="M17" s="11" t="inlineStr">
        <is>
          <t>Marc Garriga Lujan</t>
        </is>
      </c>
      <c r="N17" s="11" t="inlineStr">
        <is>
          <t>No</t>
        </is>
      </c>
      <c r="O17" s="15">
        <f>IF(COUNTIF(Objectius!$A$2:$A$183,D17)&gt;0,"Sí","No")</f>
        <v/>
      </c>
    </row>
    <row r="18">
      <c r="A18" s="11" t="inlineStr">
        <is>
          <t>26_NA_14</t>
        </is>
      </c>
      <c r="B18" s="11" t="n">
        <v>68</v>
      </c>
      <c r="C18" s="11" t="inlineStr">
        <is>
          <t>Afavorir la custòdia del territori amb entitats i potenciar projectes de conservació de forma col·laborativa entre el parc, els ens locals i les entitats de custòdia: Fomentar les compensacions del carboni generat pels visitants a través de Gratitud Pallars - Coordinació del projecte</t>
        </is>
      </c>
      <c r="D18" s="11" t="inlineStr">
        <is>
          <t>01.1.1</t>
        </is>
      </c>
      <c r="E18" s="11" t="inlineStr">
        <is>
          <t>02.1.1</t>
        </is>
      </c>
      <c r="F18" s="11" t="inlineStr">
        <is>
          <t>1. Natura</t>
        </is>
      </c>
      <c r="G18" s="11" t="inlineStr">
        <is>
          <t>Contracte menor a càrrec del RAE</t>
        </is>
      </c>
      <c r="H18" s="11" t="inlineStr">
        <is>
          <t>227.0013 - Treballs tècnics</t>
        </is>
      </c>
      <c r="I18" s="11" t="inlineStr">
        <is>
          <t>1.1 Planificació de la gestió i designació del lloc</t>
        </is>
      </c>
      <c r="J18" s="12" t="n">
        <v>18150</v>
      </c>
      <c r="K18" s="13" t="n">
        <v>0.25</v>
      </c>
      <c r="L18" s="11" t="inlineStr"/>
      <c r="M18" s="11" t="inlineStr">
        <is>
          <t>Moises Villanueva Coello</t>
        </is>
      </c>
      <c r="N18" s="11" t="inlineStr">
        <is>
          <t>Si</t>
        </is>
      </c>
      <c r="O18" s="15">
        <f>IF(COUNTIF(Objectius!$A$2:$A$183,D18)&gt;0,"Sí","No")</f>
        <v/>
      </c>
    </row>
    <row r="19">
      <c r="A19" s="11" t="inlineStr">
        <is>
          <t>26_NA_15</t>
        </is>
      </c>
      <c r="B19" s="11" t="inlineStr"/>
      <c r="C19" s="11" t="inlineStr">
        <is>
          <t>Acompanyament de la Comissió Ramadera amb l’òrgan competent per abordar de forma específica la millora de la convivència entre la ramaderia i la presència de grans depredadors, i l’ús de gossos de protecció</t>
        </is>
      </c>
      <c r="D19" s="11" t="inlineStr">
        <is>
          <t>01.2.2</t>
        </is>
      </c>
      <c r="E19" s="11" t="inlineStr"/>
      <c r="F19" s="11" t="inlineStr">
        <is>
          <t>1. Natura</t>
        </is>
      </c>
      <c r="G19" s="11" t="inlineStr">
        <is>
          <t>Altres</t>
        </is>
      </c>
      <c r="H19" s="11" t="inlineStr"/>
      <c r="I19" s="11" t="inlineStr">
        <is>
          <t>3.2 Prevenció, mitigació o compensació dels danys ocasionats per les espècies protegides</t>
        </is>
      </c>
      <c r="J19" s="12" t="n">
        <v>0</v>
      </c>
      <c r="K19" s="13" t="n">
        <v>0.25</v>
      </c>
      <c r="L19" s="11" t="inlineStr"/>
      <c r="M19" s="11" t="inlineStr">
        <is>
          <t>Neus Artigas Piñero</t>
        </is>
      </c>
      <c r="N19" s="11" t="inlineStr">
        <is>
          <t>Si</t>
        </is>
      </c>
      <c r="O19" s="15">
        <f>IF(COUNTIF(Objectius!$A$2:$A$183,D19)&gt;0,"Sí","No")</f>
        <v/>
      </c>
    </row>
    <row r="20">
      <c r="A20" s="11" t="inlineStr">
        <is>
          <t>26_NA_16</t>
        </is>
      </c>
      <c r="B20" s="11" t="inlineStr"/>
      <c r="C20" s="11" t="inlineStr">
        <is>
          <t>Col.laboració en l'obtenció de la informació necessària dins els espais per al desenvolupament dels Plans</t>
        </is>
      </c>
      <c r="D20" s="11" t="inlineStr">
        <is>
          <t>01.2.2</t>
        </is>
      </c>
      <c r="E20" s="11" t="inlineStr"/>
      <c r="F20" s="11" t="inlineStr">
        <is>
          <t>1. Natura</t>
        </is>
      </c>
      <c r="G20" s="11" t="inlineStr">
        <is>
          <t>Altres</t>
        </is>
      </c>
      <c r="H20" s="11" t="inlineStr"/>
      <c r="I20" s="11" t="inlineStr">
        <is>
          <t>3.1 Mesures i programes específics de conservació d'espècies no incloses en altres apartats</t>
        </is>
      </c>
      <c r="J20" s="12" t="n">
        <v>0</v>
      </c>
      <c r="K20" s="13" t="n">
        <v>0.25</v>
      </c>
      <c r="L20" s="11" t="inlineStr">
        <is>
          <t>Participació en eles reunions que el SFF ens convoqui</t>
        </is>
      </c>
      <c r="M20" s="11" t="inlineStr">
        <is>
          <t>Marc Garriga Lujan</t>
        </is>
      </c>
      <c r="N20" s="11" t="inlineStr">
        <is>
          <t>Si</t>
        </is>
      </c>
      <c r="O20" s="15">
        <f>IF(COUNTIF(Objectius!$A$2:$A$183,D20)&gt;0,"Sí","No")</f>
        <v/>
      </c>
    </row>
    <row r="21">
      <c r="A21" s="11" t="inlineStr">
        <is>
          <t>26_NA_17</t>
        </is>
      </c>
      <c r="B21" s="11" t="inlineStr"/>
      <c r="C21" s="11" t="inlineStr">
        <is>
          <t>Implicació i participació en la redacció dels plans de conservació /recuperació d'espècies amenaçades. Reforç poblacional quan s'escaigui.</t>
        </is>
      </c>
      <c r="D21" s="11" t="inlineStr">
        <is>
          <t>01.2.2</t>
        </is>
      </c>
      <c r="E21" s="11" t="inlineStr"/>
      <c r="F21" s="11" t="inlineStr">
        <is>
          <t>1. Natura</t>
        </is>
      </c>
      <c r="G21" s="11" t="inlineStr">
        <is>
          <t>Altres</t>
        </is>
      </c>
      <c r="H21" s="11" t="inlineStr"/>
      <c r="I21" s="11" t="inlineStr">
        <is>
          <t>1.1 Planificació de la gestió i designació del lloc</t>
        </is>
      </c>
      <c r="J21" s="12" t="n">
        <v>0</v>
      </c>
      <c r="K21" s="13" t="n">
        <v>0.25</v>
      </c>
      <c r="L21" s="11" t="inlineStr">
        <is>
          <t>Participació en eles reunions que el SFF ens convoqui</t>
        </is>
      </c>
      <c r="M21" s="11" t="inlineStr">
        <is>
          <t>Mariona Martinez Salvador</t>
        </is>
      </c>
      <c r="N21" s="11" t="inlineStr">
        <is>
          <t>Si</t>
        </is>
      </c>
      <c r="O21" s="15">
        <f>IF(COUNTIF(Objectius!$A$2:$A$183,D21)&gt;0,"Sí","No")</f>
        <v/>
      </c>
    </row>
    <row r="22">
      <c r="A22" s="11" t="inlineStr">
        <is>
          <t>26_NA_18</t>
        </is>
      </c>
      <c r="B22" s="11" t="inlineStr"/>
      <c r="C22" s="11" t="inlineStr">
        <is>
          <t>Execució de les accions dins els plans que pertoquin a cada espai. Accions d'erradicació de flora exòtica invasora realitzades a través del servei de manteniment (Falsa acàcia)</t>
        </is>
      </c>
      <c r="D22" s="11" t="inlineStr">
        <is>
          <t>01.2.3</t>
        </is>
      </c>
      <c r="E22" s="11" t="inlineStr"/>
      <c r="F22" s="11" t="inlineStr">
        <is>
          <t>1. Natura</t>
        </is>
      </c>
      <c r="G22" s="11" t="inlineStr">
        <is>
          <t>Encomana Forestal Catalana</t>
        </is>
      </c>
      <c r="H22" s="11" t="inlineStr"/>
      <c r="I22" s="11" t="inlineStr">
        <is>
          <t>2.8 Mesures de manteniment i restauració d'hàbitats d'aigua dolça (rius, llacs i zones humides no litorals)</t>
        </is>
      </c>
      <c r="J22" s="12" t="n">
        <v>0</v>
      </c>
      <c r="K22" s="13" t="n">
        <v>0.25</v>
      </c>
      <c r="L22" s="11" t="inlineStr">
        <is>
          <t>A través de les brigades d'exotiques de FC</t>
        </is>
      </c>
      <c r="M22" s="11" t="inlineStr">
        <is>
          <t>Nil Bacardit Tudela</t>
        </is>
      </c>
      <c r="N22" s="11" t="inlineStr">
        <is>
          <t>No</t>
        </is>
      </c>
      <c r="O22" s="15">
        <f>IF(COUNTIF(Objectius!$A$2:$A$183,D22)&gt;0,"Sí","No")</f>
        <v/>
      </c>
    </row>
    <row r="23">
      <c r="A23" s="11" t="inlineStr">
        <is>
          <t>26_NA_19</t>
        </is>
      </c>
      <c r="B23" s="11" t="inlineStr"/>
      <c r="C23" s="11" t="inlineStr">
        <is>
          <t>Execució de les accions dins els plans que pertoquin a cada espai. Col·laboració amb SFF en l'erradicació de flora exòtica invasora al PNAP a través de la brigada d'exòtiques (Buddleja i falsa acàcia)</t>
        </is>
      </c>
      <c r="D23" s="11" t="inlineStr">
        <is>
          <t>01.2.3</t>
        </is>
      </c>
      <c r="E23" s="11" t="inlineStr"/>
      <c r="F23" s="11" t="inlineStr">
        <is>
          <t>1. Natura</t>
        </is>
      </c>
      <c r="G23" s="11" t="inlineStr">
        <is>
          <t>Encomana Forestal Catalana</t>
        </is>
      </c>
      <c r="H23" s="11" t="inlineStr"/>
      <c r="I23" s="11" t="inlineStr">
        <is>
          <t>2.8 Mesures de manteniment i restauració d'hàbitats d'aigua dolça (rius, llacs i zones humides no litorals)</t>
        </is>
      </c>
      <c r="J23" s="12" t="n">
        <v>0</v>
      </c>
      <c r="K23" s="13" t="n">
        <v>0.25</v>
      </c>
      <c r="L23" s="11" t="inlineStr">
        <is>
          <t>A través de les brigades d'exotiques de FC</t>
        </is>
      </c>
      <c r="M23" s="11" t="inlineStr">
        <is>
          <t>Nil Bacardit Tudela</t>
        </is>
      </c>
      <c r="N23" s="11" t="inlineStr">
        <is>
          <t>No</t>
        </is>
      </c>
      <c r="O23" s="15">
        <f>IF(COUNTIF(Objectius!$A$2:$A$183,D23)&gt;0,"Sí","No")</f>
        <v/>
      </c>
    </row>
    <row r="24">
      <c r="A24" s="11" t="inlineStr">
        <is>
          <t>26_NA_20</t>
        </is>
      </c>
      <c r="B24" s="11" t="inlineStr"/>
      <c r="C24" s="11" t="inlineStr">
        <is>
          <t>Execució de les accions dins els plans que pertoquin a cada espai. Col·laboració amb SFF en l'execució del projecte d'erradicació de flora exòtica invasora al PNAP (Seneci del cap i ailant)</t>
        </is>
      </c>
      <c r="D24" s="11" t="inlineStr">
        <is>
          <t>01.2.3</t>
        </is>
      </c>
      <c r="E24" s="11" t="inlineStr"/>
      <c r="F24" s="11" t="inlineStr">
        <is>
          <t>1. Natura</t>
        </is>
      </c>
      <c r="G24" s="11" t="inlineStr">
        <is>
          <t>Encomana Forestal Catalana</t>
        </is>
      </c>
      <c r="H24" s="11" t="inlineStr"/>
      <c r="I24" s="11" t="inlineStr">
        <is>
          <t>2.6 Mesures de manteniment i restauració de boscos i superfícies forestals</t>
        </is>
      </c>
      <c r="J24" s="12" t="n">
        <v>0</v>
      </c>
      <c r="K24" s="13" t="n">
        <v>0.25</v>
      </c>
      <c r="L24" s="11" t="inlineStr">
        <is>
          <t>A través de les brigades d'exotiques de FC</t>
        </is>
      </c>
      <c r="M24" s="11" t="inlineStr">
        <is>
          <t>Nil Bacardit Tudela</t>
        </is>
      </c>
      <c r="N24" s="11" t="inlineStr">
        <is>
          <t>No</t>
        </is>
      </c>
      <c r="O24" s="15">
        <f>IF(COUNTIF(Objectius!$A$2:$A$183,D24)&gt;0,"Sí","No")</f>
        <v/>
      </c>
    </row>
    <row r="25">
      <c r="A25" s="11" t="inlineStr">
        <is>
          <t>26_NA_21</t>
        </is>
      </c>
      <c r="B25" s="11" t="inlineStr"/>
      <c r="C25" s="11" t="inlineStr">
        <is>
          <t>Execució de les accions dins els plans que pertoquin a cada espai. Col·laboració amb SFF en l'execució del projecte de control i d'erradicació de flora exòtica invasora al PNAP (Elodea)</t>
        </is>
      </c>
      <c r="D25" s="11" t="inlineStr">
        <is>
          <t>01.2.3</t>
        </is>
      </c>
      <c r="E25" s="11" t="inlineStr"/>
      <c r="F25" s="11" t="inlineStr">
        <is>
          <t>1. Natura</t>
        </is>
      </c>
      <c r="G25" s="11" t="inlineStr">
        <is>
          <t>Encomana Forestal Catalana</t>
        </is>
      </c>
      <c r="H25" s="11" t="inlineStr"/>
      <c r="I25" s="11" t="inlineStr">
        <is>
          <t>2.8 Mesures de manteniment i restauració d'hàbitats d'aigua dolça (rius, llacs i zones humides no litorals)</t>
        </is>
      </c>
      <c r="J25" s="12" t="n">
        <v>18000</v>
      </c>
      <c r="K25" s="13" t="n">
        <v>0.25</v>
      </c>
      <c r="L25" s="11" t="inlineStr">
        <is>
          <t>Contracte menor a través de l'encomana de control de flora exotica de FC</t>
        </is>
      </c>
      <c r="M25" s="11" t="inlineStr">
        <is>
          <t>Nil Bacardit Tudela</t>
        </is>
      </c>
      <c r="N25" s="11" t="inlineStr">
        <is>
          <t>No</t>
        </is>
      </c>
      <c r="O25" s="15">
        <f>IF(COUNTIF(Objectius!$A$2:$A$183,D25)&gt;0,"Sí","No")</f>
        <v/>
      </c>
    </row>
    <row r="26">
      <c r="A26" s="11" t="inlineStr">
        <is>
          <t>26_NA_22</t>
        </is>
      </c>
      <c r="B26" s="11" t="n">
        <v>89</v>
      </c>
      <c r="C26" s="11" t="inlineStr">
        <is>
          <t>Preparar candidatura a Transboundary Park Europarc PP3N. Assessorament</t>
        </is>
      </c>
      <c r="D26" s="11" t="inlineStr">
        <is>
          <t>01.2.4</t>
        </is>
      </c>
      <c r="E26" s="11" t="inlineStr"/>
      <c r="F26" s="11" t="inlineStr">
        <is>
          <t>1. Natura</t>
        </is>
      </c>
      <c r="G26" s="11" t="inlineStr">
        <is>
          <t>Contracte menor a càrrec del RAE</t>
        </is>
      </c>
      <c r="H26" s="11" t="inlineStr">
        <is>
          <t>227.0089 - Altres treballs realitzats per persones físiques o jurídiques</t>
        </is>
      </c>
      <c r="I26" s="11" t="inlineStr">
        <is>
          <t>1.1 Planificació de la gestió i designació del lloc</t>
        </is>
      </c>
      <c r="J26" s="12" t="n">
        <v>3000</v>
      </c>
      <c r="K26" s="13" t="n">
        <v>0.5</v>
      </c>
      <c r="L26" s="11" t="inlineStr">
        <is>
          <t>Vinculat al POCTEFA PP3N</t>
        </is>
      </c>
      <c r="M26" s="11" t="inlineStr">
        <is>
          <t>Marc Garriga Lujan</t>
        </is>
      </c>
      <c r="N26" s="11" t="inlineStr">
        <is>
          <t>No</t>
        </is>
      </c>
      <c r="O26" s="15">
        <f>IF(COUNTIF(Objectius!$A$2:$A$183,D26)&gt;0,"Sí","No")</f>
        <v/>
      </c>
    </row>
    <row r="27">
      <c r="A27" s="11" t="inlineStr">
        <is>
          <t>26_NA_23</t>
        </is>
      </c>
      <c r="B27" s="11" t="n">
        <v>123</v>
      </c>
      <c r="C27" s="11" t="inlineStr">
        <is>
          <t>Afavorir la creació d'hàbitats per a la conservació d'espècies i ordenació de l'ús públic del seu entorn. Introducció i seguiment de cavalls camarguesos a la Mollera d’Escalarre</t>
        </is>
      </c>
      <c r="D27" s="11" t="inlineStr">
        <is>
          <t>01.3.1</t>
        </is>
      </c>
      <c r="E27" s="11" t="inlineStr"/>
      <c r="F27" s="11" t="inlineStr">
        <is>
          <t>1. Natura</t>
        </is>
      </c>
      <c r="G27" s="11" t="inlineStr">
        <is>
          <t>Contracte menor a càrrec del RAE</t>
        </is>
      </c>
      <c r="H27" s="11" t="inlineStr">
        <is>
          <t>227.0089 - Altres treballs realitzats per persones físiques o jurídiques</t>
        </is>
      </c>
      <c r="I27" s="11" t="inlineStr">
        <is>
          <t>2.8 Mesures de manteniment i restauració d'hàbitats d'aigua dolça (rius, llacs i zones humides no litorals)</t>
        </is>
      </c>
      <c r="J27" s="12" t="n">
        <v>5500</v>
      </c>
      <c r="K27" s="13" t="n">
        <v>0.25</v>
      </c>
      <c r="L27" s="11" t="inlineStr"/>
      <c r="M27" s="11" t="inlineStr">
        <is>
          <t>Neus Artigas Piñero</t>
        </is>
      </c>
      <c r="N27" s="11" t="inlineStr">
        <is>
          <t>No</t>
        </is>
      </c>
      <c r="O27" s="15">
        <f>IF(COUNTIF(Objectius!$A$2:$A$183,D27)&gt;0,"Sí","No")</f>
        <v/>
      </c>
    </row>
    <row r="28">
      <c r="A28" s="11" t="inlineStr">
        <is>
          <t>26_NA_24</t>
        </is>
      </c>
      <c r="B28" s="11" t="inlineStr"/>
      <c r="C28" s="11" t="inlineStr">
        <is>
          <t>Participar en la identificació de boscos madurs pel foment de la dinàmica natural i l'aprofitament no extractiu dins l'ENP en base a uns criteris metodològics predefinits (DG Boscos i boscos BAVE POCTEFA RedBio)</t>
        </is>
      </c>
      <c r="D28" s="11" t="inlineStr">
        <is>
          <t>01.3.1</t>
        </is>
      </c>
      <c r="E28" s="11" t="inlineStr"/>
      <c r="F28" s="11" t="inlineStr">
        <is>
          <t>1. Natura</t>
        </is>
      </c>
      <c r="G28" s="11" t="inlineStr">
        <is>
          <t>Encàrrec directe CREAF</t>
        </is>
      </c>
      <c r="H28" s="11" t="inlineStr"/>
      <c r="I28" s="11" t="inlineStr">
        <is>
          <t>2.6 Mesures de manteniment i restauració de boscos i superfícies forestals</t>
        </is>
      </c>
      <c r="J28" s="12" t="n">
        <v>0</v>
      </c>
      <c r="K28" s="13" t="n">
        <v>0.5</v>
      </c>
      <c r="L28" s="11" t="inlineStr">
        <is>
          <t>mitjans propis col·laboració</t>
        </is>
      </c>
      <c r="M28" s="11" t="inlineStr">
        <is>
          <t>Josep Pique Palacin</t>
        </is>
      </c>
      <c r="N28" s="11" t="inlineStr">
        <is>
          <t>No</t>
        </is>
      </c>
      <c r="O28" s="15">
        <f>IF(COUNTIF(Objectius!$A$2:$A$183,D28)&gt;0,"Sí","No")</f>
        <v/>
      </c>
    </row>
    <row r="29">
      <c r="A29" s="11" t="inlineStr">
        <is>
          <t>26_NA_25</t>
        </is>
      </c>
      <c r="B29" s="11" t="inlineStr"/>
      <c r="C29" s="11" t="inlineStr">
        <is>
          <t>Elaboració d'una planificació d'actuacions de simulació d'incendis forestals naturals (cremes controlades i criteris d'actuació en cas d'incendi) dins l'espai en base als criteris metodològics predefinits (POCTEFA Desbosiguem) a través de la figura de Pla de Prevenció d'Incendis Forestals</t>
        </is>
      </c>
      <c r="D29" s="11" t="inlineStr">
        <is>
          <t>01.3.3</t>
        </is>
      </c>
      <c r="E29" s="11" t="inlineStr"/>
      <c r="F29" s="11" t="inlineStr">
        <is>
          <t>1. Natura</t>
        </is>
      </c>
      <c r="G29" s="11" t="inlineStr">
        <is>
          <t>Altres</t>
        </is>
      </c>
      <c r="H29" s="11" t="inlineStr"/>
      <c r="I29" s="11" t="inlineStr">
        <is>
          <t>1.1 Planificació de la gestió i designació del lloc</t>
        </is>
      </c>
      <c r="J29" s="12" t="n">
        <v>0</v>
      </c>
      <c r="K29" s="13" t="n"/>
      <c r="L29" s="11" t="inlineStr">
        <is>
          <t>Les simulacions seran realitzades pel la UPC i el pla prev incendis per FPC, socis del projecte POCTEFA Desbosiguem en que hi participem</t>
        </is>
      </c>
      <c r="M29" s="11" t="inlineStr">
        <is>
          <t>Marc Garriga Lujan</t>
        </is>
      </c>
      <c r="N29" s="11" t="inlineStr">
        <is>
          <t>No</t>
        </is>
      </c>
      <c r="O29" s="15">
        <f>IF(COUNTIF(Objectius!$A$2:$A$183,D29)&gt;0,"Sí","No")</f>
        <v/>
      </c>
    </row>
    <row r="30">
      <c r="A30" s="11" t="inlineStr">
        <is>
          <t>26_NA_26</t>
        </is>
      </c>
      <c r="B30" s="11" t="inlineStr"/>
      <c r="C30" s="11" t="inlineStr">
        <is>
          <t>Realització de cremes controlades impulsades des del Parc. Cremes de solanes de Gavas i Burg</t>
        </is>
      </c>
      <c r="D30" s="11" t="inlineStr">
        <is>
          <t>01.3.3</t>
        </is>
      </c>
      <c r="E30" s="11" t="inlineStr">
        <is>
          <t>02.2.2</t>
        </is>
      </c>
      <c r="F30" s="11" t="inlineStr">
        <is>
          <t>1. Natura</t>
        </is>
      </c>
      <c r="G30" s="11" t="inlineStr">
        <is>
          <t>Encomana Forestal Catalana</t>
        </is>
      </c>
      <c r="H30" s="11" t="inlineStr"/>
      <c r="I30" s="11" t="inlineStr">
        <is>
          <t>1.1 Planificació de la gestió i designació del lloc</t>
        </is>
      </c>
      <c r="J30" s="12" t="n">
        <v>0</v>
      </c>
      <c r="K30" s="13" t="n"/>
      <c r="L30" s="11" t="inlineStr">
        <is>
          <t>Accions demanades pel Parc que executa les brigades GEPIF</t>
        </is>
      </c>
      <c r="M30" s="11" t="inlineStr">
        <is>
          <t>Oriol Grau Fernandez</t>
        </is>
      </c>
      <c r="N30" s="11" t="inlineStr">
        <is>
          <t>No</t>
        </is>
      </c>
      <c r="O30" s="15">
        <f>IF(COUNTIF(Objectius!$A$2:$A$183,D30)&gt;0,"Sí","No")</f>
        <v/>
      </c>
    </row>
    <row r="31">
      <c r="A31" s="11" t="inlineStr">
        <is>
          <t>26_NA_27</t>
        </is>
      </c>
      <c r="B31" s="11" t="n">
        <v>147</v>
      </c>
      <c r="C31" s="11" t="inlineStr">
        <is>
          <t>Calcul i solicitud implementació de cabals ecològics en aprofitaments hidroelèctics dels rius del Parc. Seguiment cabals ecològics</t>
        </is>
      </c>
      <c r="D31" s="11" t="inlineStr">
        <is>
          <t>01.3.4</t>
        </is>
      </c>
      <c r="E31" s="11" t="inlineStr">
        <is>
          <t>02.1.2, 03.3.1</t>
        </is>
      </c>
      <c r="F31" s="11" t="inlineStr">
        <is>
          <t>1. Natura</t>
        </is>
      </c>
      <c r="G31" s="11" t="inlineStr">
        <is>
          <t>Contracte menor a càrrec del RAE</t>
        </is>
      </c>
      <c r="H31" s="11" t="inlineStr">
        <is>
          <t>227.0013 - Treballs tècnics</t>
        </is>
      </c>
      <c r="I31" s="11" t="inlineStr">
        <is>
          <t>1.4 Buits de coneixement i necessitats de recerca</t>
        </is>
      </c>
      <c r="J31" s="12" t="n">
        <v>1500</v>
      </c>
      <c r="K31" s="13" t="n">
        <v>0.25</v>
      </c>
      <c r="L31" s="11" t="inlineStr">
        <is>
          <t>Queda asssessorament i que nosaltres realitzem el seguiment, poso una mica mes perque hi ha un equip malmes</t>
        </is>
      </c>
      <c r="M31" s="11" t="inlineStr">
        <is>
          <t>Oriol Grau Fernandez</t>
        </is>
      </c>
      <c r="N31" s="11" t="inlineStr">
        <is>
          <t>Si</t>
        </is>
      </c>
      <c r="O31" s="15">
        <f>IF(COUNTIF(Objectius!$A$2:$A$183,D31)&gt;0,"Sí","No")</f>
        <v/>
      </c>
    </row>
    <row r="32">
      <c r="A32" s="11" t="inlineStr">
        <is>
          <t>26_NA_28</t>
        </is>
      </c>
      <c r="B32" s="11" t="inlineStr"/>
      <c r="C32" s="11" t="inlineStr">
        <is>
          <t>Establir taules de treball entre l’equip del Parc i Comissió Ramadera per desenvolupar una proposta de línies d’ajut que respongui de forma més efectiva a les necessitats del sector i a la preservació dels hàbitats i la cultura associada, incloent la possibilitat de subvencionar pastors, vaquers i eugassers</t>
        </is>
      </c>
      <c r="D32" s="11" t="inlineStr">
        <is>
          <t>01.3.5</t>
        </is>
      </c>
      <c r="E32" s="11" t="inlineStr"/>
      <c r="F32" s="11" t="inlineStr">
        <is>
          <t>1. Natura</t>
        </is>
      </c>
      <c r="G32" s="11" t="inlineStr">
        <is>
          <t>Altres</t>
        </is>
      </c>
      <c r="H32" s="11" t="inlineStr"/>
      <c r="I32" s="11" t="inlineStr">
        <is>
          <t>2.4 Mesures de manteniment i restauració de prats i pastures</t>
        </is>
      </c>
      <c r="J32" s="12" t="n">
        <v>0</v>
      </c>
      <c r="K32" s="13" t="n"/>
      <c r="L32" s="11" t="inlineStr">
        <is>
          <t>Amb mitjans propis</t>
        </is>
      </c>
      <c r="M32" s="11" t="inlineStr">
        <is>
          <t>Neus Artigas Piñero</t>
        </is>
      </c>
      <c r="N32" s="11" t="inlineStr">
        <is>
          <t>Si</t>
        </is>
      </c>
      <c r="O32" s="15">
        <f>IF(COUNTIF(Objectius!$A$2:$A$183,D32)&gt;0,"Sí","No")</f>
        <v/>
      </c>
    </row>
    <row r="33">
      <c r="A33" s="11" t="inlineStr">
        <is>
          <t>26_NA_29</t>
        </is>
      </c>
      <c r="B33" s="11" t="inlineStr"/>
      <c r="C33" s="11" t="inlineStr">
        <is>
          <t>Acords amb ramaders locals per actuacions de restauració i manteniment de pastures al voltant de pobles (POCTEFA Desbosiguem). Adquisició de tancaments per pasturatge</t>
        </is>
      </c>
      <c r="D33" s="11" t="inlineStr">
        <is>
          <t>01.3.5</t>
        </is>
      </c>
      <c r="E33" s="11" t="inlineStr"/>
      <c r="F33" s="11" t="inlineStr">
        <is>
          <t>1. Natura</t>
        </is>
      </c>
      <c r="G33" s="11" t="inlineStr">
        <is>
          <t>Contracte menor des de la DG</t>
        </is>
      </c>
      <c r="H33" s="11" t="inlineStr"/>
      <c r="I33" s="11" t="inlineStr">
        <is>
          <t>2.4 Mesures de manteniment i restauració de prats i pastures</t>
        </is>
      </c>
      <c r="J33" s="12" t="n">
        <v>9000</v>
      </c>
      <c r="K33" s="13" t="n">
        <v>0.33</v>
      </c>
      <c r="L33" s="11" t="inlineStr">
        <is>
          <t>Correspon als tancaments per bestiar</t>
        </is>
      </c>
      <c r="M33" s="11" t="inlineStr">
        <is>
          <t>Nil Bacardit Tudela</t>
        </is>
      </c>
      <c r="N33" s="11" t="inlineStr">
        <is>
          <t>No</t>
        </is>
      </c>
      <c r="O33" s="15">
        <f>IF(COUNTIF(Objectius!$A$2:$A$183,D33)&gt;0,"Sí","No")</f>
        <v/>
      </c>
    </row>
    <row r="34">
      <c r="A34" s="11" t="inlineStr">
        <is>
          <t>26_NA_30</t>
        </is>
      </c>
      <c r="B34" s="11" t="inlineStr"/>
      <c r="C34" s="11" t="inlineStr">
        <is>
          <t>Realització d'un manual tècnic de bones pràctiques en ramaderia extensiva i recuperació i manteniment de pastures aplicat a l'ENP (Projecte REPICA)</t>
        </is>
      </c>
      <c r="D34" s="11" t="inlineStr">
        <is>
          <t>01.3.5</t>
        </is>
      </c>
      <c r="E34" s="11" t="inlineStr"/>
      <c r="F34" s="11" t="inlineStr">
        <is>
          <t>1. Natura</t>
        </is>
      </c>
      <c r="G34" s="11" t="inlineStr">
        <is>
          <t>Altres</t>
        </is>
      </c>
      <c r="H34" s="11" t="inlineStr"/>
      <c r="I34" s="11" t="inlineStr">
        <is>
          <t>2.4 Mesures de manteniment i restauració de prats i pastures</t>
        </is>
      </c>
      <c r="J34" s="12" t="n">
        <v>0</v>
      </c>
      <c r="K34" s="13" t="n">
        <v>1</v>
      </c>
      <c r="L34" s="11" t="inlineStr">
        <is>
          <t>Producte resultat del projecte REPICA</t>
        </is>
      </c>
      <c r="M34" s="11" t="inlineStr">
        <is>
          <t>Oriol Grau Fernandez</t>
        </is>
      </c>
      <c r="N34" s="11" t="inlineStr">
        <is>
          <t>No</t>
        </is>
      </c>
      <c r="O34" s="15">
        <f>IF(COUNTIF(Objectius!$A$2:$A$183,D34)&gt;0,"Sí","No")</f>
        <v/>
      </c>
    </row>
    <row r="35">
      <c r="A35" s="11" t="inlineStr">
        <is>
          <t>26_NA_31</t>
        </is>
      </c>
      <c r="B35" s="11" t="inlineStr"/>
      <c r="C35" s="11" t="inlineStr">
        <is>
          <t>Tramitació d'ajuts per explotacions ramaderes per gestionar l'herbivoria domèstica associada a la ramaderia extensiva</t>
        </is>
      </c>
      <c r="D35" s="11" t="inlineStr">
        <is>
          <t>01.3.5</t>
        </is>
      </c>
      <c r="E35" s="11" t="inlineStr"/>
      <c r="F35" s="11" t="inlineStr">
        <is>
          <t>1. Natura</t>
        </is>
      </c>
      <c r="G35" s="11" t="inlineStr">
        <is>
          <t>Altres</t>
        </is>
      </c>
      <c r="H35" s="11" t="inlineStr"/>
      <c r="I35" s="11" t="inlineStr">
        <is>
          <t>2.4 Mesures de manteniment i restauració de prats i pastures</t>
        </is>
      </c>
      <c r="J35" s="12" t="n">
        <v>0</v>
      </c>
      <c r="K35" s="13" t="n">
        <v>0.5</v>
      </c>
      <c r="L35" s="11" t="inlineStr">
        <is>
          <t>Qua surti la nova convocatoria el 2026</t>
        </is>
      </c>
      <c r="M35" s="11" t="inlineStr">
        <is>
          <t>Neus Artigas Piñero</t>
        </is>
      </c>
      <c r="N35" s="11" t="inlineStr">
        <is>
          <t>Si</t>
        </is>
      </c>
      <c r="O35" s="15">
        <f>IF(COUNTIF(Objectius!$A$2:$A$183,D35)&gt;0,"Sí","No")</f>
        <v/>
      </c>
    </row>
    <row r="36">
      <c r="A36" s="11" t="inlineStr">
        <is>
          <t>26_NA_32</t>
        </is>
      </c>
      <c r="B36" s="11" t="inlineStr"/>
      <c r="C36" s="11" t="inlineStr">
        <is>
          <t>Realització d'acords amb societats de caçadors mitjançant informes en els PTGMC</t>
        </is>
      </c>
      <c r="D36" s="11" t="inlineStr">
        <is>
          <t>01.3.6</t>
        </is>
      </c>
      <c r="E36" s="11" t="inlineStr"/>
      <c r="F36" s="11" t="inlineStr">
        <is>
          <t>1. Natura</t>
        </is>
      </c>
      <c r="G36" s="11" t="inlineStr">
        <is>
          <t>Altres</t>
        </is>
      </c>
      <c r="H36" s="11" t="inlineStr"/>
      <c r="I36" s="11" t="inlineStr">
        <is>
          <t>1.1 Planificació de la gestió i designació del lloc</t>
        </is>
      </c>
      <c r="J36" s="12" t="n">
        <v>0</v>
      </c>
      <c r="K36" s="13" t="n">
        <v>0.25</v>
      </c>
      <c r="L36" s="11" t="inlineStr">
        <is>
          <t>Mitjans propis</t>
        </is>
      </c>
      <c r="M36" s="11" t="inlineStr">
        <is>
          <t>Josep Pique Palacin</t>
        </is>
      </c>
      <c r="N36" s="11" t="inlineStr">
        <is>
          <t>Si</t>
        </is>
      </c>
      <c r="O36" s="15">
        <f>IF(COUNTIF(Objectius!$A$2:$A$183,D36)&gt;0,"Sí","No")</f>
        <v/>
      </c>
    </row>
    <row r="37">
      <c r="A37" s="11" t="inlineStr">
        <is>
          <t>26_NA_33</t>
        </is>
      </c>
      <c r="B37" s="11" t="inlineStr"/>
      <c r="C37" s="11" t="inlineStr">
        <is>
          <t>Participació en la redacció d'IOF de finques públiques en la fase de zonificació i planificació</t>
        </is>
      </c>
      <c r="D37" s="11" t="inlineStr">
        <is>
          <t>02.1.3</t>
        </is>
      </c>
      <c r="E37" s="11" t="inlineStr"/>
      <c r="F37" s="11" t="inlineStr">
        <is>
          <t>1. Natura</t>
        </is>
      </c>
      <c r="G37" s="11" t="inlineStr">
        <is>
          <t>Altres</t>
        </is>
      </c>
      <c r="H37" s="11" t="inlineStr"/>
      <c r="I37" s="11" t="inlineStr">
        <is>
          <t>2.6 Mesures de manteniment i restauració de boscos i superfícies forestals</t>
        </is>
      </c>
      <c r="J37" s="12" t="n">
        <v>0</v>
      </c>
      <c r="K37" s="13" t="n">
        <v>0.25</v>
      </c>
      <c r="L37" s="11" t="inlineStr">
        <is>
          <t>Mitjans propis a través d'informes previs</t>
        </is>
      </c>
      <c r="M37" s="11" t="inlineStr">
        <is>
          <t>Marc Garriga Lujan</t>
        </is>
      </c>
      <c r="N37" s="11" t="inlineStr">
        <is>
          <t>Si</t>
        </is>
      </c>
      <c r="O37" s="15">
        <f>IF(COUNTIF(Objectius!$A$2:$A$183,D37)&gt;0,"Sí","No")</f>
        <v/>
      </c>
    </row>
    <row r="38">
      <c r="A38" s="11" t="inlineStr">
        <is>
          <t>26_NA_34</t>
        </is>
      </c>
      <c r="B38" s="11" t="inlineStr"/>
      <c r="C38" s="11" t="inlineStr">
        <is>
          <t>Promoure als ens locals la solicitud d'ajuts disponibles per incentivar els serveis ecosistèmics per a la gestió forestal sostenible en finques publiques</t>
        </is>
      </c>
      <c r="D38" s="11" t="inlineStr">
        <is>
          <t>02.1.3</t>
        </is>
      </c>
      <c r="E38" s="11" t="inlineStr"/>
      <c r="F38" s="11" t="inlineStr">
        <is>
          <t>1. Natura</t>
        </is>
      </c>
      <c r="G38" s="11" t="inlineStr">
        <is>
          <t>Altres</t>
        </is>
      </c>
      <c r="H38" s="11" t="inlineStr"/>
      <c r="I38" s="11" t="inlineStr">
        <is>
          <t>2.6 Mesures de manteniment i restauració de boscos i superfícies forestals</t>
        </is>
      </c>
      <c r="J38" s="12" t="n">
        <v>0</v>
      </c>
      <c r="K38" s="13" t="n">
        <v>0.25</v>
      </c>
      <c r="L38" s="11" t="inlineStr">
        <is>
          <t>Mitjans propis</t>
        </is>
      </c>
      <c r="M38" s="11" t="inlineStr">
        <is>
          <t>Nil Bacardit Tudela</t>
        </is>
      </c>
      <c r="N38" s="11" t="inlineStr">
        <is>
          <t>Si</t>
        </is>
      </c>
      <c r="O38" s="15">
        <f>IF(COUNTIF(Objectius!$A$2:$A$183,D38)&gt;0,"Sí","No")</f>
        <v/>
      </c>
    </row>
    <row r="39">
      <c r="A39" s="11" t="inlineStr">
        <is>
          <t>26_NA_35</t>
        </is>
      </c>
      <c r="B39" s="11" t="inlineStr"/>
      <c r="C39" s="11" t="inlineStr">
        <is>
          <t>Promoure als propietaris privats la solicitud d'ajuts disponibles per incentivar els serveis ecosistèmics per a la gestió forestal sostenible en finques privades</t>
        </is>
      </c>
      <c r="D39" s="11" t="inlineStr">
        <is>
          <t>02.1.4</t>
        </is>
      </c>
      <c r="E39" s="11" t="inlineStr"/>
      <c r="F39" s="11" t="inlineStr">
        <is>
          <t>1. Natura</t>
        </is>
      </c>
      <c r="G39" s="11" t="inlineStr">
        <is>
          <t>Altres</t>
        </is>
      </c>
      <c r="H39" s="11" t="inlineStr"/>
      <c r="I39" s="11" t="inlineStr">
        <is>
          <t>2.6 Mesures de manteniment i restauració de boscos i superfícies forestals</t>
        </is>
      </c>
      <c r="J39" s="12" t="n">
        <v>0</v>
      </c>
      <c r="K39" s="13" t="n">
        <v>0.25</v>
      </c>
      <c r="L39" s="11" t="inlineStr">
        <is>
          <t>Mitjans propis</t>
        </is>
      </c>
      <c r="M39" s="11" t="inlineStr">
        <is>
          <t>Nil Bacardit Tudela</t>
        </is>
      </c>
      <c r="N39" s="11" t="inlineStr">
        <is>
          <t>Si</t>
        </is>
      </c>
      <c r="O39" s="15">
        <f>IF(COUNTIF(Objectius!$A$2:$A$183,D39)&gt;0,"Sí","No")</f>
        <v/>
      </c>
    </row>
    <row r="40">
      <c r="A40" s="11" t="inlineStr">
        <is>
          <t>26_NA_36</t>
        </is>
      </c>
      <c r="B40" s="11" t="inlineStr"/>
      <c r="C40" s="11" t="inlineStr">
        <is>
          <t>Elaboració i aprovació del Pla de Prevenció d'Incendis i gestió del foc (POCTEFA Desbosiguem). Redacció del pla i procés participatiu</t>
        </is>
      </c>
      <c r="D40" s="11" t="inlineStr">
        <is>
          <t>02.2.1</t>
        </is>
      </c>
      <c r="E40" s="11" t="inlineStr">
        <is>
          <t>12.1.2, 02.2.2</t>
        </is>
      </c>
      <c r="F40" s="11" t="inlineStr">
        <is>
          <t>1. Natura</t>
        </is>
      </c>
      <c r="G40" s="11" t="inlineStr">
        <is>
          <t>Altres</t>
        </is>
      </c>
      <c r="H40" s="11" t="inlineStr"/>
      <c r="I40" s="11" t="inlineStr">
        <is>
          <t>1.1 Planificació de la gestió i designació del lloc</t>
        </is>
      </c>
      <c r="J40" s="12" t="n">
        <v>0</v>
      </c>
      <c r="K40" s="13" t="n">
        <v>0.4</v>
      </c>
      <c r="L40" s="11" t="inlineStr">
        <is>
          <t>A realitzar per la Fundació Pau Costa dins del projecte POCTEFA Desbosiguem</t>
        </is>
      </c>
      <c r="M40" s="11" t="inlineStr">
        <is>
          <t>Marc Garriga Lujan</t>
        </is>
      </c>
      <c r="N40" s="11" t="inlineStr">
        <is>
          <t>No</t>
        </is>
      </c>
      <c r="O40" s="15">
        <f>IF(COUNTIF(Objectius!$A$2:$A$183,D40)&gt;0,"Sí","No")</f>
        <v/>
      </c>
    </row>
    <row r="41">
      <c r="A41" s="11" t="inlineStr">
        <is>
          <t>26_NA_37</t>
        </is>
      </c>
      <c r="B41" s="11" t="inlineStr"/>
      <c r="C41" s="11" t="inlineStr">
        <is>
          <t>Execució d'altres actuacions de prevenció d'incendis forestals no recollides al Pla. Accions de prevenció d'incendis realitzades a través del servei de manteniment</t>
        </is>
      </c>
      <c r="D41" s="11" t="inlineStr">
        <is>
          <t>02.2.3</t>
        </is>
      </c>
      <c r="E41" s="11" t="inlineStr">
        <is>
          <t>12.1.2</t>
        </is>
      </c>
      <c r="F41" s="11" t="inlineStr">
        <is>
          <t>1. Natura</t>
        </is>
      </c>
      <c r="G41" s="11" t="inlineStr">
        <is>
          <t>Encomana Forestal Catalana</t>
        </is>
      </c>
      <c r="H41" s="11" t="inlineStr"/>
      <c r="I41" s="11" t="inlineStr">
        <is>
          <t>2.6 Mesures de manteniment i restauració de boscos i superfícies forestals</t>
        </is>
      </c>
      <c r="J41" s="12" t="n">
        <v>0</v>
      </c>
      <c r="K41" s="13" t="n">
        <v>0.25</v>
      </c>
      <c r="L41" s="11" t="inlineStr">
        <is>
          <t>SI ens demanen desbrossar pistes a través de la brigada (Montsclado,..)</t>
        </is>
      </c>
      <c r="M41" s="11" t="inlineStr">
        <is>
          <t>Nil Bacardit Tudela</t>
        </is>
      </c>
      <c r="N41" s="11" t="inlineStr">
        <is>
          <t>Si</t>
        </is>
      </c>
      <c r="O41" s="15">
        <f>IF(COUNTIF(Objectius!$A$2:$A$183,D41)&gt;0,"Sí","No")</f>
        <v/>
      </c>
    </row>
    <row r="42">
      <c r="A42" s="11" t="inlineStr">
        <is>
          <t>26_NA_38</t>
        </is>
      </c>
      <c r="B42" s="11" t="inlineStr"/>
      <c r="C42" s="11" t="inlineStr">
        <is>
          <t>Execució d'altres actuacions de prevenció d'incendis forestals no recollides al Pla. Creació de franges de protecció contra incendis forestals al voltant dels pobles de Vilamur (Soriguera) i Roní (Rialp). Projecte POCTEFA Desbosiguem!</t>
        </is>
      </c>
      <c r="D42" s="11" t="inlineStr">
        <is>
          <t>02.2.3</t>
        </is>
      </c>
      <c r="E42" s="11" t="inlineStr">
        <is>
          <t>12.1.2</t>
        </is>
      </c>
      <c r="F42" s="11" t="inlineStr">
        <is>
          <t>1. Natura</t>
        </is>
      </c>
      <c r="G42" s="11" t="inlineStr">
        <is>
          <t>Contracte menor des de la DG</t>
        </is>
      </c>
      <c r="H42" s="11" t="inlineStr"/>
      <c r="I42" s="11" t="inlineStr">
        <is>
          <t>2.4 Mesures de manteniment i restauració de prats i pastures</t>
        </is>
      </c>
      <c r="J42" s="12" t="n">
        <v>39359.02</v>
      </c>
      <c r="K42" s="13" t="n">
        <v>0.4</v>
      </c>
      <c r="L42" s="11" t="inlineStr">
        <is>
          <t>Acció del POCTEFA Desbosiguem</t>
        </is>
      </c>
      <c r="M42" s="11" t="inlineStr">
        <is>
          <t>Nil Bacardit Tudela</t>
        </is>
      </c>
      <c r="N42" s="11" t="inlineStr">
        <is>
          <t>No</t>
        </is>
      </c>
      <c r="O42" s="15">
        <f>IF(COUNTIF(Objectius!$A$2:$A$183,D42)&gt;0,"Sí","No")</f>
        <v/>
      </c>
    </row>
    <row r="43">
      <c r="A43" s="11" t="inlineStr">
        <is>
          <t>26_NA_39</t>
        </is>
      </c>
      <c r="B43" s="11" t="n">
        <v>108</v>
      </c>
      <c r="C43" s="11" t="inlineStr">
        <is>
          <t>Execució d'altres actuacions de prevenció d'incendis forestals no recollides al Pla. Redacció projecte i direcció tècnica franja perimetral de protecció de Roní (POCTEFA Desbosiguem!)</t>
        </is>
      </c>
      <c r="D43" s="11" t="inlineStr">
        <is>
          <t>02.2.3</t>
        </is>
      </c>
      <c r="E43" s="11" t="inlineStr"/>
      <c r="F43" s="11" t="inlineStr">
        <is>
          <t>1. Natura</t>
        </is>
      </c>
      <c r="G43" s="11" t="inlineStr">
        <is>
          <t>Contracte menor a càrrec del RAE</t>
        </is>
      </c>
      <c r="H43" s="11" t="inlineStr">
        <is>
          <t>600.0000 - Inversions en terrenys i bens naturals</t>
        </is>
      </c>
      <c r="I43" s="11" t="inlineStr">
        <is>
          <t>2.4 Mesures de manteniment i restauració de prats i pastures</t>
        </is>
      </c>
      <c r="J43" s="12" t="n">
        <v>2500</v>
      </c>
      <c r="K43" s="13" t="n">
        <v>0.25</v>
      </c>
      <c r="L43" s="11" t="inlineStr"/>
      <c r="M43" s="11" t="inlineStr">
        <is>
          <t>Nil Bacardit Tudela</t>
        </is>
      </c>
      <c r="N43" s="11" t="inlineStr">
        <is>
          <t>No</t>
        </is>
      </c>
      <c r="O43" s="15">
        <f>IF(COUNTIF(Objectius!$A$2:$A$183,D43)&gt;0,"Sí","No")</f>
        <v/>
      </c>
    </row>
    <row r="44">
      <c r="A44" s="11" t="inlineStr">
        <is>
          <t>26_NA_40</t>
        </is>
      </c>
      <c r="B44" s="11" t="inlineStr"/>
      <c r="C44" s="11" t="inlineStr">
        <is>
          <t>Participació a les taules d'avaluació ambiental via informe preceptiu</t>
        </is>
      </c>
      <c r="D44" s="11" t="inlineStr">
        <is>
          <t>03.1.1</t>
        </is>
      </c>
      <c r="E44" s="11" t="inlineStr"/>
      <c r="F44" s="11" t="inlineStr">
        <is>
          <t>1. Natura</t>
        </is>
      </c>
      <c r="G44" s="11" t="inlineStr">
        <is>
          <t>Altres</t>
        </is>
      </c>
      <c r="H44" s="11" t="inlineStr"/>
      <c r="I44" s="11" t="inlineStr">
        <is>
          <t>1.1 Planificació de la gestió i designació del lloc</t>
        </is>
      </c>
      <c r="J44" s="12" t="n">
        <v>0</v>
      </c>
      <c r="K44" s="13" t="n">
        <v>0.25</v>
      </c>
      <c r="L44" s="11" t="inlineStr">
        <is>
          <t>A realitzar amb mitjans propis</t>
        </is>
      </c>
      <c r="M44" s="11" t="inlineStr">
        <is>
          <t>Marc Garriga Lujan</t>
        </is>
      </c>
      <c r="N44" s="11" t="inlineStr">
        <is>
          <t>Si</t>
        </is>
      </c>
      <c r="O44" s="15">
        <f>IF(COUNTIF(Objectius!$A$2:$A$183,D44)&gt;0,"Sí","No")</f>
        <v/>
      </c>
    </row>
    <row r="45">
      <c r="A45" s="11" t="inlineStr">
        <is>
          <t>26_NA_41</t>
        </is>
      </c>
      <c r="B45" s="11" t="inlineStr"/>
      <c r="C45" s="11" t="inlineStr">
        <is>
          <t>Seguiment de les obres i altres actuacions informades que afecten i es realitzen dins dels límits del PNAP+XN2000 Alt Pallars</t>
        </is>
      </c>
      <c r="D45" s="11" t="inlineStr">
        <is>
          <t>03.1.2</t>
        </is>
      </c>
      <c r="E45" s="11" t="inlineStr"/>
      <c r="F45" s="11" t="inlineStr">
        <is>
          <t>1. Natura</t>
        </is>
      </c>
      <c r="G45" s="11" t="inlineStr">
        <is>
          <t>Altres</t>
        </is>
      </c>
      <c r="H45" s="11" t="inlineStr"/>
      <c r="I45" s="11" t="inlineStr">
        <is>
          <t>1.3 Seguiment, vigilància i notificació</t>
        </is>
      </c>
      <c r="J45" s="12" t="n">
        <v>0</v>
      </c>
      <c r="K45" s="13" t="n">
        <v>0.25</v>
      </c>
      <c r="L45" s="11" t="inlineStr">
        <is>
          <t>A realitzar amb mitjans propis</t>
        </is>
      </c>
      <c r="M45" s="11" t="inlineStr">
        <is>
          <t>Josep Pique Palacin</t>
        </is>
      </c>
      <c r="N45" s="11" t="inlineStr">
        <is>
          <t>Si</t>
        </is>
      </c>
      <c r="O45" s="15">
        <f>IF(COUNTIF(Objectius!$A$2:$A$183,D45)&gt;0,"Sí","No")</f>
        <v/>
      </c>
    </row>
    <row r="46">
      <c r="A46" s="11" t="inlineStr">
        <is>
          <t>26_NA_42</t>
        </is>
      </c>
      <c r="B46" s="11" t="inlineStr"/>
      <c r="C46" s="11" t="inlineStr">
        <is>
          <t>Impuls del control per incompliment de la normativa i el seu trasllat cap a l'administració competent</t>
        </is>
      </c>
      <c r="D46" s="11" t="inlineStr">
        <is>
          <t>03.3.1</t>
        </is>
      </c>
      <c r="E46" s="11" t="inlineStr"/>
      <c r="F46" s="11" t="inlineStr">
        <is>
          <t>1. Natura</t>
        </is>
      </c>
      <c r="G46" s="11" t="inlineStr">
        <is>
          <t>Altres</t>
        </is>
      </c>
      <c r="H46" s="11" t="inlineStr"/>
      <c r="I46" s="11" t="inlineStr">
        <is>
          <t>1.3 Seguiment, vigilància i notificació</t>
        </is>
      </c>
      <c r="J46" s="12" t="n">
        <v>0</v>
      </c>
      <c r="K46" s="13" t="n">
        <v>0.25</v>
      </c>
      <c r="L46" s="11" t="inlineStr">
        <is>
          <t>A realitzar amb mitjans propis</t>
        </is>
      </c>
      <c r="M46" s="11" t="inlineStr">
        <is>
          <t>Marc Garriga Lujan</t>
        </is>
      </c>
      <c r="N46" s="11" t="inlineStr">
        <is>
          <t>Si</t>
        </is>
      </c>
      <c r="O46" s="15">
        <f>IF(COUNTIF(Objectius!$A$2:$A$183,D46)&gt;0,"Sí","No")</f>
        <v/>
      </c>
    </row>
    <row r="47">
      <c r="A47" s="11" t="inlineStr">
        <is>
          <t>26_NA_43</t>
        </is>
      </c>
      <c r="B47" s="11" t="inlineStr"/>
      <c r="C47" s="11" t="inlineStr">
        <is>
          <t>Participació en el Pla Hidrològic de la Conca de l'Ebre</t>
        </is>
      </c>
      <c r="D47" s="11" t="inlineStr">
        <is>
          <t>03.3.1</t>
        </is>
      </c>
      <c r="E47" s="11" t="inlineStr"/>
      <c r="F47" s="11" t="inlineStr">
        <is>
          <t>1. Natura</t>
        </is>
      </c>
      <c r="G47" s="11" t="inlineStr">
        <is>
          <t>Altres</t>
        </is>
      </c>
      <c r="H47" s="11" t="inlineStr"/>
      <c r="I47" s="11" t="inlineStr">
        <is>
          <t>1.3 Seguiment, vigilància i notificació</t>
        </is>
      </c>
      <c r="J47" s="12" t="n">
        <v>0</v>
      </c>
      <c r="K47" s="13" t="n">
        <v>0.25</v>
      </c>
      <c r="L47" s="11" t="inlineStr">
        <is>
          <t>A realitzar amb mitjans propis</t>
        </is>
      </c>
      <c r="M47" s="11" t="inlineStr">
        <is>
          <t>Marc Garriga Lujan</t>
        </is>
      </c>
      <c r="N47" s="11" t="inlineStr">
        <is>
          <t>Si</t>
        </is>
      </c>
      <c r="O47" s="15">
        <f>IF(COUNTIF(Objectius!$A$2:$A$183,D47)&gt;0,"Sí","No")</f>
        <v/>
      </c>
    </row>
    <row r="48">
      <c r="A48" s="11" t="inlineStr">
        <is>
          <t>26_NA_44</t>
        </is>
      </c>
      <c r="B48" s="11" t="inlineStr"/>
      <c r="C48" s="11" t="inlineStr">
        <is>
          <t>Participació en el seguiment del cabal en els trams dins ENP</t>
        </is>
      </c>
      <c r="D48" s="11" t="inlineStr">
        <is>
          <t>03.3.1</t>
        </is>
      </c>
      <c r="E48" s="11" t="inlineStr"/>
      <c r="F48" s="11" t="inlineStr">
        <is>
          <t>1. Natura</t>
        </is>
      </c>
      <c r="G48" s="11" t="inlineStr">
        <is>
          <t>Altres</t>
        </is>
      </c>
      <c r="H48" s="11" t="inlineStr"/>
      <c r="I48" s="11" t="inlineStr">
        <is>
          <t>1.3 Seguiment, vigilància i notificació</t>
        </is>
      </c>
      <c r="J48" s="12" t="n">
        <v>0</v>
      </c>
      <c r="K48" s="13" t="n">
        <v>0.25</v>
      </c>
      <c r="L48" s="11" t="inlineStr">
        <is>
          <t>A realitzar amb mitjans propis</t>
        </is>
      </c>
      <c r="M48" s="11" t="inlineStr">
        <is>
          <t>Oriol Grau Fernandez</t>
        </is>
      </c>
      <c r="N48" s="11" t="inlineStr">
        <is>
          <t>Si</t>
        </is>
      </c>
      <c r="O48" s="15">
        <f>IF(COUNTIF(Objectius!$A$2:$A$183,D48)&gt;0,"Sí","No")</f>
        <v/>
      </c>
    </row>
    <row r="49">
      <c r="A49" s="11" t="inlineStr">
        <is>
          <t>26_NA_45</t>
        </is>
      </c>
      <c r="B49" s="11" t="inlineStr"/>
      <c r="C49" s="11" t="inlineStr">
        <is>
          <t>Participació, de forma coordinada amb l'administració competent, en l'avaluació i control d'actuacions de captacions dins els límits de l'ENP.</t>
        </is>
      </c>
      <c r="D49" s="11" t="inlineStr">
        <is>
          <t>03.3.3</t>
        </is>
      </c>
      <c r="E49" s="11" t="inlineStr"/>
      <c r="F49" s="11" t="inlineStr">
        <is>
          <t>1. Natura</t>
        </is>
      </c>
      <c r="G49" s="11" t="inlineStr">
        <is>
          <t>Altres</t>
        </is>
      </c>
      <c r="H49" s="11" t="inlineStr"/>
      <c r="I49" s="11" t="inlineStr">
        <is>
          <t>1.3 Seguiment, vigilància i notificació</t>
        </is>
      </c>
      <c r="J49" s="12" t="n">
        <v>0</v>
      </c>
      <c r="K49" s="13" t="n">
        <v>0.25</v>
      </c>
      <c r="L49" s="11" t="inlineStr">
        <is>
          <t>A realitzar amb mitjans propis</t>
        </is>
      </c>
      <c r="M49" s="11" t="inlineStr">
        <is>
          <t>Marc Garriga Lujan</t>
        </is>
      </c>
      <c r="N49" s="11" t="inlineStr">
        <is>
          <t>Si</t>
        </is>
      </c>
      <c r="O49" s="15">
        <f>IF(COUNTIF(Objectius!$A$2:$A$183,D49)&gt;0,"Sí","No")</f>
        <v/>
      </c>
    </row>
    <row r="50">
      <c r="A50" s="11" t="inlineStr">
        <is>
          <t>26_NA_46</t>
        </is>
      </c>
      <c r="B50" s="11" t="n">
        <v>62</v>
      </c>
      <c r="C50" s="11" t="inlineStr">
        <is>
          <t>Participació en la identificació de finques prioritàries per comprar en base als criteris indicats</t>
        </is>
      </c>
      <c r="D50" s="11" t="inlineStr">
        <is>
          <t>03.4.1</t>
        </is>
      </c>
      <c r="E50" s="11" t="inlineStr"/>
      <c r="F50" s="11" t="inlineStr">
        <is>
          <t>1. Natura</t>
        </is>
      </c>
      <c r="G50" s="11" t="inlineStr">
        <is>
          <t>Altres</t>
        </is>
      </c>
      <c r="H50" s="11" t="inlineStr">
        <is>
          <t>227.0013 - Treballs tècnics</t>
        </is>
      </c>
      <c r="I50" s="11" t="inlineStr">
        <is>
          <t>1.4 Buits de coneixement i necessitats de recerca</t>
        </is>
      </c>
      <c r="J50" s="12" t="n">
        <v>2300</v>
      </c>
      <c r="K50" s="13" t="n">
        <v>1</v>
      </c>
      <c r="L50" s="11" t="inlineStr"/>
      <c r="M50" s="11" t="inlineStr">
        <is>
          <t>Marc Garriga Lujan</t>
        </is>
      </c>
      <c r="N50" s="11" t="inlineStr">
        <is>
          <t>Si</t>
        </is>
      </c>
      <c r="O50" s="15">
        <f>IF(COUNTIF(Objectius!$A$2:$A$183,D50)&gt;0,"Sí","No")</f>
        <v/>
      </c>
    </row>
    <row r="51">
      <c r="A51" s="11" t="inlineStr">
        <is>
          <t>26_CU_01</t>
        </is>
      </c>
      <c r="B51" s="11" t="n">
        <v>63</v>
      </c>
      <c r="C51" s="11" t="inlineStr">
        <is>
          <t>Prospecció arqueològica de zones alpines del Parc: massís Marimanha, Vall d'Unarre, Vall de Tavascan i capçalera de la Vall Ferrera</t>
        </is>
      </c>
      <c r="D51" s="11" t="inlineStr">
        <is>
          <t>04.1.1</t>
        </is>
      </c>
      <c r="E51" s="11" t="inlineStr"/>
      <c r="F51" s="11" t="inlineStr">
        <is>
          <t>2. Cultura</t>
        </is>
      </c>
      <c r="G51" s="11" t="inlineStr">
        <is>
          <t>Contracte menor a càrrec del RAE</t>
        </is>
      </c>
      <c r="H51" s="11" t="inlineStr">
        <is>
          <t>227.0013 - Treballs tècnics</t>
        </is>
      </c>
      <c r="I51" s="11" t="inlineStr">
        <is>
          <t>1.4 Buits de coneixement i necessitats de recerca</t>
        </is>
      </c>
      <c r="J51" s="12" t="n">
        <v>8000</v>
      </c>
      <c r="K51" s="13" t="n">
        <v>0.25</v>
      </c>
      <c r="L51" s="11" t="inlineStr"/>
      <c r="M51" s="11" t="inlineStr">
        <is>
          <t>Marc Garriga Lujan</t>
        </is>
      </c>
      <c r="N51" s="11" t="inlineStr">
        <is>
          <t>Si</t>
        </is>
      </c>
      <c r="O51" s="15">
        <f>IF(COUNTIF(Objectius!$A$2:$A$183,D51)&gt;0,"Sí","No")</f>
        <v/>
      </c>
    </row>
    <row r="52">
      <c r="A52" s="11" t="inlineStr">
        <is>
          <t>26_CU_02</t>
        </is>
      </c>
      <c r="B52" s="11" t="n">
        <v>150</v>
      </c>
      <c r="C52" s="11" t="inlineStr">
        <is>
          <t>Continuar les excavacions arqueològiques; Santa Creu de Llagunes, i accions de conservació i divulgació d’aquests jaciments</t>
        </is>
      </c>
      <c r="D52" s="11" t="inlineStr">
        <is>
          <t>04.1.1</t>
        </is>
      </c>
      <c r="E52" s="11" t="inlineStr"/>
      <c r="F52" s="11" t="inlineStr">
        <is>
          <t>2. Cultura</t>
        </is>
      </c>
      <c r="G52" s="11" t="inlineStr">
        <is>
          <t>Contracte menor a càrrec del RAE</t>
        </is>
      </c>
      <c r="H52" s="11" t="inlineStr">
        <is>
          <t>227.0013 - Treballs tècnics</t>
        </is>
      </c>
      <c r="I52" s="11" t="inlineStr">
        <is>
          <t>1.4 Buits de coneixement i necessitats de recerca</t>
        </is>
      </c>
      <c r="J52" s="12" t="n">
        <v>18500</v>
      </c>
      <c r="K52" s="13" t="n">
        <v>0.25</v>
      </c>
      <c r="L52" s="11" t="inlineStr"/>
      <c r="M52" s="11" t="inlineStr">
        <is>
          <t>Marc Garriga Lujan</t>
        </is>
      </c>
      <c r="N52" s="11" t="inlineStr">
        <is>
          <t>No</t>
        </is>
      </c>
      <c r="O52" s="15">
        <f>IF(COUNTIF(Objectius!$A$2:$A$183,D52)&gt;0,"Sí","No")</f>
        <v/>
      </c>
    </row>
    <row r="53">
      <c r="A53" s="11" t="inlineStr">
        <is>
          <t>26_CU_03</t>
        </is>
      </c>
      <c r="B53" s="11" t="inlineStr"/>
      <c r="C53" s="11" t="inlineStr">
        <is>
          <t>iniciar l'excavació de Sant Martí del Pui</t>
        </is>
      </c>
      <c r="D53" s="11" t="inlineStr">
        <is>
          <t>04.1.1</t>
        </is>
      </c>
      <c r="E53" s="11" t="inlineStr"/>
      <c r="F53" s="11" t="inlineStr">
        <is>
          <t>2. Cultura</t>
        </is>
      </c>
      <c r="G53" s="11" t="inlineStr">
        <is>
          <t>Altres</t>
        </is>
      </c>
      <c r="H53" s="11" t="inlineStr"/>
      <c r="I53" s="11" t="inlineStr">
        <is>
          <t>1.4 Buits de coneixement i necessitats de recerca</t>
        </is>
      </c>
      <c r="J53" s="12" t="n">
        <v>18111.1415</v>
      </c>
      <c r="K53" s="13" t="n">
        <v>0.1</v>
      </c>
      <c r="L53" s="11" t="inlineStr">
        <is>
          <t>2,5% de l'encomana de manteniment. Import 2026 calculat amb la fórmula =724445.66*0.025</t>
        </is>
      </c>
      <c r="M53" s="11" t="inlineStr">
        <is>
          <t>Marc Garriga Lujan</t>
        </is>
      </c>
      <c r="N53" s="11" t="inlineStr">
        <is>
          <t>No</t>
        </is>
      </c>
      <c r="O53" s="15">
        <f>IF(COUNTIF(Objectius!$A$2:$A$183,D53)&gt;0,"Sí","No")</f>
        <v/>
      </c>
    </row>
    <row r="54">
      <c r="A54" s="11" t="inlineStr">
        <is>
          <t>26_CU_04</t>
        </is>
      </c>
      <c r="B54" s="11" t="inlineStr"/>
      <c r="C54" s="11" t="inlineStr">
        <is>
          <t>Recopilació i georeferenciació de toponimia popular del Parc no present o errònia de la cartografia ICGC en base a la memòria oral amb col·laboració amb les entitats locals</t>
        </is>
      </c>
      <c r="D54" s="11" t="inlineStr">
        <is>
          <t>04.1.2</t>
        </is>
      </c>
      <c r="E54" s="11" t="inlineStr"/>
      <c r="F54" s="11" t="inlineStr">
        <is>
          <t>2. Cultura</t>
        </is>
      </c>
      <c r="G54" s="11" t="inlineStr">
        <is>
          <t>Altres</t>
        </is>
      </c>
      <c r="H54" s="11" t="inlineStr"/>
      <c r="I54" s="11" t="inlineStr">
        <is>
          <t>1.4 Buits de coneixement i necessitats de recerca</t>
        </is>
      </c>
      <c r="J54" s="12" t="n">
        <v>0</v>
      </c>
      <c r="K54" s="13" t="n"/>
      <c r="L54" s="11" t="inlineStr">
        <is>
          <t>Mitjans propis</t>
        </is>
      </c>
      <c r="M54" s="11" t="inlineStr">
        <is>
          <t>Marc Garriga Lujan</t>
        </is>
      </c>
      <c r="N54" s="11" t="inlineStr">
        <is>
          <t>Si</t>
        </is>
      </c>
      <c r="O54" s="15">
        <f>IF(COUNTIF(Objectius!$A$2:$A$183,D54)&gt;0,"Sí","No")</f>
        <v/>
      </c>
    </row>
    <row r="55">
      <c r="A55" s="11" t="inlineStr">
        <is>
          <t>26_CU_05</t>
        </is>
      </c>
      <c r="B55" s="11" t="inlineStr"/>
      <c r="C55" s="11" t="inlineStr">
        <is>
          <t>Donar suport a les iniciatives i publicacions dedicades a recuperar la parla pallaresa</t>
        </is>
      </c>
      <c r="D55" s="11" t="inlineStr">
        <is>
          <t>04.1.2</t>
        </is>
      </c>
      <c r="E55" s="11" t="inlineStr"/>
      <c r="F55" s="11" t="inlineStr">
        <is>
          <t>2. Cultura</t>
        </is>
      </c>
      <c r="G55" s="11" t="inlineStr">
        <is>
          <t>Altres</t>
        </is>
      </c>
      <c r="H55" s="11" t="inlineStr"/>
      <c r="I55" s="11" t="inlineStr">
        <is>
          <t>1.5 Mesures de comunicació i sensibilització, educació i accés de visitants relacionades amb Natura 2000</t>
        </is>
      </c>
      <c r="J55" s="12" t="n">
        <v>7244.4566</v>
      </c>
      <c r="K55" s="13" t="n">
        <v>0.1</v>
      </c>
      <c r="L55" s="11" t="inlineStr">
        <is>
          <t>1% de l'encomana de manteniment. Import 2026 calculat amb la fórmula =724445.66*0.01</t>
        </is>
      </c>
      <c r="M55" s="11" t="inlineStr">
        <is>
          <t>Marc Garriga Lujan</t>
        </is>
      </c>
      <c r="N55" s="11" t="inlineStr">
        <is>
          <t>Si</t>
        </is>
      </c>
      <c r="O55" s="15">
        <f>IF(COUNTIF(Objectius!$A$2:$A$183,D55)&gt;0,"Sí","No")</f>
        <v/>
      </c>
    </row>
    <row r="56">
      <c r="A56" s="11" t="inlineStr">
        <is>
          <t>26_CU_06</t>
        </is>
      </c>
      <c r="B56" s="11" t="inlineStr"/>
      <c r="C56" s="11" t="inlineStr">
        <is>
          <t>Continuar impulsant el projecte de parcs i museus junt amb l'Ecomuseu de les Vals d'Àneu</t>
        </is>
      </c>
      <c r="D56" s="11" t="inlineStr">
        <is>
          <t>04.2.2</t>
        </is>
      </c>
      <c r="E56" s="11" t="inlineStr"/>
      <c r="F56" s="11" t="inlineStr">
        <is>
          <t>2. Cultura</t>
        </is>
      </c>
      <c r="G56" s="11" t="inlineStr">
        <is>
          <t>Altres</t>
        </is>
      </c>
      <c r="H56" s="11" t="inlineStr"/>
      <c r="I56" s="11" t="inlineStr">
        <is>
          <t>1.1 Planificació de la gestió i designació del lloc</t>
        </is>
      </c>
      <c r="J56" s="12" t="n">
        <v>0</v>
      </c>
      <c r="K56" s="13" t="n">
        <v>0.25</v>
      </c>
      <c r="L56" s="11" t="inlineStr">
        <is>
          <t>A realitzar amb mtjans propis i altres actuacions vinculades</t>
        </is>
      </c>
      <c r="M56" s="11" t="inlineStr">
        <is>
          <t>Moises Villanueva Coello</t>
        </is>
      </c>
      <c r="N56" s="11" t="inlineStr">
        <is>
          <t>Si</t>
        </is>
      </c>
      <c r="O56" s="15">
        <f>IF(COUNTIF(Objectius!$A$2:$A$183,D56)&gt;0,"Sí","No")</f>
        <v/>
      </c>
    </row>
    <row r="57">
      <c r="A57" s="11" t="inlineStr">
        <is>
          <t>26_CU_07</t>
        </is>
      </c>
      <c r="B57" s="11" t="inlineStr"/>
      <c r="C57" s="11" t="inlineStr">
        <is>
          <t>Impulsar la bona cooperació, i si s'escau, establir convenis de col·laboració amb els equipaments culturals de l'àmbit del Parc, conjuntament amb el grup de treball de cultura de la CETS</t>
        </is>
      </c>
      <c r="D57" s="11" t="inlineStr">
        <is>
          <t>04.2.2</t>
        </is>
      </c>
      <c r="E57" s="11" t="inlineStr"/>
      <c r="F57" s="11" t="inlineStr">
        <is>
          <t>2. Cultura</t>
        </is>
      </c>
      <c r="G57" s="11" t="inlineStr">
        <is>
          <t>Altres</t>
        </is>
      </c>
      <c r="H57" s="11" t="inlineStr"/>
      <c r="I57" s="11" t="inlineStr">
        <is>
          <t>1.2 Administració del lloc i comunicació amb les parts interessades</t>
        </is>
      </c>
      <c r="J57" s="12" t="n">
        <v>0</v>
      </c>
      <c r="K57" s="13" t="n"/>
      <c r="L57" s="11" t="inlineStr">
        <is>
          <t>A realitzar amb mitjans propis</t>
        </is>
      </c>
      <c r="M57" s="11" t="inlineStr">
        <is>
          <t>Moises Villanueva Coello</t>
        </is>
      </c>
      <c r="N57" s="11" t="inlineStr">
        <is>
          <t>Si</t>
        </is>
      </c>
      <c r="O57" s="15">
        <f>IF(COUNTIF(Objectius!$A$2:$A$183,D57)&gt;0,"Sí","No")</f>
        <v/>
      </c>
    </row>
    <row r="58">
      <c r="A58" s="11" t="inlineStr">
        <is>
          <t>26_CU_08</t>
        </is>
      </c>
      <c r="B58" s="11" t="n">
        <v>19</v>
      </c>
      <c r="C58" s="11" t="inlineStr">
        <is>
          <t>Donar suport material i logístic a les activitats vinculades al patrimoni immaterial de l'àmbit del Parc per ajudar a conservar-les i visibilitzar-les: queviures per tastos de productes locals de les activiats</t>
        </is>
      </c>
      <c r="D58" s="11" t="inlineStr">
        <is>
          <t>04.3.1</t>
        </is>
      </c>
      <c r="E58" s="11" t="inlineStr"/>
      <c r="F58" s="11" t="inlineStr">
        <is>
          <t>2. Cultura</t>
        </is>
      </c>
      <c r="G58" s="11" t="inlineStr">
        <is>
          <t>Contracte menor a càrrec del RAE</t>
        </is>
      </c>
      <c r="H58" s="11" t="inlineStr">
        <is>
          <t>221.0007 - Queviures</t>
        </is>
      </c>
      <c r="I58" s="11" t="inlineStr">
        <is>
          <t>1.5 Mesures de comunicació i sensibilització, educació i accés de visitants relacionades amb Natura 2000</t>
        </is>
      </c>
      <c r="J58" s="12" t="n">
        <v>8500</v>
      </c>
      <c r="K58" s="13" t="n">
        <v>0.25</v>
      </c>
      <c r="L58" s="11" t="inlineStr"/>
      <c r="M58" s="11" t="inlineStr">
        <is>
          <t>Marc Garriga Lujan</t>
        </is>
      </c>
      <c r="N58" s="11" t="inlineStr">
        <is>
          <t>Si</t>
        </is>
      </c>
      <c r="O58" s="15">
        <f>IF(COUNTIF(Objectius!$A$2:$A$183,D58)&gt;0,"Sí","No")</f>
        <v/>
      </c>
    </row>
    <row r="59">
      <c r="A59" s="11" t="inlineStr">
        <is>
          <t>26_CU_09</t>
        </is>
      </c>
      <c r="B59" s="11" t="n">
        <v>22</v>
      </c>
      <c r="C59" s="11" t="inlineStr">
        <is>
          <t>Donar suport material i logístic a les activitats vinculades al patrimoni immaterial de l'àmbit del Parc per ajudar a conservar-les i visibilitzar-les: subministrament de material promocional i de merxandatge</t>
        </is>
      </c>
      <c r="D59" s="11" t="inlineStr">
        <is>
          <t>04.3.1</t>
        </is>
      </c>
      <c r="E59" s="11" t="inlineStr"/>
      <c r="F59" s="11" t="inlineStr">
        <is>
          <t>2. Cultura</t>
        </is>
      </c>
      <c r="G59" s="11" t="inlineStr">
        <is>
          <t>Contracte menor a càrrec del RAE</t>
        </is>
      </c>
      <c r="H59" s="11" t="inlineStr">
        <is>
          <t>221.0089 - Altres subministraments</t>
        </is>
      </c>
      <c r="I59" s="11" t="inlineStr">
        <is>
          <t>1.5 Mesures de comunicació i sensibilització, educació i accés de visitants relacionades amb Natura 2000</t>
        </is>
      </c>
      <c r="J59" s="12" t="n">
        <v>1000</v>
      </c>
      <c r="K59" s="13" t="n">
        <v>0.25</v>
      </c>
      <c r="L59" s="11" t="inlineStr"/>
      <c r="M59" s="11" t="inlineStr">
        <is>
          <t>Marc Garriga Lujan</t>
        </is>
      </c>
      <c r="N59" s="11" t="inlineStr">
        <is>
          <t>Si</t>
        </is>
      </c>
      <c r="O59" s="15">
        <f>IF(COUNTIF(Objectius!$A$2:$A$183,D59)&gt;0,"Sí","No")</f>
        <v/>
      </c>
    </row>
    <row r="60">
      <c r="A60" s="11" t="inlineStr">
        <is>
          <t>26_CU_10</t>
        </is>
      </c>
      <c r="B60" s="11" t="n">
        <v>156</v>
      </c>
      <c r="C60" s="11" t="inlineStr">
        <is>
          <t>Donar suport a activitats i accions que divulguen la mitologia popular Pirinenca (festivals, rutes,...): organització i realització de tallers</t>
        </is>
      </c>
      <c r="D60" s="11" t="inlineStr">
        <is>
          <t>04.3.1</t>
        </is>
      </c>
      <c r="E60" s="11" t="inlineStr"/>
      <c r="F60" s="11" t="inlineStr">
        <is>
          <t>2. Cultura</t>
        </is>
      </c>
      <c r="G60" s="11" t="inlineStr">
        <is>
          <t>Contracte menor a càrrec del RAE</t>
        </is>
      </c>
      <c r="H60" s="11" t="inlineStr">
        <is>
          <t>227.0089 - Altres treballs realitzats per persones físiques o jurídiques</t>
        </is>
      </c>
      <c r="I60" s="11" t="inlineStr">
        <is>
          <t>1.5 Mesures de comunicació i sensibilització, educació i accés de visitants relacionades amb Natura 2000</t>
        </is>
      </c>
      <c r="J60" s="12" t="n">
        <v>1600</v>
      </c>
      <c r="K60" s="13" t="n">
        <v>0.25</v>
      </c>
      <c r="L60" s="11" t="inlineStr"/>
      <c r="M60" s="11" t="inlineStr">
        <is>
          <t>Pol Alcalde Floriach</t>
        </is>
      </c>
      <c r="N60" s="11" t="inlineStr">
        <is>
          <t>Si</t>
        </is>
      </c>
      <c r="O60" s="15">
        <f>IF(COUNTIF(Objectius!$A$2:$A$183,D60)&gt;0,"Sí","No")</f>
        <v/>
      </c>
    </row>
    <row r="61">
      <c r="A61" s="11" t="inlineStr">
        <is>
          <t>26_CU_11</t>
        </is>
      </c>
      <c r="B61" s="11" t="inlineStr"/>
      <c r="C61" s="11" t="inlineStr">
        <is>
          <t>Donar suport a activitats i accions que divulguen la mitologia popular Pirinenca (festivals, rutes,...): itinerari mitologic Ainet de Cardós</t>
        </is>
      </c>
      <c r="D61" s="11" t="inlineStr">
        <is>
          <t>04.3.1</t>
        </is>
      </c>
      <c r="E61" s="11" t="inlineStr"/>
      <c r="F61" s="11" t="inlineStr">
        <is>
          <t>2. Cultura</t>
        </is>
      </c>
      <c r="G61" s="11" t="inlineStr">
        <is>
          <t>Contracte menor des de la DG</t>
        </is>
      </c>
      <c r="H61" s="11" t="inlineStr"/>
      <c r="I61" s="11" t="inlineStr">
        <is>
          <t>1.5 Mesures de comunicació i sensibilització, educació i accés de visitants relacionades amb Natura 2000</t>
        </is>
      </c>
      <c r="J61" s="12" t="n">
        <v>18000</v>
      </c>
      <c r="K61" s="13" t="n">
        <v>0.25</v>
      </c>
      <c r="L61" s="11" t="inlineStr"/>
      <c r="M61" s="11" t="inlineStr">
        <is>
          <t>Nil Bacardit Tudela</t>
        </is>
      </c>
      <c r="N61" s="11" t="inlineStr">
        <is>
          <t>No</t>
        </is>
      </c>
      <c r="O61" s="15">
        <f>IF(COUNTIF(Objectius!$A$2:$A$183,D61)&gt;0,"Sí","No")</f>
        <v/>
      </c>
    </row>
    <row r="62">
      <c r="A62" s="11" t="inlineStr">
        <is>
          <t>26_CU_12</t>
        </is>
      </c>
      <c r="B62" s="11" t="inlineStr"/>
      <c r="C62" s="11" t="inlineStr">
        <is>
          <t>Tramitar un conveni de col·laboració estable per l’organització del Festival Terra Roia de Vilamur i els intercanvis amb festivals d’art agermanats del Parc Pirinenc de les Tres Nacions de divulgació del patrimoni artesà i artístic de l’Alt Pirineu</t>
        </is>
      </c>
      <c r="D62" s="11" t="inlineStr">
        <is>
          <t>04.3.1</t>
        </is>
      </c>
      <c r="E62" s="11" t="inlineStr"/>
      <c r="F62" s="11" t="inlineStr">
        <is>
          <t>2. Cultura</t>
        </is>
      </c>
      <c r="G62" s="11" t="inlineStr">
        <is>
          <t>Altres</t>
        </is>
      </c>
      <c r="H62" s="11" t="inlineStr"/>
      <c r="I62" s="11" t="inlineStr">
        <is>
          <t>1.1 Planificació de la gestió i designació del lloc</t>
        </is>
      </c>
      <c r="J62" s="12" t="n">
        <v>0</v>
      </c>
      <c r="K62" s="13" t="n"/>
      <c r="L62" s="11" t="inlineStr">
        <is>
          <t>A realitzar amb mitjans propis</t>
        </is>
      </c>
      <c r="M62" s="11" t="inlineStr">
        <is>
          <t>Marc Garriga Lujan</t>
        </is>
      </c>
      <c r="N62" s="11" t="inlineStr">
        <is>
          <t>No</t>
        </is>
      </c>
      <c r="O62" s="15">
        <f>IF(COUNTIF(Objectius!$A$2:$A$183,D62)&gt;0,"Sí","No")</f>
        <v/>
      </c>
    </row>
    <row r="63">
      <c r="A63" s="11" t="inlineStr">
        <is>
          <t>26_CU_13</t>
        </is>
      </c>
      <c r="B63" s="11" t="n">
        <v>167</v>
      </c>
      <c r="C63" s="11" t="inlineStr">
        <is>
          <t>Fomentar la recerca en memòria oral de les activitats tradicionals de l'àmbit del Parc i la seva divulgació</t>
        </is>
      </c>
      <c r="D63" s="11" t="inlineStr">
        <is>
          <t>04.3.1</t>
        </is>
      </c>
      <c r="E63" s="11" t="inlineStr"/>
      <c r="F63" s="11" t="inlineStr">
        <is>
          <t>2. Cultura</t>
        </is>
      </c>
      <c r="G63" s="11" t="inlineStr">
        <is>
          <t>Contracte menor a càrrec del RAE</t>
        </is>
      </c>
      <c r="H63" s="11" t="inlineStr">
        <is>
          <t>227.0013 - Treballs tècnics</t>
        </is>
      </c>
      <c r="I63" s="11" t="inlineStr">
        <is>
          <t>1.4 Buits de coneixement i necessitats de recerca</t>
        </is>
      </c>
      <c r="J63" s="12" t="n">
        <v>1500</v>
      </c>
      <c r="K63" s="13" t="n">
        <v>0.25</v>
      </c>
      <c r="L63" s="11" t="inlineStr"/>
      <c r="M63" s="11" t="inlineStr">
        <is>
          <t>Marc Garriga Lujan</t>
        </is>
      </c>
      <c r="N63" s="11" t="inlineStr">
        <is>
          <t>No</t>
        </is>
      </c>
      <c r="O63" s="15">
        <f>IF(COUNTIF(Objectius!$A$2:$A$183,D63)&gt;0,"Sí","No")</f>
        <v/>
      </c>
    </row>
    <row r="64">
      <c r="A64" s="11" t="inlineStr">
        <is>
          <t>26_CU_14</t>
        </is>
      </c>
      <c r="B64" s="11" t="inlineStr"/>
      <c r="C64" s="11" t="inlineStr">
        <is>
          <t>Coordinar i implementar les accions previstes pel PNAP del projecte POCTEFA Pyrfer + de posada en valor i dinamització de la Vall Ferrera entorn el ferro i la forja: aasitencia tècnica llançament projecte</t>
        </is>
      </c>
      <c r="D64" s="11" t="inlineStr">
        <is>
          <t>04.3.1</t>
        </is>
      </c>
      <c r="E64" s="11" t="inlineStr"/>
      <c r="F64" s="11" t="inlineStr">
        <is>
          <t>2. Cultura</t>
        </is>
      </c>
      <c r="G64" s="11" t="inlineStr">
        <is>
          <t>Contracte menor des de la DG</t>
        </is>
      </c>
      <c r="H64" s="11" t="inlineStr"/>
      <c r="I64" s="11" t="inlineStr">
        <is>
          <t>1.1 Planificació de la gestió i designació del lloc</t>
        </is>
      </c>
      <c r="J64" s="12" t="n">
        <v>6000</v>
      </c>
      <c r="K64" s="13" t="n">
        <v>0.1</v>
      </c>
      <c r="L64" s="11" t="inlineStr"/>
      <c r="M64" s="11" t="inlineStr">
        <is>
          <t>Pol Alcalde Floriach</t>
        </is>
      </c>
      <c r="N64" s="11" t="inlineStr">
        <is>
          <t>No</t>
        </is>
      </c>
      <c r="O64" s="15">
        <f>IF(COUNTIF(Objectius!$A$2:$A$183,D64)&gt;0,"Sí","No")</f>
        <v/>
      </c>
    </row>
    <row r="65">
      <c r="A65" s="11" t="inlineStr">
        <is>
          <t>26_CU_15</t>
        </is>
      </c>
      <c r="B65" s="11" t="n">
        <v>170</v>
      </c>
      <c r="C65" s="11" t="inlineStr">
        <is>
          <t>Coordinar i implementar les accions previstes pel PNAP del projecte POCTEFA Pyrfer + de posada en valor i dinamització de la Vall Ferrera entorn el ferro i la forja: organització fira del ferro</t>
        </is>
      </c>
      <c r="D65" s="11" t="inlineStr">
        <is>
          <t>04.3.1</t>
        </is>
      </c>
      <c r="E65" s="11" t="inlineStr">
        <is>
          <t>07.1.1</t>
        </is>
      </c>
      <c r="F65" s="11" t="inlineStr">
        <is>
          <t>2. Cultura</t>
        </is>
      </c>
      <c r="G65" s="11" t="inlineStr">
        <is>
          <t>Contracte menor a càrrec del RAE</t>
        </is>
      </c>
      <c r="H65" s="11" t="inlineStr">
        <is>
          <t>226.0001 - Exposicions, certàmens i altres activitats de promoció</t>
        </is>
      </c>
      <c r="I65" s="11" t="inlineStr">
        <is>
          <t>1.5 Mesures de comunicació i sensibilització, educació i accés de visitants relacionades amb Natura 2000</t>
        </is>
      </c>
      <c r="J65" s="12" t="n">
        <v>16000</v>
      </c>
      <c r="K65" s="13" t="n">
        <v>0.1</v>
      </c>
      <c r="L65" s="11" t="inlineStr"/>
      <c r="M65" s="11" t="inlineStr">
        <is>
          <t>Pol Alcalde Floriach</t>
        </is>
      </c>
      <c r="N65" s="11" t="inlineStr">
        <is>
          <t>No</t>
        </is>
      </c>
      <c r="O65" s="15">
        <f>IF(COUNTIF(Objectius!$A$2:$A$183,D65)&gt;0,"Sí","No")</f>
        <v/>
      </c>
    </row>
    <row r="66">
      <c r="A66" s="11" t="inlineStr">
        <is>
          <t>26_CU_16</t>
        </is>
      </c>
      <c r="B66" s="11" t="inlineStr"/>
      <c r="C66" s="11" t="inlineStr">
        <is>
          <t>Coordinar i implementar les accions previstes pel PNAP del projecte POCTEFA Pyrfer + de posada en valor i dinamització de la Vall Ferrera entorn el ferro i la forja: excavació arqueològica</t>
        </is>
      </c>
      <c r="D66" s="11" t="inlineStr">
        <is>
          <t>04.3.1</t>
        </is>
      </c>
      <c r="E66" s="11" t="inlineStr">
        <is>
          <t>07.1.1</t>
        </is>
      </c>
      <c r="F66" s="11" t="inlineStr">
        <is>
          <t>2. Cultura</t>
        </is>
      </c>
      <c r="G66" s="11" t="inlineStr">
        <is>
          <t>Contracte menor des de la DG</t>
        </is>
      </c>
      <c r="H66" s="11" t="inlineStr"/>
      <c r="I66" s="11" t="inlineStr">
        <is>
          <t>Altres</t>
        </is>
      </c>
      <c r="J66" s="12" t="n">
        <v>16900</v>
      </c>
      <c r="K66" s="13" t="n">
        <v>0.1</v>
      </c>
      <c r="L66" s="11" t="inlineStr"/>
      <c r="M66" s="11" t="inlineStr">
        <is>
          <t>Marc Garriga Lujan</t>
        </is>
      </c>
      <c r="N66" s="11" t="inlineStr">
        <is>
          <t>No</t>
        </is>
      </c>
      <c r="O66" s="15">
        <f>IF(COUNTIF(Objectius!$A$2:$A$183,D66)&gt;0,"Sí","No")</f>
        <v/>
      </c>
    </row>
    <row r="67">
      <c r="A67" s="11" t="inlineStr">
        <is>
          <t>26_CU_17</t>
        </is>
      </c>
      <c r="B67" s="11" t="inlineStr"/>
      <c r="C67" s="11" t="inlineStr">
        <is>
          <t>Coordinar i implementar les accions previstes pel PNAP del projecte POCTEFA Pyrfer + de posada en valor i dinamització de la Vall Ferrera entorn el ferro i la forja: formació en forja</t>
        </is>
      </c>
      <c r="D67" s="11" t="inlineStr">
        <is>
          <t>04.3.1</t>
        </is>
      </c>
      <c r="E67" s="11" t="inlineStr"/>
      <c r="F67" s="11" t="inlineStr">
        <is>
          <t>2. Cultura</t>
        </is>
      </c>
      <c r="G67" s="11" t="inlineStr">
        <is>
          <t>Contracte menor des de la DG</t>
        </is>
      </c>
      <c r="H67" s="11" t="inlineStr"/>
      <c r="I67" s="11" t="inlineStr">
        <is>
          <t>Altres</t>
        </is>
      </c>
      <c r="J67" s="12" t="n">
        <v>5800</v>
      </c>
      <c r="K67" s="13" t="n">
        <v>0.1</v>
      </c>
      <c r="L67" s="11" t="inlineStr"/>
      <c r="M67" s="11" t="inlineStr">
        <is>
          <t>Pol Alcalde Floriach</t>
        </is>
      </c>
      <c r="N67" s="11" t="inlineStr">
        <is>
          <t>No</t>
        </is>
      </c>
      <c r="O67" s="15">
        <f>IF(COUNTIF(Objectius!$A$2:$A$183,D67)&gt;0,"Sí","No")</f>
        <v/>
      </c>
    </row>
    <row r="68">
      <c r="A68" s="11" t="inlineStr">
        <is>
          <t>26_CU_18</t>
        </is>
      </c>
      <c r="B68" s="11" t="inlineStr"/>
      <c r="C68" s="11" t="inlineStr">
        <is>
          <t>Coordinar i implementar les accions previstes pel PNAP del projecte POCTEFA Pyrfer + de posada en valor i dinamització de la Vall Ferrera entorn el ferro i la forja: exposició itinerant</t>
        </is>
      </c>
      <c r="D68" s="11" t="inlineStr">
        <is>
          <t>04.3.1</t>
        </is>
      </c>
      <c r="E68" s="11" t="inlineStr">
        <is>
          <t>07.1.1</t>
        </is>
      </c>
      <c r="F68" s="11" t="inlineStr">
        <is>
          <t>2. Cultura</t>
        </is>
      </c>
      <c r="G68" s="11" t="inlineStr">
        <is>
          <t>Contracte menor des de la DG</t>
        </is>
      </c>
      <c r="H68" s="11" t="inlineStr"/>
      <c r="I68" s="11" t="inlineStr">
        <is>
          <t>Altres</t>
        </is>
      </c>
      <c r="J68" s="12" t="n">
        <v>5000</v>
      </c>
      <c r="K68" s="13" t="n">
        <v>0.1</v>
      </c>
      <c r="L68" s="11" t="inlineStr"/>
      <c r="M68" s="11" t="inlineStr">
        <is>
          <t>Marc Garriga Lujan</t>
        </is>
      </c>
      <c r="N68" s="11" t="inlineStr">
        <is>
          <t>No</t>
        </is>
      </c>
      <c r="O68" s="15">
        <f>IF(COUNTIF(Objectius!$A$2:$A$183,D68)&gt;0,"Sí","No")</f>
        <v/>
      </c>
    </row>
    <row r="69">
      <c r="A69" s="11" t="inlineStr">
        <is>
          <t>26_CU_19</t>
        </is>
      </c>
      <c r="B69" s="11" t="inlineStr"/>
      <c r="C69" s="11" t="inlineStr">
        <is>
          <t>Coordinar i implementar les accions previstes pel PNAP del projecte POCTEFA Pyrfer + de posada en valor i dinamització de la Vall Ferrera entorn el ferro i la forja: material pedagogic escolar</t>
        </is>
      </c>
      <c r="D69" s="11" t="inlineStr">
        <is>
          <t>04.3.1</t>
        </is>
      </c>
      <c r="E69" s="11" t="inlineStr"/>
      <c r="F69" s="11" t="inlineStr">
        <is>
          <t>2. Cultura</t>
        </is>
      </c>
      <c r="G69" s="11" t="inlineStr">
        <is>
          <t>Contracte menor des de la DG</t>
        </is>
      </c>
      <c r="H69" s="11" t="inlineStr"/>
      <c r="I69" s="11" t="inlineStr">
        <is>
          <t>1.5 Mesures de comunicació i sensibilització, educació i accés de visitants relacionades amb Natura 2000</t>
        </is>
      </c>
      <c r="J69" s="12" t="n">
        <v>3000</v>
      </c>
      <c r="K69" s="13" t="n">
        <v>0.1</v>
      </c>
      <c r="L69" s="11" t="inlineStr"/>
      <c r="M69" s="11" t="inlineStr">
        <is>
          <t>Pol Alcalde Floriach</t>
        </is>
      </c>
      <c r="N69" s="11" t="inlineStr">
        <is>
          <t>No</t>
        </is>
      </c>
      <c r="O69" s="15">
        <f>IF(COUNTIF(Objectius!$A$2:$A$183,D69)&gt;0,"Sí","No")</f>
        <v/>
      </c>
    </row>
    <row r="70">
      <c r="A70" s="11" t="inlineStr">
        <is>
          <t>26_CU_20</t>
        </is>
      </c>
      <c r="B70" s="11" t="n">
        <v>135</v>
      </c>
      <c r="C70" s="11" t="inlineStr">
        <is>
          <t>Coordinar i implementar les accions previstes pel PNAP del projecte POCTEFA Pyrfer + de posada en valor i dinamització de la Vall Ferrera entorn el ferro i la forja: compra de carbó i ferro</t>
        </is>
      </c>
      <c r="D70" s="11" t="inlineStr">
        <is>
          <t>04.3.1</t>
        </is>
      </c>
      <c r="E70" s="11" t="inlineStr">
        <is>
          <t>07.1.1</t>
        </is>
      </c>
      <c r="F70" s="11" t="inlineStr">
        <is>
          <t>2. Cultura</t>
        </is>
      </c>
      <c r="G70" s="11" t="inlineStr">
        <is>
          <t>Contracte menor a càrrec del RAE</t>
        </is>
      </c>
      <c r="H70" s="11" t="inlineStr">
        <is>
          <t>221.0089 - Altres subministraments</t>
        </is>
      </c>
      <c r="I70" s="11" t="inlineStr">
        <is>
          <t>Altres</t>
        </is>
      </c>
      <c r="J70" s="12" t="n">
        <v>3000</v>
      </c>
      <c r="K70" s="13" t="n">
        <v>0.1</v>
      </c>
      <c r="L70" s="11" t="inlineStr"/>
      <c r="M70" s="11" t="inlineStr">
        <is>
          <t>Marc Garriga Lujan</t>
        </is>
      </c>
      <c r="N70" s="11" t="inlineStr">
        <is>
          <t>No</t>
        </is>
      </c>
      <c r="O70" s="15">
        <f>IF(COUNTIF(Objectius!$A$2:$A$183,D70)&gt;0,"Sí","No")</f>
        <v/>
      </c>
    </row>
    <row r="71">
      <c r="A71" s="11" t="inlineStr">
        <is>
          <t>26_CU_21</t>
        </is>
      </c>
      <c r="B71" s="11" t="n">
        <v>164</v>
      </c>
      <c r="C71" s="11" t="inlineStr">
        <is>
          <t>Coordinar i implementar les accions previstes pel PNAP del projecte POCTEFA Pyrfer + de posada en valor i dinamització de la Vall Ferrera entorn el ferro i la forja: Treballs previs de forja de la Fira del Ferro Pirinenc</t>
        </is>
      </c>
      <c r="D71" s="11" t="inlineStr">
        <is>
          <t>04.3.1</t>
        </is>
      </c>
      <c r="E71" s="11" t="inlineStr"/>
      <c r="F71" s="11" t="inlineStr">
        <is>
          <t>2. Cultura</t>
        </is>
      </c>
      <c r="G71" s="11" t="inlineStr">
        <is>
          <t>Contracte menor a càrrec del RAE</t>
        </is>
      </c>
      <c r="H71" s="11" t="inlineStr">
        <is>
          <t>227.0089 - Altres treballs realitzats per persones físiques o jurídiques</t>
        </is>
      </c>
      <c r="I71" s="11" t="inlineStr">
        <is>
          <t>Altres</t>
        </is>
      </c>
      <c r="J71" s="12" t="n">
        <v>8000</v>
      </c>
      <c r="K71" s="13" t="n">
        <v>0.25</v>
      </c>
      <c r="L71" s="11" t="inlineStr"/>
      <c r="M71" s="11" t="inlineStr">
        <is>
          <t>Marc Garriga Lujan</t>
        </is>
      </c>
      <c r="N71" s="11" t="inlineStr">
        <is>
          <t>No</t>
        </is>
      </c>
      <c r="O71" s="15">
        <f>IF(COUNTIF(Objectius!$A$2:$A$183,D71)&gt;0,"Sí","No")</f>
        <v/>
      </c>
    </row>
    <row r="72">
      <c r="A72" s="11" t="inlineStr">
        <is>
          <t>26_CU_22</t>
        </is>
      </c>
      <c r="B72" s="11" t="n">
        <v>76</v>
      </c>
      <c r="C72" s="11" t="inlineStr">
        <is>
          <t>Continuar realitzant activitats formatives de la tècnica de pedra en sec (murs, empedrats, cabanes, ..): Cursos vinculats a la pedra seca</t>
        </is>
      </c>
      <c r="D72" s="11" t="inlineStr">
        <is>
          <t>04.3.2</t>
        </is>
      </c>
      <c r="E72" s="11" t="inlineStr"/>
      <c r="F72" s="11" t="inlineStr">
        <is>
          <t>2. Cultura</t>
        </is>
      </c>
      <c r="G72" s="11" t="inlineStr">
        <is>
          <t>Contracte menor a càrrec del RAE</t>
        </is>
      </c>
      <c r="H72" s="11" t="inlineStr">
        <is>
          <t>227.014 Serveis de formació</t>
        </is>
      </c>
      <c r="I72" s="11" t="inlineStr">
        <is>
          <t>2.5 Mesures de manteniment i restauració d'altres agroecosistemes (inclosos els conreus)</t>
        </is>
      </c>
      <c r="J72" s="12" t="n">
        <v>4000</v>
      </c>
      <c r="K72" s="13" t="n">
        <v>0.25</v>
      </c>
      <c r="L72" s="11" t="inlineStr"/>
      <c r="M72" s="11" t="inlineStr">
        <is>
          <t>Nil Bacardit Tudela</t>
        </is>
      </c>
      <c r="N72" s="11" t="inlineStr">
        <is>
          <t>Si</t>
        </is>
      </c>
      <c r="O72" s="15">
        <f>IF(COUNTIF(Objectius!$A$2:$A$183,D72)&gt;0,"Sí","No")</f>
        <v/>
      </c>
    </row>
    <row r="73">
      <c r="A73" s="11" t="inlineStr">
        <is>
          <t>26_CU_23</t>
        </is>
      </c>
      <c r="B73" s="11" t="n">
        <v>98</v>
      </c>
      <c r="C73" s="11" t="inlineStr">
        <is>
          <t>Divulgació i foment de l'aplicació del nou manual de bones pràctiques per la rehabilitació de construccions rurals aïllades del Parc: impressió nova edició</t>
        </is>
      </c>
      <c r="D73" s="11" t="inlineStr">
        <is>
          <t>04.3.3</t>
        </is>
      </c>
      <c r="E73" s="11" t="inlineStr">
        <is>
          <t>10.1.1</t>
        </is>
      </c>
      <c r="F73" s="11" t="inlineStr">
        <is>
          <t>2. Cultura</t>
        </is>
      </c>
      <c r="G73" s="11" t="inlineStr">
        <is>
          <t>Contracte menor a càrrec del RAE</t>
        </is>
      </c>
      <c r="H73" s="11" t="inlineStr">
        <is>
          <t>240.0001 - Despeses de publicacions</t>
        </is>
      </c>
      <c r="I73" s="11" t="inlineStr">
        <is>
          <t>2.5 Mesures de manteniment i restauració d'altres agroecosistemes (inclosos els conreus)</t>
        </is>
      </c>
      <c r="J73" s="12" t="n">
        <v>1500</v>
      </c>
      <c r="K73" s="13" t="n">
        <v>0.5</v>
      </c>
      <c r="L73" s="11" t="inlineStr">
        <is>
          <t>1a edició esgotada</t>
        </is>
      </c>
      <c r="M73" s="11" t="inlineStr">
        <is>
          <t>Moises Villanueva Coello</t>
        </is>
      </c>
      <c r="N73" s="11" t="inlineStr">
        <is>
          <t>No</t>
        </is>
      </c>
      <c r="O73" s="15">
        <f>IF(COUNTIF(Objectius!$A$2:$A$183,D73)&gt;0,"Sí","No")</f>
        <v/>
      </c>
    </row>
    <row r="74">
      <c r="A74" s="11" t="inlineStr">
        <is>
          <t>26_CU_24</t>
        </is>
      </c>
      <c r="B74" s="11" t="n">
        <v>81</v>
      </c>
      <c r="C74" s="11" t="inlineStr">
        <is>
          <t>Divulgació i foment de l'aplicació del nou manual de bones pràctiques per la rehabilitació de construccions rurals aïllades del Parc:xerrada de presentació a l'Alt Urgell i a les jornades de parcs i museus</t>
        </is>
      </c>
      <c r="D74" s="11" t="inlineStr">
        <is>
          <t>04.3.3</t>
        </is>
      </c>
      <c r="E74" s="11" t="inlineStr">
        <is>
          <t>10.1.1</t>
        </is>
      </c>
      <c r="F74" s="11" t="inlineStr">
        <is>
          <t>2. Cultura</t>
        </is>
      </c>
      <c r="G74" s="11" t="inlineStr">
        <is>
          <t>Contracte menor a càrrec del RAE</t>
        </is>
      </c>
      <c r="H74" s="11" t="inlineStr">
        <is>
          <t>227.0089 - Altres treballs realitzats per persones físiques o jurídiques</t>
        </is>
      </c>
      <c r="I74" s="11" t="inlineStr">
        <is>
          <t>2.5 Mesures de manteniment i restauració d'altres agroecosistemes (inclosos els conreus)</t>
        </is>
      </c>
      <c r="J74" s="12" t="n">
        <v>600</v>
      </c>
      <c r="K74" s="13" t="n">
        <v>0.25</v>
      </c>
      <c r="L74" s="11" t="inlineStr"/>
      <c r="M74" s="11" t="inlineStr">
        <is>
          <t>Marc Garriga Lujan</t>
        </is>
      </c>
      <c r="N74" s="11" t="inlineStr">
        <is>
          <t>No</t>
        </is>
      </c>
      <c r="O74" s="15">
        <f>IF(COUNTIF(Objectius!$A$2:$A$183,D74)&gt;0,"Sí","No")</f>
        <v/>
      </c>
    </row>
    <row r="75">
      <c r="A75" s="11" t="inlineStr">
        <is>
          <t>26_CU_25</t>
        </is>
      </c>
      <c r="B75" s="11" t="n">
        <v>133</v>
      </c>
      <c r="C75" s="11" t="inlineStr">
        <is>
          <t>Restauració del patrimoni moble de Casa Bringué: Ventadora, bauls i fresquera</t>
        </is>
      </c>
      <c r="D75" s="11" t="inlineStr">
        <is>
          <t>04.3.3</t>
        </is>
      </c>
      <c r="E75" s="11" t="inlineStr"/>
      <c r="F75" s="11" t="inlineStr">
        <is>
          <t>2. Cultura</t>
        </is>
      </c>
      <c r="G75" s="11" t="inlineStr">
        <is>
          <t>Contracte menor a càrrec del RAE</t>
        </is>
      </c>
      <c r="H75" s="11" t="inlineStr">
        <is>
          <t>213.0001 - Conservació, reparació i manteniment d'altre immobilitzat material</t>
        </is>
      </c>
      <c r="I75" s="11" t="inlineStr">
        <is>
          <t>Altres</t>
        </is>
      </c>
      <c r="J75" s="12" t="n">
        <v>2420</v>
      </c>
      <c r="K75" s="13" t="n">
        <v>0.25</v>
      </c>
      <c r="L75" s="11" t="inlineStr"/>
      <c r="M75" s="11" t="inlineStr">
        <is>
          <t>Marc Garriga Lujan</t>
        </is>
      </c>
      <c r="N75" s="11" t="inlineStr">
        <is>
          <t>No</t>
        </is>
      </c>
      <c r="O75" s="15">
        <f>IF(COUNTIF(Objectius!$A$2:$A$183,D75)&gt;0,"Sí","No")</f>
        <v/>
      </c>
    </row>
    <row r="76">
      <c r="A76" s="11" t="inlineStr">
        <is>
          <t>26_CU_26</t>
        </is>
      </c>
      <c r="B76" s="11" t="inlineStr"/>
      <c r="C76" s="11" t="inlineStr">
        <is>
          <t>Executar el projecte de rehabilització de Casa Bringué de Ginestarre com espai museistic, formatiu i alberg de joventut - Licitació de l'obra</t>
        </is>
      </c>
      <c r="D76" s="11" t="inlineStr">
        <is>
          <t>04.3.3</t>
        </is>
      </c>
      <c r="E76" s="11" t="inlineStr">
        <is>
          <t>06.4.5</t>
        </is>
      </c>
      <c r="F76" s="11" t="inlineStr">
        <is>
          <t>2. Cultura</t>
        </is>
      </c>
      <c r="G76" s="11" t="inlineStr">
        <is>
          <t>PEA Infraestructures</t>
        </is>
      </c>
      <c r="H76" s="11" t="inlineStr"/>
      <c r="I76" s="11" t="inlineStr">
        <is>
          <t>2.5 Mesures de manteniment i restauració d'altres agroecosistemes (inclosos els conreus)</t>
        </is>
      </c>
      <c r="J76" s="12" t="n">
        <v>0</v>
      </c>
      <c r="K76" s="13" t="n">
        <v>0.1</v>
      </c>
      <c r="L76" s="11" t="inlineStr">
        <is>
          <t>Es licita el 2026, pero com l'obra s'iniciarà el 2027, s'imputarà el cost pel 2027</t>
        </is>
      </c>
      <c r="M76" s="11" t="inlineStr">
        <is>
          <t>Marc Garriga Lujan</t>
        </is>
      </c>
      <c r="N76" s="11" t="inlineStr">
        <is>
          <t>No</t>
        </is>
      </c>
      <c r="O76" s="15">
        <f>IF(COUNTIF(Objectius!$A$2:$A$183,D76)&gt;0,"Sí","No")</f>
        <v/>
      </c>
    </row>
    <row r="77">
      <c r="A77" s="11" t="inlineStr">
        <is>
          <t>26_CU_27</t>
        </is>
      </c>
      <c r="B77" s="11" t="inlineStr"/>
      <c r="C77" s="11" t="inlineStr">
        <is>
          <t>Mantenir la coberta vegetal de la Borda de Llosaus</t>
        </is>
      </c>
      <c r="D77" s="11" t="inlineStr">
        <is>
          <t>04.3.3</t>
        </is>
      </c>
      <c r="E77" s="11" t="inlineStr"/>
      <c r="F77" s="11" t="inlineStr">
        <is>
          <t>2. Cultura</t>
        </is>
      </c>
      <c r="G77" s="11" t="inlineStr">
        <is>
          <t>Encomana Forestal Catalana</t>
        </is>
      </c>
      <c r="H77" s="11" t="inlineStr"/>
      <c r="I77" s="11" t="inlineStr">
        <is>
          <t>2.5 Mesures de manteniment i restauració d'altres agroecosistemes (inclosos els conreus)</t>
        </is>
      </c>
      <c r="J77" s="12" t="n">
        <v>0</v>
      </c>
      <c r="K77" s="13" t="n">
        <v>0.25</v>
      </c>
      <c r="L77" s="11" t="inlineStr">
        <is>
          <t>Actuació a realitzar amb servei de manteniment FC</t>
        </is>
      </c>
      <c r="M77" s="11" t="inlineStr">
        <is>
          <t>Nil Bacardit Tudela</t>
        </is>
      </c>
      <c r="N77" s="11" t="inlineStr">
        <is>
          <t>No</t>
        </is>
      </c>
      <c r="O77" s="15">
        <f>IF(COUNTIF(Objectius!$A$2:$A$183,D77)&gt;0,"Sí","No")</f>
        <v/>
      </c>
    </row>
    <row r="78">
      <c r="A78" s="11" t="inlineStr">
        <is>
          <t>26_CU_28</t>
        </is>
      </c>
      <c r="B78" s="11" t="inlineStr"/>
      <c r="C78" s="11" t="inlineStr">
        <is>
          <t>Realització d'accions de conservació del patrimoni arquitectònic públic del Parc a través del servei de manteniment, obres o ajuts</t>
        </is>
      </c>
      <c r="D78" s="11" t="inlineStr">
        <is>
          <t>04.3.3</t>
        </is>
      </c>
      <c r="E78" s="11" t="inlineStr"/>
      <c r="F78" s="11" t="inlineStr">
        <is>
          <t>2. Cultura</t>
        </is>
      </c>
      <c r="G78" s="11" t="inlineStr">
        <is>
          <t>Encomana Forestal Catalana</t>
        </is>
      </c>
      <c r="H78" s="11" t="inlineStr"/>
      <c r="I78" s="11" t="inlineStr">
        <is>
          <t>2.5 Mesures de manteniment i restauració d'altres agroecosistemes (inclosos els conreus)</t>
        </is>
      </c>
      <c r="J78" s="12" t="n">
        <v>0</v>
      </c>
      <c r="K78" s="13" t="n">
        <v>0.25</v>
      </c>
      <c r="L78" s="11" t="inlineStr">
        <is>
          <t>Actuació a realitzar amb servei de manteniment FC</t>
        </is>
      </c>
      <c r="M78" s="11" t="inlineStr">
        <is>
          <t>Nil Bacardit Tudela</t>
        </is>
      </c>
      <c r="N78" s="11" t="inlineStr">
        <is>
          <t>Si</t>
        </is>
      </c>
      <c r="O78" s="15">
        <f>IF(COUNTIF(Objectius!$A$2:$A$183,D78)&gt;0,"Sí","No")</f>
        <v/>
      </c>
    </row>
    <row r="79">
      <c r="A79" s="11" t="inlineStr">
        <is>
          <t>26_CU_29</t>
        </is>
      </c>
      <c r="B79" s="11" t="n">
        <v>82</v>
      </c>
      <c r="C79" s="11" t="inlineStr">
        <is>
          <t>Promoció i conservació de la biodiversitat cultivada del Parc</t>
        </is>
      </c>
      <c r="D79" s="11" t="inlineStr">
        <is>
          <t>04.3.4</t>
        </is>
      </c>
      <c r="E79" s="11" t="inlineStr"/>
      <c r="F79" s="11" t="inlineStr">
        <is>
          <t>2. Cultura</t>
        </is>
      </c>
      <c r="G79" s="11" t="inlineStr">
        <is>
          <t>Contracte menor a càrrec del RAE</t>
        </is>
      </c>
      <c r="H79" s="11" t="inlineStr">
        <is>
          <t>227.0089 - Altres treballs realitzats per persones físiques o jurídiques</t>
        </is>
      </c>
      <c r="I79" s="11" t="inlineStr">
        <is>
          <t>2.5 Mesures de manteniment i restauració d'altres agroecosistemes (inclosos els conreus)</t>
        </is>
      </c>
      <c r="J79" s="12" t="n">
        <v>0</v>
      </c>
      <c r="K79" s="13" t="n">
        <v>0.25</v>
      </c>
      <c r="L79" s="11" t="inlineStr"/>
      <c r="M79" s="11" t="inlineStr">
        <is>
          <t>Moises Villanueva Coello</t>
        </is>
      </c>
      <c r="N79" s="11" t="inlineStr">
        <is>
          <t>No</t>
        </is>
      </c>
      <c r="O79" s="15">
        <f>IF(COUNTIF(Objectius!$A$2:$A$183,D79)&gt;0,"Sí","No")</f>
        <v/>
      </c>
    </row>
    <row r="80">
      <c r="A80" s="11" t="inlineStr">
        <is>
          <t>26_CU_30</t>
        </is>
      </c>
      <c r="B80" s="11" t="n">
        <v>137</v>
      </c>
      <c r="C80" s="11" t="inlineStr">
        <is>
          <t>Donar suport a la conservació de les races locals de bestiar del Parc a través de les fires i concursos de raça - Transport dels animals de les fires ramaderes de cavall pirinenc</t>
        </is>
      </c>
      <c r="D80" s="11" t="inlineStr">
        <is>
          <t>04.3.4</t>
        </is>
      </c>
      <c r="E80" s="11" t="inlineStr"/>
      <c r="F80" s="11" t="inlineStr">
        <is>
          <t>2. Cultura</t>
        </is>
      </c>
      <c r="G80" s="11" t="inlineStr">
        <is>
          <t>Contracte menor a càrrec del RAE</t>
        </is>
      </c>
      <c r="H80" s="11" t="inlineStr">
        <is>
          <t>223.0001 - Transports</t>
        </is>
      </c>
      <c r="I80" s="11" t="inlineStr">
        <is>
          <t>2.4 Mesures de manteniment i restauració de prats i pastures</t>
        </is>
      </c>
      <c r="J80" s="12" t="n">
        <v>2400</v>
      </c>
      <c r="K80" s="13" t="n">
        <v>0.25</v>
      </c>
      <c r="L80" s="11" t="inlineStr"/>
      <c r="M80" s="11" t="inlineStr">
        <is>
          <t>Nil Bacardit Tudela</t>
        </is>
      </c>
      <c r="N80" s="11" t="inlineStr">
        <is>
          <t>Si</t>
        </is>
      </c>
      <c r="O80" s="15">
        <f>IF(COUNTIF(Objectius!$A$2:$A$183,D80)&gt;0,"Sí","No")</f>
        <v/>
      </c>
    </row>
    <row r="81">
      <c r="A81" s="11" t="inlineStr">
        <is>
          <t>26_CU_31</t>
        </is>
      </c>
      <c r="B81" s="11" t="n">
        <v>20</v>
      </c>
      <c r="C81" s="11" t="inlineStr">
        <is>
          <t>Donar suport a la conservació de les races locals de bestiar del Parc a través de les fires i concursos de raça - Farratge pels animals de les fires ramaderes</t>
        </is>
      </c>
      <c r="D81" s="11" t="inlineStr">
        <is>
          <t>04.3.4</t>
        </is>
      </c>
      <c r="E81" s="11" t="inlineStr"/>
      <c r="F81" s="11" t="inlineStr">
        <is>
          <t>2. Cultura</t>
        </is>
      </c>
      <c r="G81" s="11" t="inlineStr">
        <is>
          <t>Contracte menor a càrrec del RAE</t>
        </is>
      </c>
      <c r="H81" s="11" t="inlineStr">
        <is>
          <t>221.0007 - Queviures</t>
        </is>
      </c>
      <c r="I81" s="11" t="inlineStr">
        <is>
          <t>2.4 Mesures de manteniment i restauració de prats i pastures</t>
        </is>
      </c>
      <c r="J81" s="12" t="n">
        <v>2500</v>
      </c>
      <c r="K81" s="13" t="n">
        <v>0.25</v>
      </c>
      <c r="L81" s="11" t="inlineStr"/>
      <c r="M81" s="11" t="inlineStr">
        <is>
          <t>Nil Bacardit Tudela</t>
        </is>
      </c>
      <c r="N81" s="11" t="inlineStr">
        <is>
          <t>Si</t>
        </is>
      </c>
      <c r="O81" s="15">
        <f>IF(COUNTIF(Objectius!$A$2:$A$183,D81)&gt;0,"Sí","No")</f>
        <v/>
      </c>
    </row>
    <row r="82">
      <c r="A82" s="11" t="inlineStr">
        <is>
          <t>26_CU_32</t>
        </is>
      </c>
      <c r="B82" s="11" t="n">
        <v>54</v>
      </c>
      <c r="C82" s="11" t="inlineStr">
        <is>
          <t>Donar suport a la conservació de les races locals de bestiar del Parc a través de les fires i concursos de raça - Organització i premis pels participants de les fires ramaderes. Lots de productes locals</t>
        </is>
      </c>
      <c r="D82" s="11" t="inlineStr">
        <is>
          <t>04.3.4</t>
        </is>
      </c>
      <c r="E82" s="11" t="inlineStr"/>
      <c r="F82" s="11" t="inlineStr">
        <is>
          <t>2. Cultura</t>
        </is>
      </c>
      <c r="G82" s="11" t="inlineStr">
        <is>
          <t>Contracte menor a càrrec del RAE</t>
        </is>
      </c>
      <c r="H82" s="11" t="inlineStr">
        <is>
          <t>226.0010 - Premis</t>
        </is>
      </c>
      <c r="I82" s="11" t="inlineStr">
        <is>
          <t>2.4 Mesures de manteniment i restauració de prats i pastures</t>
        </is>
      </c>
      <c r="J82" s="12" t="n">
        <v>7500</v>
      </c>
      <c r="K82" s="13" t="n">
        <v>0.25</v>
      </c>
      <c r="L82" s="11" t="inlineStr"/>
      <c r="M82" s="11" t="inlineStr">
        <is>
          <t>Marc Garriga Lujan</t>
        </is>
      </c>
      <c r="N82" s="11" t="inlineStr">
        <is>
          <t>No</t>
        </is>
      </c>
      <c r="O82" s="15">
        <f>IF(COUNTIF(Objectius!$A$2:$A$183,D82)&gt;0,"Sí","No")</f>
        <v/>
      </c>
    </row>
    <row r="83">
      <c r="A83" s="11" t="inlineStr">
        <is>
          <t>26_CU_33</t>
        </is>
      </c>
      <c r="B83" s="11" t="inlineStr"/>
      <c r="C83" s="11" t="inlineStr">
        <is>
          <t>Donar suport a la conservació de les races locals de bestiar del Parc a través de les fires i concursos de raça - Muntatge i desmuntatge dels tancats i carpes de les fires ramaderes</t>
        </is>
      </c>
      <c r="D83" s="11" t="inlineStr">
        <is>
          <t>04.3.4</t>
        </is>
      </c>
      <c r="E83" s="11" t="inlineStr"/>
      <c r="F83" s="11" t="inlineStr">
        <is>
          <t>2. Cultura</t>
        </is>
      </c>
      <c r="G83" s="11" t="inlineStr">
        <is>
          <t>Encomana Forestal Catalana</t>
        </is>
      </c>
      <c r="H83" s="11" t="inlineStr"/>
      <c r="I83" s="11" t="inlineStr">
        <is>
          <t>2.4 Mesures de manteniment i restauració de prats i pastures</t>
        </is>
      </c>
      <c r="J83" s="12" t="n">
        <v>0</v>
      </c>
      <c r="K83" s="13" t="n">
        <v>0.25</v>
      </c>
      <c r="L83" s="11" t="inlineStr">
        <is>
          <t>Actuació a realitzar amb servei de manteniment FC</t>
        </is>
      </c>
      <c r="M83" s="11" t="inlineStr">
        <is>
          <t>Nil Bacardit Tudela</t>
        </is>
      </c>
      <c r="N83" s="11" t="inlineStr">
        <is>
          <t>Si</t>
        </is>
      </c>
      <c r="O83" s="15">
        <f>IF(COUNTIF(Objectius!$A$2:$A$183,D83)&gt;0,"Sí","No")</f>
        <v/>
      </c>
    </row>
    <row r="84">
      <c r="A84" s="11" t="inlineStr">
        <is>
          <t>26_CU_34</t>
        </is>
      </c>
      <c r="B84" s="11" t="inlineStr">
        <is>
          <t>104.2</t>
        </is>
      </c>
      <c r="C84" s="11" t="inlineStr">
        <is>
          <t>Divulgar i donar a conèixer les races locals de bestiar del Parc a través de diferents mitjans - Disseny, maquetació i impressió d’un plafó divulgatiu i d’un díptic informatiu sobre la mostra d’ovella xisqueta i el concurs nacional morfològic de la fira de tardor de Sort.</t>
        </is>
      </c>
      <c r="D84" s="11" t="inlineStr">
        <is>
          <t>04.3.4</t>
        </is>
      </c>
      <c r="E84" s="11" t="inlineStr"/>
      <c r="F84" s="11" t="inlineStr">
        <is>
          <t>2. Cultura</t>
        </is>
      </c>
      <c r="G84" s="11" t="inlineStr">
        <is>
          <t>Contracte menor a càrrec del RAE</t>
        </is>
      </c>
      <c r="H84" s="11" t="inlineStr">
        <is>
          <t>240.0001 - Despeses de publicacions</t>
        </is>
      </c>
      <c r="I84" s="11" t="inlineStr">
        <is>
          <t>2.4 Mesures de manteniment i restauració de prats i pastures</t>
        </is>
      </c>
      <c r="J84" s="12" t="n">
        <v>1911.8</v>
      </c>
      <c r="K84" s="13" t="n">
        <v>0.5</v>
      </c>
      <c r="L84" s="11" t="inlineStr"/>
      <c r="M84" s="11" t="inlineStr">
        <is>
          <t>Pol Alcalde Floriach</t>
        </is>
      </c>
      <c r="N84" s="11" t="inlineStr">
        <is>
          <t>No</t>
        </is>
      </c>
      <c r="O84" s="15">
        <f>IF(COUNTIF(Objectius!$A$2:$A$183,D84)&gt;0,"Sí","No")</f>
        <v/>
      </c>
    </row>
    <row r="85">
      <c r="A85" s="11" t="inlineStr">
        <is>
          <t>26_CU_35</t>
        </is>
      </c>
      <c r="B85" s="11" t="n">
        <v>83</v>
      </c>
      <c r="C85" s="11" t="inlineStr">
        <is>
          <t>Fomentar i divulgar les activitats de guiatge interpretatiu i educatives i xerrades que incorporen el patrimoni cultural, especialment el reconegut per la UNESCO: Realització d'activitats culturals escenificades en esdeveniments al Parc Natural de l'Alt pirineu per l'any 2026</t>
        </is>
      </c>
      <c r="D85" s="11" t="inlineStr">
        <is>
          <t>04.4.2</t>
        </is>
      </c>
      <c r="E85" s="11" t="inlineStr"/>
      <c r="F85" s="11" t="inlineStr">
        <is>
          <t>2. Cultura</t>
        </is>
      </c>
      <c r="G85" s="11" t="inlineStr">
        <is>
          <t>Contracte menor a càrrec del RAE</t>
        </is>
      </c>
      <c r="H85" s="11" t="inlineStr">
        <is>
          <t>227.0089 - Altres treballs realitzats per persones físiques o jurídiques</t>
        </is>
      </c>
      <c r="I85" s="11" t="inlineStr">
        <is>
          <t>1.5 Mesures de comunicació i sensibilització, educació i accés de visitants relacionades amb Natura 2000</t>
        </is>
      </c>
      <c r="J85" s="12" t="n">
        <v>4730</v>
      </c>
      <c r="K85" s="13" t="n">
        <v>0.25</v>
      </c>
      <c r="L85" s="11" t="inlineStr"/>
      <c r="M85" s="11" t="inlineStr">
        <is>
          <t>Moises Villanueva Coello</t>
        </is>
      </c>
      <c r="N85" s="11" t="inlineStr">
        <is>
          <t>No</t>
        </is>
      </c>
      <c r="O85" s="15">
        <f>IF(COUNTIF(Objectius!$A$2:$A$183,D85)&gt;0,"Sí","No")</f>
        <v/>
      </c>
    </row>
    <row r="86">
      <c r="A86" s="11" t="inlineStr">
        <is>
          <t>26_CU_36</t>
        </is>
      </c>
      <c r="B86" s="11" t="n">
        <v>162</v>
      </c>
      <c r="C86" s="11" t="inlineStr">
        <is>
          <t>Fomentar i divulgar les activitats de guiatge interpretatiu i educatives i xerrades que incorporen el patrimoni cultural, especialment el reconegut per la UNESCO - revisió hotel d'insectes</t>
        </is>
      </c>
      <c r="D86" s="11" t="inlineStr">
        <is>
          <t>04.4.2</t>
        </is>
      </c>
      <c r="E86" s="11" t="inlineStr"/>
      <c r="F86" s="11" t="inlineStr">
        <is>
          <t>2. Cultura</t>
        </is>
      </c>
      <c r="G86" s="11" t="inlineStr">
        <is>
          <t>Contracte menor a càrrec del RAE</t>
        </is>
      </c>
      <c r="H86" s="11" t="inlineStr">
        <is>
          <t>227.0089 - Altres treballs realitzats per persones físiques o jurídiques</t>
        </is>
      </c>
      <c r="I86" s="11" t="inlineStr">
        <is>
          <t>1.5 Mesures de comunicació i sensibilització, educació i accés de visitants relacionades amb Natura 2000</t>
        </is>
      </c>
      <c r="J86" s="12" t="n">
        <v>790.5</v>
      </c>
      <c r="K86" s="13" t="n">
        <v>0.25</v>
      </c>
      <c r="L86" s="11" t="inlineStr"/>
      <c r="M86" s="11" t="inlineStr">
        <is>
          <t>Moises Villanueva Coello</t>
        </is>
      </c>
      <c r="N86" s="11" t="inlineStr">
        <is>
          <t>No</t>
        </is>
      </c>
      <c r="O86" s="15">
        <f>IF(COUNTIF(Objectius!$A$2:$A$183,D86)&gt;0,"Sí","No")</f>
        <v/>
      </c>
    </row>
    <row r="87">
      <c r="A87" s="11" t="inlineStr">
        <is>
          <t>26_CU_37</t>
        </is>
      </c>
      <c r="B87" s="11" t="n">
        <v>84</v>
      </c>
      <c r="C87" s="11" t="inlineStr">
        <is>
          <t>Realització de murals de divulgació dels valors naturals i culturals del Parc en parets d’elements paisatgístics degradats - mural de Rialp</t>
        </is>
      </c>
      <c r="D87" s="11" t="inlineStr">
        <is>
          <t>05.2.1</t>
        </is>
      </c>
      <c r="E87" s="11" t="inlineStr"/>
      <c r="F87" s="11" t="inlineStr">
        <is>
          <t>2. Cultura</t>
        </is>
      </c>
      <c r="G87" s="11" t="inlineStr">
        <is>
          <t>Contracte menor a càrrec del RAE</t>
        </is>
      </c>
      <c r="H87" s="11" t="inlineStr">
        <is>
          <t>227.0089 - Altres treballs realitzats per persones físiques o jurídiques</t>
        </is>
      </c>
      <c r="I87" s="11" t="inlineStr">
        <is>
          <t>Altres</t>
        </is>
      </c>
      <c r="J87" s="12" t="n">
        <v>5500</v>
      </c>
      <c r="K87" s="13" t="n">
        <v>0.25</v>
      </c>
      <c r="L87" s="11" t="inlineStr"/>
      <c r="M87" s="11" t="inlineStr">
        <is>
          <t>Marc Garriga Lujan</t>
        </is>
      </c>
      <c r="N87" s="11" t="inlineStr">
        <is>
          <t>No</t>
        </is>
      </c>
      <c r="O87" s="15">
        <f>IF(COUNTIF(Objectius!$A$2:$A$183,D87)&gt;0,"Sí","No")</f>
        <v/>
      </c>
    </row>
    <row r="88">
      <c r="A88" s="11" t="inlineStr">
        <is>
          <t>26_CU_38</t>
        </is>
      </c>
      <c r="B88" s="11" t="inlineStr"/>
      <c r="C88" s="11" t="inlineStr">
        <is>
          <t>Restauració del paisatge a través de l'eliminació d'infrasstructures obsoletes via servei de manteniment, voluntariat o ajuts</t>
        </is>
      </c>
      <c r="D88" s="11" t="inlineStr">
        <is>
          <t>05.2.2</t>
        </is>
      </c>
      <c r="E88" s="11" t="inlineStr"/>
      <c r="F88" s="11" t="inlineStr">
        <is>
          <t>2. Cultura</t>
        </is>
      </c>
      <c r="G88" s="11" t="inlineStr">
        <is>
          <t>Encomana Forestal Catalana</t>
        </is>
      </c>
      <c r="H88" s="11" t="inlineStr"/>
      <c r="I88" s="11" t="inlineStr">
        <is>
          <t>Altres</t>
        </is>
      </c>
      <c r="J88" s="12" t="n">
        <v>0</v>
      </c>
      <c r="K88" s="13" t="n">
        <v>0.25</v>
      </c>
      <c r="L88" s="11" t="inlineStr">
        <is>
          <t>Actuació a realitzar amb servei de manteniment FC</t>
        </is>
      </c>
      <c r="M88" s="11" t="inlineStr">
        <is>
          <t>Nil Bacardit Tudela</t>
        </is>
      </c>
      <c r="N88" s="11" t="inlineStr">
        <is>
          <t>Si</t>
        </is>
      </c>
      <c r="O88" s="15">
        <f>IF(COUNTIF(Objectius!$A$2:$A$183,D88)&gt;0,"Sí","No")</f>
        <v/>
      </c>
    </row>
    <row r="89">
      <c r="A89" s="11" t="inlineStr">
        <is>
          <t>26_CU_39</t>
        </is>
      </c>
      <c r="B89" s="11" t="inlineStr"/>
      <c r="C89" s="11" t="inlineStr">
        <is>
          <t>Tramitar i retirar vehicles abandonats a l'interior del Parc</t>
        </is>
      </c>
      <c r="D89" s="11" t="inlineStr">
        <is>
          <t>05.2.2</t>
        </is>
      </c>
      <c r="E89" s="11" t="inlineStr"/>
      <c r="F89" s="11" t="inlineStr">
        <is>
          <t>2. Cultura</t>
        </is>
      </c>
      <c r="G89" s="11" t="inlineStr">
        <is>
          <t>Encomana Forestal Catalana</t>
        </is>
      </c>
      <c r="H89" s="11" t="inlineStr"/>
      <c r="I89" s="11" t="inlineStr">
        <is>
          <t>Altres</t>
        </is>
      </c>
      <c r="J89" s="12" t="n">
        <v>0</v>
      </c>
      <c r="K89" s="13" t="n">
        <v>0.25</v>
      </c>
      <c r="L89" s="11" t="inlineStr">
        <is>
          <t>Actuació a realitzar amb servei de manteniment FC</t>
        </is>
      </c>
      <c r="M89" s="11" t="inlineStr">
        <is>
          <t>Nil Bacardit Tudela</t>
        </is>
      </c>
      <c r="N89" s="11" t="inlineStr">
        <is>
          <t>Si</t>
        </is>
      </c>
      <c r="O89" s="15">
        <f>IF(COUNTIF(Objectius!$A$2:$A$183,D89)&gt;0,"Sí","No")</f>
        <v/>
      </c>
    </row>
    <row r="90">
      <c r="A90" s="11" t="inlineStr">
        <is>
          <t>26_CU_40</t>
        </is>
      </c>
      <c r="B90" s="11" t="inlineStr"/>
      <c r="C90" s="11" t="inlineStr">
        <is>
          <t>Retirar deixalles acumulades a l'interior del Parc a través del servei de manteniment, prioritzant els espais més freqüentats i integrar-ho als plans periòdics de manteniment de la brigada</t>
        </is>
      </c>
      <c r="D90" s="11" t="inlineStr">
        <is>
          <t>05.2.3</t>
        </is>
      </c>
      <c r="E90" s="11" t="inlineStr"/>
      <c r="F90" s="11" t="inlineStr">
        <is>
          <t>2. Cultura</t>
        </is>
      </c>
      <c r="G90" s="11" t="inlineStr">
        <is>
          <t>Encomana Forestal Catalana</t>
        </is>
      </c>
      <c r="H90" s="11" t="inlineStr"/>
      <c r="I90" s="11" t="inlineStr">
        <is>
          <t>Altres</t>
        </is>
      </c>
      <c r="J90" s="12" t="n">
        <v>0</v>
      </c>
      <c r="K90" s="13" t="n">
        <v>0.25</v>
      </c>
      <c r="L90" s="11" t="inlineStr">
        <is>
          <t>Actuació a realitzar amb servei de manteniment FC</t>
        </is>
      </c>
      <c r="M90" s="11" t="inlineStr">
        <is>
          <t>Nil Bacardit Tudela</t>
        </is>
      </c>
      <c r="N90" s="11" t="inlineStr">
        <is>
          <t>Si</t>
        </is>
      </c>
      <c r="O90" s="15">
        <f>IF(COUNTIF(Objectius!$A$2:$A$183,D90)&gt;0,"Sí","No")</f>
        <v/>
      </c>
    </row>
    <row r="91">
      <c r="A91" s="11" t="inlineStr">
        <is>
          <t>26_CU_41</t>
        </is>
      </c>
      <c r="B91" s="11" t="n">
        <v>160</v>
      </c>
      <c r="C91" s="11" t="inlineStr">
        <is>
          <t>Donar suport a activitats de voluntariat de retirada de deialles - Organització del projecte Mountain Calling</t>
        </is>
      </c>
      <c r="D91" s="11" t="inlineStr">
        <is>
          <t>05.2.3</t>
        </is>
      </c>
      <c r="E91" s="11" t="inlineStr"/>
      <c r="F91" s="11" t="inlineStr">
        <is>
          <t>2. Cultura</t>
        </is>
      </c>
      <c r="G91" s="11" t="inlineStr">
        <is>
          <t>Contracte menor a càrrec del RAE</t>
        </is>
      </c>
      <c r="H91" s="11" t="inlineStr">
        <is>
          <t>227.0089 - Altres treballs realitzats per persones físiques o jurídiques</t>
        </is>
      </c>
      <c r="I91" s="11" t="inlineStr">
        <is>
          <t>2.4 Mesures de manteniment i restauració de prats i pastures</t>
        </is>
      </c>
      <c r="J91" s="12" t="n">
        <v>2500</v>
      </c>
      <c r="K91" s="13" t="n">
        <v>0.25</v>
      </c>
      <c r="L91" s="11" t="inlineStr"/>
      <c r="M91" s="11" t="inlineStr">
        <is>
          <t>Moises Villanueva Coello</t>
        </is>
      </c>
      <c r="N91" s="11" t="inlineStr">
        <is>
          <t>Si</t>
        </is>
      </c>
      <c r="O91" s="15">
        <f>IF(COUNTIF(Objectius!$A$2:$A$183,D91)&gt;0,"Sí","No")</f>
        <v/>
      </c>
    </row>
    <row r="92">
      <c r="A92" s="11" t="inlineStr">
        <is>
          <t>26_CU_42</t>
        </is>
      </c>
      <c r="B92" s="11" t="n">
        <v>159</v>
      </c>
      <c r="C92" s="11" t="inlineStr">
        <is>
          <t>Donar suport a activitats de voluntariat de retirada de deialles - Organització del projecte Iniciativa Rius</t>
        </is>
      </c>
      <c r="D92" s="11" t="inlineStr">
        <is>
          <t>05.2.3</t>
        </is>
      </c>
      <c r="E92" s="11" t="inlineStr"/>
      <c r="F92" s="11" t="inlineStr">
        <is>
          <t>2. Cultura</t>
        </is>
      </c>
      <c r="G92" s="11" t="inlineStr">
        <is>
          <t>Contracte menor a càrrec del RAE</t>
        </is>
      </c>
      <c r="H92" s="11" t="inlineStr">
        <is>
          <t>227.0089 - Altres treballs realitzats per persones físiques o jurídiques</t>
        </is>
      </c>
      <c r="I92" s="11" t="inlineStr">
        <is>
          <t>2.8 Mesures de manteniment i restauració d'hàbitats d'aigua dolça (rius, llacs i zones humides no litorals)</t>
        </is>
      </c>
      <c r="J92" s="12" t="n">
        <v>14500</v>
      </c>
      <c r="K92" s="13" t="n">
        <v>0.25</v>
      </c>
      <c r="L92" s="11" t="inlineStr"/>
      <c r="M92" s="11" t="inlineStr">
        <is>
          <t>Moises Villanueva Coello</t>
        </is>
      </c>
      <c r="N92" s="11" t="inlineStr">
        <is>
          <t>Si</t>
        </is>
      </c>
      <c r="O92" s="15">
        <f>IF(COUNTIF(Objectius!$A$2:$A$183,D92)&gt;0,"Sí","No")</f>
        <v/>
      </c>
    </row>
    <row r="93">
      <c r="A93" s="11" t="inlineStr">
        <is>
          <t>26_CU_43</t>
        </is>
      </c>
      <c r="B93" s="11" t="inlineStr"/>
      <c r="C93" s="11" t="inlineStr">
        <is>
          <t>Fomentar el reciclatge i la minimització de generació de residus a les empreses i equipaments del Parc a través de la seva acreditació per la CETS (Fase 2)</t>
        </is>
      </c>
      <c r="D93" s="11" t="inlineStr">
        <is>
          <t>05.2.3</t>
        </is>
      </c>
      <c r="E93" s="11" t="inlineStr"/>
      <c r="F93" s="11" t="inlineStr">
        <is>
          <t>2. Cultura</t>
        </is>
      </c>
      <c r="G93" s="11" t="inlineStr">
        <is>
          <t>Altres</t>
        </is>
      </c>
      <c r="H93" s="11" t="inlineStr"/>
      <c r="I93" s="11" t="inlineStr">
        <is>
          <t>Altres</t>
        </is>
      </c>
      <c r="J93" s="12" t="n">
        <v>0</v>
      </c>
      <c r="K93" s="13" t="n"/>
      <c r="L93" s="11" t="inlineStr">
        <is>
          <t>A realitzar amb mitjans propis i com a aprt secretaria cETS</t>
        </is>
      </c>
      <c r="M93" s="11" t="inlineStr">
        <is>
          <t>Nuria Canals Sangra</t>
        </is>
      </c>
      <c r="N93" s="11" t="inlineStr">
        <is>
          <t>Si</t>
        </is>
      </c>
      <c r="O93" s="15">
        <f>IF(COUNTIF(Objectius!$A$2:$A$183,D93)&gt;0,"Sí","No")</f>
        <v/>
      </c>
    </row>
    <row r="94">
      <c r="A94" s="11" t="inlineStr">
        <is>
          <t>26_CU_44</t>
        </is>
      </c>
      <c r="B94" s="11" t="inlineStr"/>
      <c r="C94" s="11" t="inlineStr">
        <is>
          <t>Implementar les accions previstes al projecte POCTEFA Pyre neit per l’àmbit del Parc - Diagnosi dels fluxos migratoris d’insectes al Pirineu i els efectes de la contaminació lumínica al Parc</t>
        </is>
      </c>
      <c r="D94" s="11" t="inlineStr">
        <is>
          <t>05.3.1</t>
        </is>
      </c>
      <c r="E94" s="11" t="inlineStr"/>
      <c r="F94" s="11" t="inlineStr">
        <is>
          <t>2. Cultura</t>
        </is>
      </c>
      <c r="G94" s="11" t="inlineStr">
        <is>
          <t>Contracte menor des de la DG</t>
        </is>
      </c>
      <c r="H94" s="11" t="inlineStr"/>
      <c r="I94" s="11" t="inlineStr">
        <is>
          <t>1.4 Buits de coneixement i necessitats de recerca</t>
        </is>
      </c>
      <c r="J94" s="12" t="n">
        <v>15013.15</v>
      </c>
      <c r="K94" s="13" t="n">
        <v>0.2</v>
      </c>
      <c r="L94" s="11" t="inlineStr"/>
      <c r="M94" s="11" t="inlineStr">
        <is>
          <t>Mariona Martinez Salvador</t>
        </is>
      </c>
      <c r="N94" s="11" t="inlineStr">
        <is>
          <t>No</t>
        </is>
      </c>
      <c r="O94" s="15">
        <f>IF(COUNTIF(Objectius!$A$2:$A$183,D94)&gt;0,"Sí","No")</f>
        <v/>
      </c>
    </row>
    <row r="95">
      <c r="A95" s="11" t="inlineStr">
        <is>
          <t>26_CU_45</t>
        </is>
      </c>
      <c r="B95" s="11" t="inlineStr"/>
      <c r="C95" s="11" t="inlineStr">
        <is>
          <t>Implementar les accions previstes al projecte POCTEFA Pyre neit per l’àmbit del Parc - Accions de coordinació i seguiment</t>
        </is>
      </c>
      <c r="D95" s="11" t="inlineStr">
        <is>
          <t>05.3.1</t>
        </is>
      </c>
      <c r="E95" s="11" t="inlineStr"/>
      <c r="F95" s="11" t="inlineStr">
        <is>
          <t>2. Cultura</t>
        </is>
      </c>
      <c r="G95" s="11" t="inlineStr">
        <is>
          <t>Altres</t>
        </is>
      </c>
      <c r="H95" s="11" t="inlineStr"/>
      <c r="I95" s="11" t="inlineStr">
        <is>
          <t>1.1 Planificació de la gestió i designació del lloc</t>
        </is>
      </c>
      <c r="J95" s="12" t="n">
        <v>0</v>
      </c>
      <c r="K95" s="13" t="n">
        <v>0.2</v>
      </c>
      <c r="L95" s="11" t="inlineStr">
        <is>
          <t>A realitzar amb mitjans propis i nova plaça contractada per al projecte</t>
        </is>
      </c>
      <c r="M95" s="11" t="inlineStr">
        <is>
          <t>Mariona Martinez Salvador</t>
        </is>
      </c>
      <c r="N95" s="11" t="inlineStr">
        <is>
          <t>No</t>
        </is>
      </c>
      <c r="O95" s="15">
        <f>IF(COUNTIF(Objectius!$A$2:$A$183,D95)&gt;0,"Sí","No")</f>
        <v/>
      </c>
    </row>
    <row r="96">
      <c r="A96" s="11" t="inlineStr">
        <is>
          <t>26_CU_46</t>
        </is>
      </c>
      <c r="B96" s="11" t="inlineStr"/>
      <c r="C96" s="11" t="inlineStr">
        <is>
          <t>Impulsar i obtenir una certificació de qualitat del cel nocturn internacional (Starlight, Darksky,..)</t>
        </is>
      </c>
      <c r="D96" s="11" t="inlineStr">
        <is>
          <t>05.3.1</t>
        </is>
      </c>
      <c r="E96" s="11" t="inlineStr"/>
      <c r="F96" s="11" t="inlineStr">
        <is>
          <t>2. Cultura</t>
        </is>
      </c>
      <c r="G96" s="11" t="inlineStr">
        <is>
          <t>Altres</t>
        </is>
      </c>
      <c r="H96" s="11" t="inlineStr"/>
      <c r="I96" s="11" t="inlineStr">
        <is>
          <t>1.1 Planificació de la gestió i designació del lloc</t>
        </is>
      </c>
      <c r="J96" s="12" t="n">
        <v>0</v>
      </c>
      <c r="K96" s="13" t="n">
        <v>0.2</v>
      </c>
      <c r="L96" s="11" t="inlineStr">
        <is>
          <t>A realitzar amb mitjans propis i nova plaça contractada per al projecte</t>
        </is>
      </c>
      <c r="M96" s="11" t="inlineStr">
        <is>
          <t>Mariona Martinez Salvador</t>
        </is>
      </c>
      <c r="N96" s="11" t="inlineStr">
        <is>
          <t>No</t>
        </is>
      </c>
      <c r="O96" s="15">
        <f>IF(COUNTIF(Objectius!$A$2:$A$183,D96)&gt;0,"Sí","No")</f>
        <v/>
      </c>
    </row>
    <row r="97">
      <c r="A97" s="11" t="inlineStr">
        <is>
          <t>26_CU_47</t>
        </is>
      </c>
      <c r="B97" s="11" t="n">
        <v>85</v>
      </c>
      <c r="C97" s="11" t="inlineStr">
        <is>
          <t>Realitzar activitats divulgatives i educatives de la importància de conservar la qualitat del cel nocturn i reduir la contaminació lumínica - activitats d’astronomia en jornades i fires durant l’any 2026.</t>
        </is>
      </c>
      <c r="D97" s="11" t="inlineStr">
        <is>
          <t>05.3.1</t>
        </is>
      </c>
      <c r="E97" s="11" t="inlineStr"/>
      <c r="F97" s="11" t="inlineStr">
        <is>
          <t>2. Cultura</t>
        </is>
      </c>
      <c r="G97" s="11" t="inlineStr">
        <is>
          <t>Contracte menor a càrrec del RAE</t>
        </is>
      </c>
      <c r="H97" s="11" t="inlineStr">
        <is>
          <t>227.0089 - Altres treballs realitzats per persones físiques o jurídiques</t>
        </is>
      </c>
      <c r="I97" s="11" t="inlineStr">
        <is>
          <t>1.5 Mesures de comunicació i sensibilització, educació i accés de visitants relacionades amb Natura 2000</t>
        </is>
      </c>
      <c r="J97" s="12" t="n">
        <v>1887.6</v>
      </c>
      <c r="K97" s="13" t="n">
        <v>0.25</v>
      </c>
      <c r="L97" s="11" t="inlineStr"/>
      <c r="M97" s="11" t="inlineStr">
        <is>
          <t>Pol Alcalde Floriach</t>
        </is>
      </c>
      <c r="N97" s="11" t="inlineStr">
        <is>
          <t>Si</t>
        </is>
      </c>
      <c r="O97" s="15">
        <f>IF(COUNTIF(Objectius!$A$2:$A$183,D97)&gt;0,"Sí","No")</f>
        <v/>
      </c>
    </row>
    <row r="98">
      <c r="A98" s="11" t="inlineStr">
        <is>
          <t>26_CO_01</t>
        </is>
      </c>
      <c r="B98" s="11" t="inlineStr"/>
      <c r="C98" s="11" t="inlineStr">
        <is>
          <t>Participació en la definició dels objectes de conservació clau (hàbitats, espècies, processos i elements d’interès geològic) comuns a nivell de Xarxa d'ENP o clúster territorial amb el suport de la Comissió Científica</t>
        </is>
      </c>
      <c r="D98" s="11" t="inlineStr">
        <is>
          <t>06.1.1</t>
        </is>
      </c>
      <c r="E98" s="11" t="inlineStr"/>
      <c r="F98" s="11" t="inlineStr">
        <is>
          <t>3. Coneixement</t>
        </is>
      </c>
      <c r="G98" s="11" t="inlineStr">
        <is>
          <t>Altres</t>
        </is>
      </c>
      <c r="H98" s="11" t="inlineStr"/>
      <c r="I98" s="11" t="inlineStr">
        <is>
          <t>1.1 Planificació de la gestió i designació del lloc</t>
        </is>
      </c>
      <c r="J98" s="12" t="n">
        <v>0</v>
      </c>
      <c r="K98" s="13" t="n">
        <v>0.25</v>
      </c>
      <c r="L98" s="11" t="inlineStr">
        <is>
          <t>A realitzar amb mitjans propis</t>
        </is>
      </c>
      <c r="M98" s="11" t="inlineStr">
        <is>
          <t>Marc Garriga Lujan</t>
        </is>
      </c>
      <c r="N98" s="11" t="inlineStr">
        <is>
          <t>Si</t>
        </is>
      </c>
      <c r="O98" s="15">
        <f>IF(COUNTIF(Objectius!$A$2:$A$183,D98)&gt;0,"Sí","No")</f>
        <v/>
      </c>
    </row>
    <row r="99">
      <c r="A99" s="11" t="inlineStr">
        <is>
          <t>26_CO_02</t>
        </is>
      </c>
      <c r="B99" s="11" t="inlineStr"/>
      <c r="C99" s="11" t="inlineStr">
        <is>
          <t>Col·laboració amb la UIC per mantenir actualitzada la cartografia dels elements de conservació del Parc</t>
        </is>
      </c>
      <c r="D99" s="11" t="inlineStr">
        <is>
          <t>06.2.1</t>
        </is>
      </c>
      <c r="E99" s="11" t="inlineStr"/>
      <c r="F99" s="11" t="inlineStr">
        <is>
          <t>3. Coneixement</t>
        </is>
      </c>
      <c r="G99" s="11" t="inlineStr">
        <is>
          <t>Altres</t>
        </is>
      </c>
      <c r="H99" s="11" t="inlineStr"/>
      <c r="I99" s="11" t="inlineStr">
        <is>
          <t>1.1 Planificació de la gestió i designació del lloc</t>
        </is>
      </c>
      <c r="J99" s="12" t="n">
        <v>0</v>
      </c>
      <c r="K99" s="13" t="n">
        <v>0.25</v>
      </c>
      <c r="L99" s="11" t="inlineStr">
        <is>
          <t>A realitzar amb mitjans propis</t>
        </is>
      </c>
      <c r="M99" s="11" t="inlineStr">
        <is>
          <t>Mariona Martinez Salvador</t>
        </is>
      </c>
      <c r="N99" s="11" t="inlineStr">
        <is>
          <t>Si</t>
        </is>
      </c>
      <c r="O99" s="15">
        <f>IF(COUNTIF(Objectius!$A$2:$A$183,D99)&gt;0,"Sí","No")</f>
        <v/>
      </c>
    </row>
    <row r="100">
      <c r="A100" s="11" t="inlineStr">
        <is>
          <t>26_CO_03</t>
        </is>
      </c>
      <c r="B100" s="11" t="n">
        <v>122</v>
      </c>
      <c r="C100" s="11" t="inlineStr">
        <is>
          <t>Foment de l'estudi de l'afectació de determinats processos naturals o activitats antròpiques en l’ENP. Seguiment de l'estat i productivitat de les pastures amb seguiment remot (NDVI)</t>
        </is>
      </c>
      <c r="D100" s="11" t="inlineStr">
        <is>
          <t>06.2.3</t>
        </is>
      </c>
      <c r="E100" s="11" t="inlineStr"/>
      <c r="F100" s="11" t="inlineStr">
        <is>
          <t>3. Coneixement</t>
        </is>
      </c>
      <c r="G100" s="11" t="inlineStr">
        <is>
          <t>Contracte menor a càrrec del RAE</t>
        </is>
      </c>
      <c r="H100" s="11" t="inlineStr">
        <is>
          <t>227.0013 - Treballs tècnics</t>
        </is>
      </c>
      <c r="I100" s="11" t="inlineStr">
        <is>
          <t>1.4 Buits de coneixement i necessitats de recerca</t>
        </is>
      </c>
      <c r="J100" s="12" t="n">
        <v>18000</v>
      </c>
      <c r="K100" s="13" t="n">
        <v>0.1</v>
      </c>
      <c r="L100" s="11" t="inlineStr"/>
      <c r="M100" s="11" t="inlineStr">
        <is>
          <t>Josep Pique Palacin</t>
        </is>
      </c>
      <c r="N100" s="11" t="inlineStr">
        <is>
          <t>No</t>
        </is>
      </c>
      <c r="O100" s="15">
        <f>IF(COUNTIF(Objectius!$A$2:$A$183,D100)&gt;0,"Sí","No")</f>
        <v/>
      </c>
    </row>
    <row r="101">
      <c r="A101" s="11" t="inlineStr">
        <is>
          <t>26_CO_04</t>
        </is>
      </c>
      <c r="B101" s="11" t="n">
        <v>73</v>
      </c>
      <c r="C101" s="11" t="inlineStr">
        <is>
          <t>Foment de l'estudi de l'afectació de determinats processos naturals o activitats antròpiques en l’ENP. Diagnosi de l'ús i impacte dels fàrmacs utilitzats en ramaderia extensiva sobre la biodiversitat</t>
        </is>
      </c>
      <c r="D101" s="11" t="inlineStr">
        <is>
          <t>06.2.3</t>
        </is>
      </c>
      <c r="E101" s="11" t="inlineStr">
        <is>
          <t>06.2.5</t>
        </is>
      </c>
      <c r="F101" s="11" t="inlineStr">
        <is>
          <t>3. Coneixement</t>
        </is>
      </c>
      <c r="G101" s="11" t="inlineStr">
        <is>
          <t>Contracte menor a càrrec del RAE</t>
        </is>
      </c>
      <c r="H101" s="11" t="inlineStr">
        <is>
          <t>227.0013 - Treballs tècnics</t>
        </is>
      </c>
      <c r="I101" s="11" t="inlineStr">
        <is>
          <t>1.4 Buits de coneixement i necessitats de recerca</t>
        </is>
      </c>
      <c r="J101" s="12" t="n">
        <v>18000</v>
      </c>
      <c r="K101" s="13" t="n">
        <v>0.1</v>
      </c>
      <c r="L101" s="11" t="inlineStr"/>
      <c r="M101" s="11" t="inlineStr">
        <is>
          <t>Josep Pique Palacin</t>
        </is>
      </c>
      <c r="N101" s="11" t="inlineStr">
        <is>
          <t>No</t>
        </is>
      </c>
      <c r="O101" s="15">
        <f>IF(COUNTIF(Objectius!$A$2:$A$183,D101)&gt;0,"Sí","No")</f>
        <v/>
      </c>
    </row>
    <row r="102">
      <c r="A102" s="11" t="inlineStr">
        <is>
          <t>26_CO_05</t>
        </is>
      </c>
      <c r="B102" s="11" t="inlineStr"/>
      <c r="C102" s="11" t="inlineStr">
        <is>
          <t>Avaluació de l'impacte del canvi climàtic i les activitas antròpiques en l'ENP i la seva capacitat d'adaptació i resiliència, a través de projectes específics (Integradapta,REPICA,..). Seguiment dels efectes de la pastura sobre les comunitats de lepidòpters.</t>
        </is>
      </c>
      <c r="D102" s="11" t="inlineStr">
        <is>
          <t>06.2.3</t>
        </is>
      </c>
      <c r="E102" s="11" t="inlineStr">
        <is>
          <t>06.1.1</t>
        </is>
      </c>
      <c r="F102" s="11" t="inlineStr">
        <is>
          <t>3. Coneixement</t>
        </is>
      </c>
      <c r="G102" s="11" t="inlineStr">
        <is>
          <t>Contracte menor des de la DG</t>
        </is>
      </c>
      <c r="H102" s="11" t="inlineStr"/>
      <c r="I102" s="11" t="inlineStr">
        <is>
          <t>1.4 Buits de coneixement i necessitats de recerca</t>
        </is>
      </c>
      <c r="J102" s="12" t="n">
        <v>18000</v>
      </c>
      <c r="K102" s="13" t="n">
        <v>0.1</v>
      </c>
      <c r="L102" s="11" t="inlineStr"/>
      <c r="M102" s="11" t="inlineStr">
        <is>
          <t>Josep Pique Palacin</t>
        </is>
      </c>
      <c r="N102" s="11" t="inlineStr">
        <is>
          <t>No</t>
        </is>
      </c>
      <c r="O102" s="15">
        <f>IF(COUNTIF(Objectius!$A$2:$A$183,D102)&gt;0,"Sí","No")</f>
        <v/>
      </c>
    </row>
    <row r="103">
      <c r="A103" s="11" t="inlineStr">
        <is>
          <t>26_CO_06</t>
        </is>
      </c>
      <c r="B103" s="11" t="inlineStr"/>
      <c r="C103" s="11" t="inlineStr">
        <is>
          <t>Reforç i estabilització de la xarxa de voluntariat per a determinats seguiments de biodiversitat a través de les associacions vinculades al Parc</t>
        </is>
      </c>
      <c r="D103" s="11" t="inlineStr">
        <is>
          <t>06.3.2</t>
        </is>
      </c>
      <c r="E103" s="11" t="inlineStr"/>
      <c r="F103" s="11" t="inlineStr">
        <is>
          <t>3. Coneixement</t>
        </is>
      </c>
      <c r="G103" s="11" t="inlineStr">
        <is>
          <t>Altres</t>
        </is>
      </c>
      <c r="H103" s="11" t="inlineStr"/>
      <c r="I103" s="11" t="inlineStr">
        <is>
          <t>1.2 Administració del lloc i comunicació amb les parts interessades</t>
        </is>
      </c>
      <c r="J103" s="12" t="n">
        <v>0</v>
      </c>
      <c r="K103" s="13" t="n">
        <v>0.25</v>
      </c>
      <c r="L103" s="11" t="inlineStr">
        <is>
          <t>A realitzar amb mitjans propis</t>
        </is>
      </c>
      <c r="M103" s="11" t="inlineStr">
        <is>
          <t>Josep Pique Palacin</t>
        </is>
      </c>
      <c r="N103" s="11" t="inlineStr">
        <is>
          <t>Si</t>
        </is>
      </c>
      <c r="O103" s="15">
        <f>IF(COUNTIF(Objectius!$A$2:$A$183,D103)&gt;0,"Sí","No")</f>
        <v/>
      </c>
    </row>
    <row r="104">
      <c r="A104" s="11" t="inlineStr">
        <is>
          <t>26_CO_07</t>
        </is>
      </c>
      <c r="B104" s="11" t="n">
        <v>64</v>
      </c>
      <c r="C104" s="11" t="inlineStr">
        <is>
          <t>Contractació d’especialistes (anual o plurianual) per a seguiments específics del PSB. Seguiment de flora amenaçada</t>
        </is>
      </c>
      <c r="D104" s="11" t="inlineStr">
        <is>
          <t>06.3.2</t>
        </is>
      </c>
      <c r="E104" s="11" t="inlineStr"/>
      <c r="F104" s="11" t="inlineStr">
        <is>
          <t>3. Coneixement</t>
        </is>
      </c>
      <c r="G104" s="11" t="inlineStr">
        <is>
          <t>Contracte menor a càrrec del RAE</t>
        </is>
      </c>
      <c r="H104" s="11" t="inlineStr">
        <is>
          <t>227.0013 - Treballs tècnics</t>
        </is>
      </c>
      <c r="I104" s="11" t="inlineStr">
        <is>
          <t>1.3 Seguiment, vigilància i notificació</t>
        </is>
      </c>
      <c r="J104" s="12" t="n">
        <v>9800</v>
      </c>
      <c r="K104" s="13" t="n">
        <v>0.25</v>
      </c>
      <c r="L104" s="11" t="inlineStr">
        <is>
          <t>Cerinthe, Hippuris, Geranium, Epipogium, Hypericum, Mathiola, Alyssium</t>
        </is>
      </c>
      <c r="M104" s="11" t="inlineStr">
        <is>
          <t>Mariona Martinez Salvador</t>
        </is>
      </c>
      <c r="N104" s="11" t="inlineStr">
        <is>
          <t>Si</t>
        </is>
      </c>
      <c r="O104" s="15">
        <f>IF(COUNTIF(Objectius!$A$2:$A$183,D104)&gt;0,"Sí","No")</f>
        <v/>
      </c>
    </row>
    <row r="105">
      <c r="A105" s="11" t="inlineStr">
        <is>
          <t>26_CO_08</t>
        </is>
      </c>
      <c r="B105" s="11" t="n">
        <v>65</v>
      </c>
      <c r="C105" s="11" t="inlineStr">
        <is>
          <t>Contractació d’especialistes per a seguiments específics del PSB. Seguiment de lepidòpters.</t>
        </is>
      </c>
      <c r="D105" s="11" t="inlineStr">
        <is>
          <t>06.3.2</t>
        </is>
      </c>
      <c r="E105" s="11" t="inlineStr"/>
      <c r="F105" s="11" t="inlineStr">
        <is>
          <t>3. Coneixement</t>
        </is>
      </c>
      <c r="G105" s="11" t="inlineStr">
        <is>
          <t>Contracte menor a càrrec del RAE</t>
        </is>
      </c>
      <c r="H105" s="11" t="inlineStr">
        <is>
          <t>227.0013 - Treballs tècnics</t>
        </is>
      </c>
      <c r="I105" s="11" t="inlineStr">
        <is>
          <t>1.3 Seguiment, vigilància i notificació</t>
        </is>
      </c>
      <c r="J105" s="12" t="n">
        <v>6000</v>
      </c>
      <c r="K105" s="13" t="n">
        <v>0.25</v>
      </c>
      <c r="L105" s="11" t="inlineStr"/>
      <c r="M105" s="11" t="inlineStr">
        <is>
          <t>Mariona Martinez Salvador</t>
        </is>
      </c>
      <c r="N105" s="11" t="inlineStr">
        <is>
          <t>Si</t>
        </is>
      </c>
      <c r="O105" s="15">
        <f>IF(COUNTIF(Objectius!$A$2:$A$183,D105)&gt;0,"Sí","No")</f>
        <v/>
      </c>
    </row>
    <row r="106">
      <c r="A106" s="11" t="inlineStr">
        <is>
          <t>26_CO_09</t>
        </is>
      </c>
      <c r="B106" s="11" t="n">
        <v>145</v>
      </c>
      <c r="C106" s="11" t="inlineStr">
        <is>
          <t>Contractació d’especialistes (anual o plurianual) per a seguiments específics del PSB. Seguiment sargantana pallaresa</t>
        </is>
      </c>
      <c r="D106" s="11" t="inlineStr">
        <is>
          <t>06.3.2</t>
        </is>
      </c>
      <c r="E106" s="11" t="inlineStr"/>
      <c r="F106" s="11" t="inlineStr">
        <is>
          <t>3. Coneixement</t>
        </is>
      </c>
      <c r="G106" s="11" t="inlineStr">
        <is>
          <t>Contracte menor a càrrec del RAE</t>
        </is>
      </c>
      <c r="H106" s="11" t="inlineStr">
        <is>
          <t>227.0013 - Treballs tècnics</t>
        </is>
      </c>
      <c r="I106" s="11" t="inlineStr">
        <is>
          <t>1.3 Seguiment, vigilància i notificació</t>
        </is>
      </c>
      <c r="J106" s="12" t="n">
        <v>6000</v>
      </c>
      <c r="K106" s="13" t="n">
        <v>0.25</v>
      </c>
      <c r="L106" s="11" t="inlineStr"/>
      <c r="M106" s="11" t="inlineStr">
        <is>
          <t>Mariona Martinez Salvador</t>
        </is>
      </c>
      <c r="N106" s="11" t="inlineStr">
        <is>
          <t>Si</t>
        </is>
      </c>
      <c r="O106" s="15">
        <f>IF(COUNTIF(Objectius!$A$2:$A$183,D106)&gt;0,"Sí","No")</f>
        <v/>
      </c>
    </row>
    <row r="107">
      <c r="A107" s="11" t="inlineStr">
        <is>
          <t>26_CO_10</t>
        </is>
      </c>
      <c r="B107" s="11" t="inlineStr"/>
      <c r="C107" s="11" t="inlineStr">
        <is>
          <t>Aplicació del protocol establert de compartir informació per al seguiment global d’indicadors de l’estat de la natura, el seguiment dels pol·linitzadors silvestres, o altres</t>
        </is>
      </c>
      <c r="D107" s="11" t="inlineStr">
        <is>
          <t>06.3.2</t>
        </is>
      </c>
      <c r="E107" s="11" t="inlineStr"/>
      <c r="F107" s="11" t="inlineStr">
        <is>
          <t>3. Coneixement</t>
        </is>
      </c>
      <c r="G107" s="11" t="inlineStr">
        <is>
          <t>Altres</t>
        </is>
      </c>
      <c r="H107" s="11" t="inlineStr"/>
      <c r="I107" s="11" t="inlineStr">
        <is>
          <t>1.4 Buits de coneixement i necessitats de recerca</t>
        </is>
      </c>
      <c r="J107" s="12" t="n">
        <v>0</v>
      </c>
      <c r="K107" s="13" t="n"/>
      <c r="L107" s="11" t="inlineStr">
        <is>
          <t>mitjans propis</t>
        </is>
      </c>
      <c r="M107" s="11" t="inlineStr">
        <is>
          <t>Mariona Martinez Salvador</t>
        </is>
      </c>
      <c r="N107" s="11" t="inlineStr">
        <is>
          <t>Si</t>
        </is>
      </c>
      <c r="O107" s="15">
        <f>IF(COUNTIF(Objectius!$A$2:$A$183,D107)&gt;0,"Sí","No")</f>
        <v/>
      </c>
    </row>
    <row r="108">
      <c r="A108" s="11" t="inlineStr">
        <is>
          <t>26_CO_11</t>
        </is>
      </c>
      <c r="B108" s="11" t="n">
        <v>125</v>
      </c>
      <c r="C108" s="11" t="inlineStr">
        <is>
          <t>Mantenir i actualitzar la base de dades del programa de seguiment de la biodiversitat (PSB) del Parc. Adquisició d'aparells per seguiments del PSB</t>
        </is>
      </c>
      <c r="D108" s="11" t="inlineStr">
        <is>
          <t>06.3.3</t>
        </is>
      </c>
      <c r="E108" s="11" t="inlineStr"/>
      <c r="F108" s="11" t="inlineStr">
        <is>
          <t>3. Coneixement</t>
        </is>
      </c>
      <c r="G108" s="11" t="inlineStr">
        <is>
          <t>Contracte menor a càrrec del RAE</t>
        </is>
      </c>
      <c r="H108" s="11" t="inlineStr">
        <is>
          <t>640.0001 - Inversions en mobiliari i estris</t>
        </is>
      </c>
      <c r="I108" s="11" t="inlineStr">
        <is>
          <t>1.3 Seguiment, vigilància i notificació</t>
        </is>
      </c>
      <c r="J108" s="12" t="n">
        <v>4000</v>
      </c>
      <c r="K108" s="13" t="n">
        <v>0.5</v>
      </c>
      <c r="L108" s="11" t="inlineStr"/>
      <c r="M108" s="11" t="inlineStr">
        <is>
          <t>Josep Pique Palacin</t>
        </is>
      </c>
      <c r="N108" s="11" t="inlineStr">
        <is>
          <t>No</t>
        </is>
      </c>
      <c r="O108" s="15">
        <f>IF(COUNTIF(Objectius!$A$2:$A$183,D108)&gt;0,"Sí","No")</f>
        <v/>
      </c>
    </row>
    <row r="109">
      <c r="A109" s="11" t="inlineStr">
        <is>
          <t>26_CO_12</t>
        </is>
      </c>
      <c r="B109" s="11" t="n">
        <v>23</v>
      </c>
      <c r="C109" s="11" t="inlineStr">
        <is>
          <t>Mantenir i actualitzar la base de dades del programa de seguiment de la biodiversitat (PSB) del Parc. Adquisició de material fungible per seguiments del PSB</t>
        </is>
      </c>
      <c r="D109" s="11" t="inlineStr">
        <is>
          <t>06.3.3</t>
        </is>
      </c>
      <c r="E109" s="11" t="inlineStr"/>
      <c r="F109" s="11" t="inlineStr">
        <is>
          <t>3. Coneixement</t>
        </is>
      </c>
      <c r="G109" s="11" t="inlineStr">
        <is>
          <t>Contracte menor a càrrec del RAE</t>
        </is>
      </c>
      <c r="H109" s="11" t="inlineStr">
        <is>
          <t>221.0089 - Altres subministraments</t>
        </is>
      </c>
      <c r="I109" s="11" t="inlineStr">
        <is>
          <t>1.3 Seguiment, vigilància i notificació</t>
        </is>
      </c>
      <c r="J109" s="12" t="n">
        <v>600</v>
      </c>
      <c r="K109" s="13" t="n">
        <v>0.25</v>
      </c>
      <c r="L109" s="11" t="inlineStr"/>
      <c r="M109" s="11" t="inlineStr">
        <is>
          <t>Josep Pique Palacin</t>
        </is>
      </c>
      <c r="N109" s="11" t="inlineStr">
        <is>
          <t>No</t>
        </is>
      </c>
      <c r="O109" s="15">
        <f>IF(COUNTIF(Objectius!$A$2:$A$183,D109)&gt;0,"Sí","No")</f>
        <v/>
      </c>
    </row>
    <row r="110">
      <c r="A110" s="11" t="inlineStr">
        <is>
          <t>26_CO_13</t>
        </is>
      </c>
      <c r="B110" s="11" t="inlineStr"/>
      <c r="C110" s="11" t="inlineStr">
        <is>
          <t>Mantenir i actualitzar la base de dades del programa de seguiment de la biodiversitat (PSB) del Parc. Seguiment de Trencalòs</t>
        </is>
      </c>
      <c r="D110" s="11" t="inlineStr">
        <is>
          <t>06.3.3</t>
        </is>
      </c>
      <c r="E110" s="11" t="inlineStr"/>
      <c r="F110" s="11" t="inlineStr">
        <is>
          <t>3. Coneixement</t>
        </is>
      </c>
      <c r="G110" s="11" t="inlineStr">
        <is>
          <t>Altres</t>
        </is>
      </c>
      <c r="H110" s="11" t="inlineStr"/>
      <c r="I110" s="11" t="inlineStr">
        <is>
          <t>1.4 Buits de coneixement i necessitats de recerca</t>
        </is>
      </c>
      <c r="J110" s="12" t="n">
        <v>0</v>
      </c>
      <c r="K110" s="13" t="n"/>
      <c r="L110" s="11" t="inlineStr">
        <is>
          <t>mitjans propis</t>
        </is>
      </c>
      <c r="M110" s="11" t="inlineStr">
        <is>
          <t>Josep Pique Palacin</t>
        </is>
      </c>
      <c r="N110" s="11" t="inlineStr">
        <is>
          <t>Si</t>
        </is>
      </c>
      <c r="O110" s="15">
        <f>IF(COUNTIF(Objectius!$A$2:$A$183,D110)&gt;0,"Sí","No")</f>
        <v/>
      </c>
    </row>
    <row r="111">
      <c r="A111" s="11" t="inlineStr">
        <is>
          <t>26_CO_14</t>
        </is>
      </c>
      <c r="B111" s="11" t="inlineStr"/>
      <c r="C111" s="11" t="inlineStr">
        <is>
          <t>Mantenir i actualitzar la base de dades del programa de seguiment de la biodiversitat (PSB) del Parc: Seguiment de micromamífers: SEMICE</t>
        </is>
      </c>
      <c r="D111" s="11" t="inlineStr">
        <is>
          <t>06.3.3</t>
        </is>
      </c>
      <c r="E111" s="11" t="inlineStr"/>
      <c r="F111" s="11" t="inlineStr">
        <is>
          <t>3. Coneixement</t>
        </is>
      </c>
      <c r="G111" s="11" t="inlineStr">
        <is>
          <t>Altres</t>
        </is>
      </c>
      <c r="H111" s="11" t="inlineStr"/>
      <c r="I111" s="11" t="inlineStr">
        <is>
          <t>1.4 Buits de coneixement i necessitats de recerca</t>
        </is>
      </c>
      <c r="J111" s="12" t="n">
        <v>0</v>
      </c>
      <c r="K111" s="13" t="n"/>
      <c r="L111" s="11" t="inlineStr">
        <is>
          <t>mitjans propis i equip ERA</t>
        </is>
      </c>
      <c r="M111" s="11" t="inlineStr">
        <is>
          <t>Josep Pique Palacin</t>
        </is>
      </c>
      <c r="N111" s="11" t="inlineStr">
        <is>
          <t>Si</t>
        </is>
      </c>
      <c r="O111" s="15">
        <f>IF(COUNTIF(Objectius!$A$2:$A$183,D111)&gt;0,"Sí","No")</f>
        <v/>
      </c>
    </row>
    <row r="112">
      <c r="A112" s="11" t="inlineStr">
        <is>
          <t>26_CO_15</t>
        </is>
      </c>
      <c r="B112" s="11" t="inlineStr"/>
      <c r="C112" s="11" t="inlineStr">
        <is>
          <t>Mantenir i actualitzar la base de dades del programa de seguiment de la biodiversitat (PSB) del Parc: Seguiment de rapinyaires forestals: SEGRE</t>
        </is>
      </c>
      <c r="D112" s="11" t="inlineStr">
        <is>
          <t>06.3.3</t>
        </is>
      </c>
      <c r="E112" s="11" t="inlineStr"/>
      <c r="F112" s="11" t="inlineStr">
        <is>
          <t>3. Coneixement</t>
        </is>
      </c>
      <c r="G112" s="11" t="inlineStr">
        <is>
          <t>Altres</t>
        </is>
      </c>
      <c r="H112" s="11" t="inlineStr"/>
      <c r="I112" s="11" t="inlineStr">
        <is>
          <t>1.4 Buits de coneixement i necessitats de recerca</t>
        </is>
      </c>
      <c r="J112" s="12" t="n">
        <v>0</v>
      </c>
      <c r="K112" s="13" t="n"/>
      <c r="L112" s="11" t="inlineStr">
        <is>
          <t>mitjans propis</t>
        </is>
      </c>
      <c r="M112" s="11" t="inlineStr">
        <is>
          <t>Josep Pique Palacin</t>
        </is>
      </c>
      <c r="N112" s="11" t="inlineStr">
        <is>
          <t>Si</t>
        </is>
      </c>
      <c r="O112" s="15">
        <f>IF(COUNTIF(Objectius!$A$2:$A$183,D112)&gt;0,"Sí","No")</f>
        <v/>
      </c>
    </row>
    <row r="113">
      <c r="A113" s="11" t="inlineStr">
        <is>
          <t>26_CO_16</t>
        </is>
      </c>
      <c r="B113" s="11" t="inlineStr"/>
      <c r="C113" s="11" t="inlineStr">
        <is>
          <t>Mantenir i actualitzar la base de dades del programa de seguiment de la biodiversitat (PSB) del Parc: Seguiment de Ratpenats</t>
        </is>
      </c>
      <c r="D113" s="11" t="inlineStr">
        <is>
          <t>06.3.3</t>
        </is>
      </c>
      <c r="E113" s="11" t="inlineStr"/>
      <c r="F113" s="11" t="inlineStr">
        <is>
          <t>3. Coneixement</t>
        </is>
      </c>
      <c r="G113" s="11" t="inlineStr">
        <is>
          <t>Altres</t>
        </is>
      </c>
      <c r="H113" s="11" t="inlineStr"/>
      <c r="I113" s="11" t="inlineStr">
        <is>
          <t>1.4 Buits de coneixement i necessitats de recerca</t>
        </is>
      </c>
      <c r="J113" s="12" t="n">
        <v>0</v>
      </c>
      <c r="K113" s="13" t="n"/>
      <c r="L113" s="11" t="inlineStr">
        <is>
          <t>mitjans propis</t>
        </is>
      </c>
      <c r="M113" s="11" t="inlineStr">
        <is>
          <t>Josep Pique Palacin</t>
        </is>
      </c>
      <c r="N113" s="11" t="inlineStr">
        <is>
          <t>Si</t>
        </is>
      </c>
      <c r="O113" s="15">
        <f>IF(COUNTIF(Objectius!$A$2:$A$183,D113)&gt;0,"Sí","No")</f>
        <v/>
      </c>
    </row>
    <row r="114">
      <c r="A114" s="11" t="inlineStr">
        <is>
          <t>26_CO_17</t>
        </is>
      </c>
      <c r="B114" s="11" t="inlineStr"/>
      <c r="C114" s="11" t="inlineStr">
        <is>
          <t>Mantenir i actualitzar la base de dades del programa de seguiment de la biodiversitat (PSB) del Parc: Seguiment de mussol pirinenc</t>
        </is>
      </c>
      <c r="D114" s="11" t="inlineStr">
        <is>
          <t>06.3.3</t>
        </is>
      </c>
      <c r="E114" s="11" t="inlineStr"/>
      <c r="F114" s="11" t="inlineStr">
        <is>
          <t>3. Coneixement</t>
        </is>
      </c>
      <c r="G114" s="11" t="inlineStr">
        <is>
          <t>Altres</t>
        </is>
      </c>
      <c r="H114" s="11" t="inlineStr"/>
      <c r="I114" s="11" t="inlineStr">
        <is>
          <t>1.4 Buits de coneixement i necessitats de recerca</t>
        </is>
      </c>
      <c r="J114" s="12" t="n">
        <v>0</v>
      </c>
      <c r="K114" s="13" t="n"/>
      <c r="L114" s="11" t="inlineStr">
        <is>
          <t>mitjans propis i equip ERA</t>
        </is>
      </c>
      <c r="M114" s="11" t="inlineStr">
        <is>
          <t>Josep Pique Palacin</t>
        </is>
      </c>
      <c r="N114" s="11" t="inlineStr">
        <is>
          <t>Si</t>
        </is>
      </c>
      <c r="O114" s="15">
        <f>IF(COUNTIF(Objectius!$A$2:$A$183,D114)&gt;0,"Sí","No")</f>
        <v/>
      </c>
    </row>
    <row r="115">
      <c r="A115" s="11" t="inlineStr">
        <is>
          <t>26_CO_18</t>
        </is>
      </c>
      <c r="B115" s="11" t="inlineStr"/>
      <c r="C115" s="11" t="inlineStr">
        <is>
          <t>Mantenir i actualitzar la base de dades del programa de seguiment de la biodiversitat (PSB) del Parc. Seguiment de gall fer</t>
        </is>
      </c>
      <c r="D115" s="11" t="inlineStr">
        <is>
          <t>06.3.3</t>
        </is>
      </c>
      <c r="E115" s="11" t="inlineStr"/>
      <c r="F115" s="11" t="inlineStr">
        <is>
          <t>3. Coneixement</t>
        </is>
      </c>
      <c r="G115" s="11" t="inlineStr">
        <is>
          <t>Altres</t>
        </is>
      </c>
      <c r="H115" s="11" t="inlineStr"/>
      <c r="I115" s="11" t="inlineStr">
        <is>
          <t>1.4 Buits de coneixement i necessitats de recerca</t>
        </is>
      </c>
      <c r="J115" s="12" t="n">
        <v>0</v>
      </c>
      <c r="K115" s="13" t="n"/>
      <c r="L115" s="11" t="inlineStr">
        <is>
          <t>mitjans propis i SFF</t>
        </is>
      </c>
      <c r="M115" s="11" t="inlineStr">
        <is>
          <t>Josep Pique Palacin</t>
        </is>
      </c>
      <c r="N115" s="11" t="inlineStr">
        <is>
          <t>Si</t>
        </is>
      </c>
      <c r="O115" s="15">
        <f>IF(COUNTIF(Objectius!$A$2:$A$183,D115)&gt;0,"Sí","No")</f>
        <v/>
      </c>
    </row>
    <row r="116">
      <c r="A116" s="11" t="inlineStr">
        <is>
          <t>26_CO_19</t>
        </is>
      </c>
      <c r="B116" s="11" t="inlineStr"/>
      <c r="C116" s="11" t="inlineStr">
        <is>
          <t>Mantenir i actualitzar la base de dades del programa de seguiment de la biodiversitat (PSB) del Parc. Seguiment de perdiu blanca</t>
        </is>
      </c>
      <c r="D116" s="11" t="inlineStr">
        <is>
          <t>06.3.3</t>
        </is>
      </c>
      <c r="E116" s="11" t="inlineStr"/>
      <c r="F116" s="11" t="inlineStr">
        <is>
          <t>3. Coneixement</t>
        </is>
      </c>
      <c r="G116" s="11" t="inlineStr">
        <is>
          <t>Altres</t>
        </is>
      </c>
      <c r="H116" s="11" t="inlineStr"/>
      <c r="I116" s="11" t="inlineStr">
        <is>
          <t>1.4 Buits de coneixement i necessitats de recerca</t>
        </is>
      </c>
      <c r="J116" s="12" t="n">
        <v>0</v>
      </c>
      <c r="K116" s="13" t="n"/>
      <c r="L116" s="11" t="inlineStr">
        <is>
          <t>mitjans propis i SFF</t>
        </is>
      </c>
      <c r="M116" s="11" t="inlineStr">
        <is>
          <t>Josep Pique Palacin</t>
        </is>
      </c>
      <c r="N116" s="11" t="inlineStr">
        <is>
          <t>Si</t>
        </is>
      </c>
      <c r="O116" s="15">
        <f>IF(COUNTIF(Objectius!$A$2:$A$183,D116)&gt;0,"Sí","No")</f>
        <v/>
      </c>
    </row>
    <row r="117">
      <c r="A117" s="11" t="inlineStr">
        <is>
          <t>26_CO_20</t>
        </is>
      </c>
      <c r="B117" s="11" t="inlineStr"/>
      <c r="C117" s="11" t="inlineStr">
        <is>
          <t>Mantenir i actualitzar la base de dades del programa de seguiment de la biodiversitat (PSB) del Parc. Seguiment de d'aufrany</t>
        </is>
      </c>
      <c r="D117" s="11" t="inlineStr">
        <is>
          <t>06.3.3</t>
        </is>
      </c>
      <c r="E117" s="11" t="inlineStr"/>
      <c r="F117" s="11" t="inlineStr">
        <is>
          <t>3. Coneixement</t>
        </is>
      </c>
      <c r="G117" s="11" t="inlineStr">
        <is>
          <t>Altres</t>
        </is>
      </c>
      <c r="H117" s="11" t="inlineStr"/>
      <c r="I117" s="11" t="inlineStr">
        <is>
          <t>1.4 Buits de coneixement i necessitats de recerca</t>
        </is>
      </c>
      <c r="J117" s="12" t="n">
        <v>0</v>
      </c>
      <c r="K117" s="13" t="n"/>
      <c r="L117" s="11" t="inlineStr">
        <is>
          <t>mitjans propis</t>
        </is>
      </c>
      <c r="M117" s="11" t="inlineStr">
        <is>
          <t>Josep Pique Palacin</t>
        </is>
      </c>
      <c r="N117" s="11" t="inlineStr">
        <is>
          <t>Si</t>
        </is>
      </c>
      <c r="O117" s="15">
        <f>IF(COUNTIF(Objectius!$A$2:$A$183,D117)&gt;0,"Sí","No")</f>
        <v/>
      </c>
    </row>
    <row r="118">
      <c r="A118" s="11" t="inlineStr">
        <is>
          <t>26_CO_21</t>
        </is>
      </c>
      <c r="B118" s="11" t="inlineStr"/>
      <c r="C118" s="11" t="inlineStr">
        <is>
          <t>Mantenir i actualitzar la base de dades del programa de seguiment de la biodiversitat (PSB) del Parc. Seguiment de milà reial</t>
        </is>
      </c>
      <c r="D118" s="11" t="inlineStr">
        <is>
          <t>06.3.3</t>
        </is>
      </c>
      <c r="E118" s="11" t="inlineStr"/>
      <c r="F118" s="11" t="inlineStr">
        <is>
          <t>3. Coneixement</t>
        </is>
      </c>
      <c r="G118" s="11" t="inlineStr">
        <is>
          <t>Altres</t>
        </is>
      </c>
      <c r="H118" s="11" t="inlineStr"/>
      <c r="I118" s="11" t="inlineStr">
        <is>
          <t>1.4 Buits de coneixement i necessitats de recerca</t>
        </is>
      </c>
      <c r="J118" s="12" t="n">
        <v>0</v>
      </c>
      <c r="K118" s="13" t="n"/>
      <c r="L118" s="11" t="inlineStr">
        <is>
          <t>mitjans propis</t>
        </is>
      </c>
      <c r="M118" s="11" t="inlineStr">
        <is>
          <t>Josep Pique Palacin</t>
        </is>
      </c>
      <c r="N118" s="11" t="inlineStr">
        <is>
          <t>Si</t>
        </is>
      </c>
      <c r="O118" s="15">
        <f>IF(COUNTIF(Objectius!$A$2:$A$183,D118)&gt;0,"Sí","No")</f>
        <v/>
      </c>
    </row>
    <row r="119">
      <c r="A119" s="11" t="inlineStr">
        <is>
          <t>26_CO_22</t>
        </is>
      </c>
      <c r="B119" s="11" t="inlineStr"/>
      <c r="C119" s="11" t="inlineStr">
        <is>
          <t>Mantenir i actualitzar la base de dades del programa de seguiment de la biodiversitat (PSB) del Parc. Seguiment de papallona del boix</t>
        </is>
      </c>
      <c r="D119" s="11" t="inlineStr">
        <is>
          <t>06.3.3</t>
        </is>
      </c>
      <c r="E119" s="11" t="inlineStr"/>
      <c r="F119" s="11" t="inlineStr">
        <is>
          <t>3. Coneixement</t>
        </is>
      </c>
      <c r="G119" s="11" t="inlineStr">
        <is>
          <t>Altres</t>
        </is>
      </c>
      <c r="H119" s="11" t="inlineStr"/>
      <c r="I119" s="11" t="inlineStr">
        <is>
          <t>1.4 Buits de coneixement i necessitats de recerca</t>
        </is>
      </c>
      <c r="J119" s="12" t="n">
        <v>0</v>
      </c>
      <c r="K119" s="13" t="n"/>
      <c r="L119" s="11" t="inlineStr">
        <is>
          <t>mitjans propis i CAR</t>
        </is>
      </c>
      <c r="M119" s="11" t="inlineStr">
        <is>
          <t>Josep Pique Palacin</t>
        </is>
      </c>
      <c r="N119" s="11" t="inlineStr">
        <is>
          <t>Si</t>
        </is>
      </c>
      <c r="O119" s="15">
        <f>IF(COUNTIF(Objectius!$A$2:$A$183,D119)&gt;0,"Sí","No")</f>
        <v/>
      </c>
    </row>
    <row r="120">
      <c r="A120" s="11" t="inlineStr">
        <is>
          <t>26_CO_23</t>
        </is>
      </c>
      <c r="B120" s="11" t="inlineStr"/>
      <c r="C120" s="11" t="inlineStr">
        <is>
          <t>Mantenir i actualitzar la base de dades del programa de seguiment de la biodiversitat (PSB) del Parc.Seguiment d'almesquera</t>
        </is>
      </c>
      <c r="D120" s="11" t="inlineStr">
        <is>
          <t>06.3.3</t>
        </is>
      </c>
      <c r="E120" s="11" t="inlineStr"/>
      <c r="F120" s="11" t="inlineStr">
        <is>
          <t>3. Coneixement</t>
        </is>
      </c>
      <c r="G120" s="11" t="inlineStr">
        <is>
          <t>Altres</t>
        </is>
      </c>
      <c r="H120" s="11" t="inlineStr"/>
      <c r="I120" s="11" t="inlineStr">
        <is>
          <t>1.4 Buits de coneixement i necessitats de recerca</t>
        </is>
      </c>
      <c r="J120" s="12" t="n">
        <v>0</v>
      </c>
      <c r="K120" s="13" t="n"/>
      <c r="L120" s="11" t="inlineStr">
        <is>
          <t>mitjans propis i SFF via ERA</t>
        </is>
      </c>
      <c r="M120" s="11" t="inlineStr">
        <is>
          <t>Josep Pique Palacin</t>
        </is>
      </c>
      <c r="N120" s="11" t="inlineStr">
        <is>
          <t>Si</t>
        </is>
      </c>
      <c r="O120" s="15">
        <f>IF(COUNTIF(Objectius!$A$2:$A$183,D120)&gt;0,"Sí","No")</f>
        <v/>
      </c>
    </row>
    <row r="121">
      <c r="A121" s="11" t="inlineStr">
        <is>
          <t>26_CO_24</t>
        </is>
      </c>
      <c r="B121" s="11" t="inlineStr"/>
      <c r="C121" s="11" t="inlineStr">
        <is>
          <t>Mantenir i actualitzar la base de dades del programa de seguiment de la biodiversitat (PSB) del Parc. Seguiment de gat fer</t>
        </is>
      </c>
      <c r="D121" s="11" t="inlineStr">
        <is>
          <t>06.3.3</t>
        </is>
      </c>
      <c r="E121" s="11" t="inlineStr"/>
      <c r="F121" s="11" t="inlineStr">
        <is>
          <t>3. Coneixement</t>
        </is>
      </c>
      <c r="G121" s="11" t="inlineStr">
        <is>
          <t>Altres</t>
        </is>
      </c>
      <c r="H121" s="11" t="inlineStr"/>
      <c r="I121" s="11" t="inlineStr">
        <is>
          <t>1.4 Buits de coneixement i necessitats de recerca</t>
        </is>
      </c>
      <c r="J121" s="12" t="n">
        <v>0</v>
      </c>
      <c r="K121" s="13" t="n"/>
      <c r="L121" s="11" t="inlineStr">
        <is>
          <t>mitjans propis i CAR</t>
        </is>
      </c>
      <c r="M121" s="11" t="inlineStr">
        <is>
          <t>Josep Pique Palacin</t>
        </is>
      </c>
      <c r="N121" s="11" t="inlineStr">
        <is>
          <t>Si</t>
        </is>
      </c>
      <c r="O121" s="15">
        <f>IF(COUNTIF(Objectius!$A$2:$A$183,D121)&gt;0,"Sí","No")</f>
        <v/>
      </c>
    </row>
    <row r="122">
      <c r="A122" s="11" t="inlineStr">
        <is>
          <t>26_CO_25</t>
        </is>
      </c>
      <c r="B122" s="11" t="inlineStr"/>
      <c r="C122" s="11" t="inlineStr">
        <is>
          <t>Mantenir i actualitzar la base de dades del programa de seguiment de la biodiversitat (PSB) del Parc.Seguiment de Eriogaster catax.</t>
        </is>
      </c>
      <c r="D122" s="11" t="inlineStr">
        <is>
          <t>06.3.3</t>
        </is>
      </c>
      <c r="E122" s="11" t="inlineStr"/>
      <c r="F122" s="11" t="inlineStr">
        <is>
          <t>3. Coneixement</t>
        </is>
      </c>
      <c r="G122" s="11" t="inlineStr">
        <is>
          <t>Altres</t>
        </is>
      </c>
      <c r="H122" s="11" t="inlineStr"/>
      <c r="I122" s="11" t="inlineStr">
        <is>
          <t>1.4 Buits de coneixement i necessitats de recerca</t>
        </is>
      </c>
      <c r="J122" s="12" t="n">
        <v>0</v>
      </c>
      <c r="K122" s="13" t="n"/>
      <c r="L122" s="11" t="inlineStr">
        <is>
          <t>mitjans propis</t>
        </is>
      </c>
      <c r="M122" s="11" t="inlineStr">
        <is>
          <t>Josep Pique Palacin</t>
        </is>
      </c>
      <c r="N122" s="11" t="inlineStr">
        <is>
          <t>No</t>
        </is>
      </c>
      <c r="O122" s="15">
        <f>IF(COUNTIF(Objectius!$A$2:$A$183,D122)&gt;0,"Sí","No")</f>
        <v/>
      </c>
    </row>
    <row r="123">
      <c r="A123" s="11" t="inlineStr">
        <is>
          <t>26_CO_26</t>
        </is>
      </c>
      <c r="B123" s="11" t="inlineStr"/>
      <c r="C123" s="11" t="inlineStr">
        <is>
          <t>Mantenir i actualitzar la base de dades del programa de seguiment de la biodiversitat (PSB) del Parc. Realització de itineraris del CBMS.</t>
        </is>
      </c>
      <c r="D123" s="11" t="inlineStr">
        <is>
          <t>06.3.3</t>
        </is>
      </c>
      <c r="E123" s="11" t="inlineStr"/>
      <c r="F123" s="11" t="inlineStr">
        <is>
          <t>3. Coneixement</t>
        </is>
      </c>
      <c r="G123" s="11" t="inlineStr">
        <is>
          <t>Altres</t>
        </is>
      </c>
      <c r="H123" s="11" t="inlineStr"/>
      <c r="I123" s="11" t="inlineStr">
        <is>
          <t>1.4 Buits de coneixement i necessitats de recerca</t>
        </is>
      </c>
      <c r="J123" s="12" t="n">
        <v>0</v>
      </c>
      <c r="K123" s="13" t="n"/>
      <c r="L123" s="11" t="inlineStr">
        <is>
          <t>mitjans propis hi ha una part d'assistencia incorporada a seguiment de lepidòpteres</t>
        </is>
      </c>
      <c r="M123" s="11" t="inlineStr">
        <is>
          <t>Josep Pique Palacin</t>
        </is>
      </c>
      <c r="N123" s="11" t="inlineStr">
        <is>
          <t>Si</t>
        </is>
      </c>
      <c r="O123" s="15">
        <f>IF(COUNTIF(Objectius!$A$2:$A$183,D123)&gt;0,"Sí","No")</f>
        <v/>
      </c>
    </row>
    <row r="124">
      <c r="A124" s="11" t="inlineStr">
        <is>
          <t>26_CO_27</t>
        </is>
      </c>
      <c r="B124" s="11" t="inlineStr"/>
      <c r="C124" s="11" t="inlineStr">
        <is>
          <t>Mantenir i actualitzar la base de dades del programa de seguiment de la biodiversitat (PSB) del Parc.Seguiment de Boloria Eunomia.</t>
        </is>
      </c>
      <c r="D124" s="11" t="inlineStr">
        <is>
          <t>06.3.3</t>
        </is>
      </c>
      <c r="E124" s="11" t="inlineStr"/>
      <c r="F124" s="11" t="inlineStr">
        <is>
          <t>3. Coneixement</t>
        </is>
      </c>
      <c r="G124" s="11" t="inlineStr">
        <is>
          <t>Altres</t>
        </is>
      </c>
      <c r="H124" s="11" t="inlineStr"/>
      <c r="I124" s="11" t="inlineStr">
        <is>
          <t>1.4 Buits de coneixement i necessitats de recerca</t>
        </is>
      </c>
      <c r="J124" s="12" t="n">
        <v>0</v>
      </c>
      <c r="K124" s="13" t="n"/>
      <c r="L124" s="11" t="inlineStr">
        <is>
          <t>mitjans propis hi ha una part d'assistencia incorporada a seguiment de lepidòpteres</t>
        </is>
      </c>
      <c r="M124" s="11" t="inlineStr">
        <is>
          <t>Josep Pique Palacin</t>
        </is>
      </c>
      <c r="N124" s="11" t="inlineStr">
        <is>
          <t>No</t>
        </is>
      </c>
      <c r="O124" s="15">
        <f>IF(COUNTIF(Objectius!$A$2:$A$183,D124)&gt;0,"Sí","No")</f>
        <v/>
      </c>
    </row>
    <row r="125">
      <c r="A125" s="11" t="inlineStr">
        <is>
          <t>26_CO_28</t>
        </is>
      </c>
      <c r="B125" s="11" t="inlineStr"/>
      <c r="C125" s="11" t="inlineStr">
        <is>
          <t>Realització de reunions de participació dels grups de treball del SINATCAT</t>
        </is>
      </c>
      <c r="D125" s="11" t="inlineStr">
        <is>
          <t>06.3.4</t>
        </is>
      </c>
      <c r="E125" s="11" t="inlineStr"/>
      <c r="F125" s="11" t="inlineStr">
        <is>
          <t>3. Coneixement</t>
        </is>
      </c>
      <c r="G125" s="11" t="inlineStr">
        <is>
          <t>Altres</t>
        </is>
      </c>
      <c r="H125" s="11" t="inlineStr"/>
      <c r="I125" s="11" t="inlineStr">
        <is>
          <t>1.1 Planificació de la gestió i designació del lloc</t>
        </is>
      </c>
      <c r="J125" s="12" t="n">
        <v>0</v>
      </c>
      <c r="K125" s="13" t="n">
        <v>0.25</v>
      </c>
      <c r="L125" s="11" t="inlineStr">
        <is>
          <t>A realitzar amb mitjans propis</t>
        </is>
      </c>
      <c r="M125" s="11" t="inlineStr">
        <is>
          <t>Marc Garriga Lujan</t>
        </is>
      </c>
      <c r="N125" s="11" t="inlineStr">
        <is>
          <t>Si</t>
        </is>
      </c>
      <c r="O125" s="15">
        <f>IF(COUNTIF(Objectius!$A$2:$A$183,D125)&gt;0,"Sí","No")</f>
        <v/>
      </c>
    </row>
    <row r="126">
      <c r="A126" s="11" t="inlineStr">
        <is>
          <t>26_CO_29</t>
        </is>
      </c>
      <c r="B126" s="11" t="n">
        <v>77</v>
      </c>
      <c r="C126" s="11" t="inlineStr">
        <is>
          <t>Realitzar accions conjuntes de col·laboració en làmbit cultural amb l'Ecomuseu de les Valls d'Àneu i el Centre d'Art i Natura de Farrera - organització de cursos i activitats</t>
        </is>
      </c>
      <c r="D126" s="11" t="inlineStr">
        <is>
          <t>06.4.1</t>
        </is>
      </c>
      <c r="E126" s="11" t="inlineStr"/>
      <c r="F126" s="11" t="inlineStr">
        <is>
          <t>3. Coneixement</t>
        </is>
      </c>
      <c r="G126" s="11" t="inlineStr">
        <is>
          <t>Contracte menor a càrrec del RAE</t>
        </is>
      </c>
      <c r="H126" s="11" t="inlineStr">
        <is>
          <t>227.0014 - Serveis de formació</t>
        </is>
      </c>
      <c r="I126" s="11" t="inlineStr">
        <is>
          <t>1.5 Mesures de comunicació i sensibilització, educació i accés de visitants relacionades amb Natura 2000</t>
        </is>
      </c>
      <c r="J126" s="12" t="n">
        <v>4000</v>
      </c>
      <c r="K126" s="13" t="n">
        <v>0.25</v>
      </c>
      <c r="L126" s="11" t="inlineStr"/>
      <c r="M126" s="11" t="inlineStr">
        <is>
          <t>Moises Villanueva Coello</t>
        </is>
      </c>
      <c r="N126" s="11" t="inlineStr">
        <is>
          <t>No</t>
        </is>
      </c>
      <c r="O126" s="15">
        <f>IF(COUNTIF(Objectius!$A$2:$A$183,D126)&gt;0,"Sí","No")</f>
        <v/>
      </c>
    </row>
    <row r="127">
      <c r="A127" s="11" t="inlineStr">
        <is>
          <t>26_CO_30</t>
        </is>
      </c>
      <c r="B127" s="11" t="n">
        <v>86</v>
      </c>
      <c r="C127" s="11" t="inlineStr">
        <is>
          <t>Impulsar les beques Salvador Grau i Tort de suport a la recerca al Parc. Promoció dels valors científics del PNAP</t>
        </is>
      </c>
      <c r="D127" s="11" t="inlineStr">
        <is>
          <t>06.4.2</t>
        </is>
      </c>
      <c r="E127" s="11" t="inlineStr"/>
      <c r="F127" s="11" t="inlineStr">
        <is>
          <t>3. Coneixement</t>
        </is>
      </c>
      <c r="G127" s="11" t="inlineStr">
        <is>
          <t>Contracte menor a càrrec del RAE</t>
        </is>
      </c>
      <c r="H127" s="11" t="inlineStr">
        <is>
          <t>227.0089 - Altres treballs realitzats per persones físiques o jurídiques</t>
        </is>
      </c>
      <c r="I127" s="11" t="inlineStr">
        <is>
          <t>1.4 Buits de coneixement i necessitats de recerca</t>
        </is>
      </c>
      <c r="J127" s="12" t="n">
        <v>18000</v>
      </c>
      <c r="K127" s="13" t="n">
        <v>0.33</v>
      </c>
      <c r="L127" s="11" t="inlineStr"/>
      <c r="M127" s="11" t="inlineStr">
        <is>
          <t>Oriol Grau Fernandez</t>
        </is>
      </c>
      <c r="N127" s="11" t="inlineStr">
        <is>
          <t>No</t>
        </is>
      </c>
      <c r="O127" s="15">
        <f>IF(COUNTIF(Objectius!$A$2:$A$183,D127)&gt;0,"Sí","No")</f>
        <v/>
      </c>
    </row>
    <row r="128">
      <c r="A128" s="11" t="inlineStr">
        <is>
          <t>26_CO_31</t>
        </is>
      </c>
      <c r="B128" s="11" t="inlineStr"/>
      <c r="C128" s="11" t="inlineStr">
        <is>
          <t>Acollida d'estudiants en pràctiques de suport a l'equip gestor o a grups de recerca al Parc a través de convenis amb universitats o entitats acadèmiques I Fomentant la participació de joves estudiants en projectes innovadors al parc</t>
        </is>
      </c>
      <c r="D128" s="11" t="inlineStr">
        <is>
          <t>06.4.2</t>
        </is>
      </c>
      <c r="E128" s="11" t="inlineStr"/>
      <c r="F128" s="11" t="inlineStr">
        <is>
          <t>3. Coneixement</t>
        </is>
      </c>
      <c r="G128" s="11" t="inlineStr">
        <is>
          <t>Altres</t>
        </is>
      </c>
      <c r="H128" s="11" t="inlineStr"/>
      <c r="I128" s="11" t="inlineStr">
        <is>
          <t>1.5 Mesures de comunicació i sensibilització, educació i accés de visitants relacionades amb Natura 2000</t>
        </is>
      </c>
      <c r="J128" s="12" t="n">
        <v>0</v>
      </c>
      <c r="K128" s="13" t="n">
        <v>0.25</v>
      </c>
      <c r="L128" s="11" t="inlineStr">
        <is>
          <t>A realitzar amb mitjans propis</t>
        </is>
      </c>
      <c r="M128" s="11" t="inlineStr">
        <is>
          <t>Oriol Grau Fernandez</t>
        </is>
      </c>
      <c r="N128" s="11" t="inlineStr">
        <is>
          <t>Si</t>
        </is>
      </c>
      <c r="O128" s="15">
        <f>IF(COUNTIF(Objectius!$A$2:$A$183,D128)&gt;0,"Sí","No")</f>
        <v/>
      </c>
    </row>
    <row r="129">
      <c r="A129" s="11" t="inlineStr">
        <is>
          <t>26_CO_32</t>
        </is>
      </c>
      <c r="B129" s="11" t="inlineStr"/>
      <c r="C129" s="11" t="inlineStr">
        <is>
          <t>Promoció de projectes de ciència ciutadana existents com Fenocat</t>
        </is>
      </c>
      <c r="D129" s="11" t="inlineStr">
        <is>
          <t>06.4.3</t>
        </is>
      </c>
      <c r="E129" s="11" t="inlineStr"/>
      <c r="F129" s="11" t="inlineStr">
        <is>
          <t>3. Coneixement</t>
        </is>
      </c>
      <c r="G129" s="11" t="inlineStr">
        <is>
          <t>Altres</t>
        </is>
      </c>
      <c r="H129" s="11" t="inlineStr"/>
      <c r="I129" s="11" t="inlineStr">
        <is>
          <t>1.3 Seguiment, vigilància i notificació</t>
        </is>
      </c>
      <c r="J129" s="12" t="n">
        <v>0</v>
      </c>
      <c r="K129" s="13" t="n">
        <v>0.25</v>
      </c>
      <c r="L129" s="11" t="inlineStr">
        <is>
          <t>A realitzar amb mitjans propis</t>
        </is>
      </c>
      <c r="M129" s="11" t="inlineStr">
        <is>
          <t>Oriol Grau Fernandez</t>
        </is>
      </c>
      <c r="N129" s="11" t="inlineStr">
        <is>
          <t>Si</t>
        </is>
      </c>
      <c r="O129" s="15">
        <f>IF(COUNTIF(Objectius!$A$2:$A$183,D129)&gt;0,"Sí","No")</f>
        <v/>
      </c>
    </row>
    <row r="130">
      <c r="A130" s="11" t="inlineStr">
        <is>
          <t>26_CO_33</t>
        </is>
      </c>
      <c r="B130" s="11" t="inlineStr"/>
      <c r="C130" s="11" t="inlineStr">
        <is>
          <t>Promoure el Centre d'Art i Natura de Farrera com a centre estructural de gestió de suport a la recerca</t>
        </is>
      </c>
      <c r="D130" s="11" t="inlineStr">
        <is>
          <t>06.4.5</t>
        </is>
      </c>
      <c r="E130" s="11" t="inlineStr"/>
      <c r="F130" s="11" t="inlineStr">
        <is>
          <t>3. Coneixement</t>
        </is>
      </c>
      <c r="G130" s="11" t="inlineStr">
        <is>
          <t>Altres</t>
        </is>
      </c>
      <c r="H130" s="11" t="inlineStr"/>
      <c r="I130" s="11" t="inlineStr">
        <is>
          <t>1.4 Buits de coneixement i necessitats de recerca</t>
        </is>
      </c>
      <c r="J130" s="12" t="n">
        <v>0</v>
      </c>
      <c r="K130" s="13" t="n">
        <v>0.25</v>
      </c>
      <c r="L130" s="11" t="inlineStr">
        <is>
          <t>A realitzar amb mitjans propis</t>
        </is>
      </c>
      <c r="M130" s="11" t="inlineStr">
        <is>
          <t>Oriol Grau Fernandez</t>
        </is>
      </c>
      <c r="N130" s="11" t="inlineStr">
        <is>
          <t>Si</t>
        </is>
      </c>
      <c r="O130" s="15">
        <f>IF(COUNTIF(Objectius!$A$2:$A$183,D130)&gt;0,"Sí","No")</f>
        <v/>
      </c>
    </row>
    <row r="131">
      <c r="A131" s="11" t="inlineStr">
        <is>
          <t>26_CO_34</t>
        </is>
      </c>
      <c r="B131" s="11" t="inlineStr"/>
      <c r="C131" s="11" t="inlineStr">
        <is>
          <t>Participar a la Xarxa Interact d'estacions de suport a la recerca polars i alpines de l'hemisferi nord</t>
        </is>
      </c>
      <c r="D131" s="11" t="inlineStr">
        <is>
          <t>06.4.5</t>
        </is>
      </c>
      <c r="E131" s="11" t="inlineStr"/>
      <c r="F131" s="11" t="inlineStr">
        <is>
          <t>3. Coneixement</t>
        </is>
      </c>
      <c r="G131" s="11" t="inlineStr">
        <is>
          <t>Altres</t>
        </is>
      </c>
      <c r="H131" s="11" t="inlineStr"/>
      <c r="I131" s="11" t="inlineStr">
        <is>
          <t>1.4 Buits de coneixement i necessitats de recerca</t>
        </is>
      </c>
      <c r="J131" s="12" t="n">
        <v>0</v>
      </c>
      <c r="K131" s="13" t="n"/>
      <c r="L131" s="11" t="inlineStr">
        <is>
          <t>mitjans propis</t>
        </is>
      </c>
      <c r="M131" s="11" t="inlineStr">
        <is>
          <t>Oriol Grau Fernandez</t>
        </is>
      </c>
      <c r="N131" s="11" t="inlineStr">
        <is>
          <t>Si</t>
        </is>
      </c>
      <c r="O131" s="15">
        <f>IF(COUNTIF(Objectius!$A$2:$A$183,D131)&gt;0,"Sí","No")</f>
        <v/>
      </c>
    </row>
    <row r="132">
      <c r="A132" s="11" t="inlineStr">
        <is>
          <t>26_CO_35</t>
        </is>
      </c>
      <c r="B132" s="11" t="n">
        <v>146</v>
      </c>
      <c r="C132" s="11" t="inlineStr">
        <is>
          <t>Impuls a l'Observatori de recerca de l'ENP en col·laboració amb la UIC. Assessorament i direcció de l'observatori. Suport al projecte REPICA</t>
        </is>
      </c>
      <c r="D132" s="11" t="inlineStr">
        <is>
          <t>06.4.6</t>
        </is>
      </c>
      <c r="E132" s="11" t="inlineStr"/>
      <c r="F132" s="11" t="inlineStr">
        <is>
          <t>3. Coneixement</t>
        </is>
      </c>
      <c r="G132" s="11" t="inlineStr">
        <is>
          <t>Contracte menor a càrrec del RAE</t>
        </is>
      </c>
      <c r="H132" s="11" t="inlineStr">
        <is>
          <t>227.0013 - Treballs tècnics</t>
        </is>
      </c>
      <c r="I132" s="11" t="inlineStr">
        <is>
          <t>1.4 Buits de coneixement i necessitats de recerca</t>
        </is>
      </c>
      <c r="J132" s="12" t="n">
        <v>4000</v>
      </c>
      <c r="K132" s="13" t="n">
        <v>0.25</v>
      </c>
      <c r="L132" s="11" t="inlineStr"/>
      <c r="M132" s="11" t="inlineStr">
        <is>
          <t>Oriol Grau Fernandez</t>
        </is>
      </c>
      <c r="N132" s="11" t="inlineStr">
        <is>
          <t>No</t>
        </is>
      </c>
      <c r="O132" s="15">
        <f>IF(COUNTIF(Objectius!$A$2:$A$183,D132)&gt;0,"Sí","No")</f>
        <v/>
      </c>
    </row>
    <row r="133">
      <c r="A133" s="11" t="inlineStr">
        <is>
          <t>26_CO_36</t>
        </is>
      </c>
      <c r="B133" s="11" t="n">
        <v>7</v>
      </c>
      <c r="C133" s="11" t="inlineStr">
        <is>
          <t>Mantenir, actualitzar i ampliar la xarxa d'ecocomptadors del Parc . Reparació i manteniment d'ecocomptadors</t>
        </is>
      </c>
      <c r="D133" s="11" t="inlineStr">
        <is>
          <t>06.5.2</t>
        </is>
      </c>
      <c r="E133" s="11" t="inlineStr"/>
      <c r="F133" s="11" t="inlineStr">
        <is>
          <t>3. Coneixement</t>
        </is>
      </c>
      <c r="G133" s="11" t="inlineStr">
        <is>
          <t>Contracte menor a càrrec del RAE</t>
        </is>
      </c>
      <c r="H133" s="11" t="inlineStr">
        <is>
          <t>212.0001 - Conservació, reparació i manteniment d'equips per a procés de dades, programari i reprografia</t>
        </is>
      </c>
      <c r="I133" s="11" t="inlineStr">
        <is>
          <t>1.3 Seguiment, vigilància i notificació</t>
        </is>
      </c>
      <c r="J133" s="12" t="n">
        <v>2500</v>
      </c>
      <c r="K133" s="13" t="n">
        <v>0.25</v>
      </c>
      <c r="L133" s="11" t="inlineStr"/>
      <c r="M133" s="11" t="inlineStr">
        <is>
          <t>Moises Villanueva Coello</t>
        </is>
      </c>
      <c r="N133" s="11" t="inlineStr">
        <is>
          <t>No</t>
        </is>
      </c>
      <c r="O133" s="15">
        <f>IF(COUNTIF(Objectius!$A$2:$A$183,D133)&gt;0,"Sí","No")</f>
        <v/>
      </c>
    </row>
    <row r="134">
      <c r="A134" s="11" t="inlineStr">
        <is>
          <t>26_DE_01</t>
        </is>
      </c>
      <c r="B134" s="11" t="inlineStr"/>
      <c r="C134" s="11" t="inlineStr">
        <is>
          <t>Programa de suport tècnic a sector agraroramader en ajuts maneig pastures</t>
        </is>
      </c>
      <c r="D134" s="11" t="inlineStr">
        <is>
          <t>08.1.1</t>
        </is>
      </c>
      <c r="E134" s="11" t="inlineStr"/>
      <c r="F134" s="11" t="inlineStr">
        <is>
          <t>4. Desenvolupament local</t>
        </is>
      </c>
      <c r="G134" s="11" t="inlineStr">
        <is>
          <t>Altres</t>
        </is>
      </c>
      <c r="H134" s="11" t="inlineStr"/>
      <c r="I134" s="11" t="inlineStr">
        <is>
          <t>2.4 Mesures de manteniment i restauració de prats i pastures</t>
        </is>
      </c>
      <c r="J134" s="12" t="n">
        <v>0</v>
      </c>
      <c r="K134" s="13" t="n">
        <v>0.1</v>
      </c>
      <c r="L134" s="11" t="inlineStr">
        <is>
          <t>A realitzar amb mitjans propis quan surti la convocatoria</t>
        </is>
      </c>
      <c r="M134" s="11" t="inlineStr">
        <is>
          <t>Neus Artigas Piñero</t>
        </is>
      </c>
      <c r="N134" s="11" t="inlineStr">
        <is>
          <t>Si</t>
        </is>
      </c>
      <c r="O134" s="15">
        <f>IF(COUNTIF(Objectius!$A$2:$A$183,D134)&gt;0,"Sí","No")</f>
        <v/>
      </c>
    </row>
    <row r="135">
      <c r="A135" s="11" t="inlineStr">
        <is>
          <t>26_DE_02</t>
        </is>
      </c>
      <c r="B135" s="11" t="n">
        <v>149</v>
      </c>
      <c r="C135" s="11" t="inlineStr">
        <is>
          <t>Impulsar la creació de la línia de suport a l’activitat ramadera en la conservació dels hàbitats i els paisatges a través dels contractes de gestió que preveu el Decret del Parc. Estudi juridic de contractes de conservació pastures</t>
        </is>
      </c>
      <c r="D135" s="11" t="inlineStr">
        <is>
          <t>08.1.1</t>
        </is>
      </c>
      <c r="E135" s="11" t="inlineStr"/>
      <c r="F135" s="11" t="inlineStr">
        <is>
          <t>4. Desenvolupament local</t>
        </is>
      </c>
      <c r="G135" s="11" t="inlineStr">
        <is>
          <t>Contracte menor a càrrec del RAE</t>
        </is>
      </c>
      <c r="H135" s="11" t="inlineStr">
        <is>
          <t>227.0013 - Treballs tècnics</t>
        </is>
      </c>
      <c r="I135" s="11" t="inlineStr">
        <is>
          <t>2.4 Mesures de manteniment i restauració de prats i pastures</t>
        </is>
      </c>
      <c r="J135" s="12" t="n">
        <v>8400</v>
      </c>
      <c r="K135" s="13" t="n">
        <v>0.5</v>
      </c>
      <c r="L135" s="11" t="inlineStr"/>
      <c r="M135" s="11" t="inlineStr">
        <is>
          <t>Neus Artigas Piñero</t>
        </is>
      </c>
      <c r="N135" s="11" t="inlineStr">
        <is>
          <t>No</t>
        </is>
      </c>
      <c r="O135" s="15">
        <f>IF(COUNTIF(Objectius!$A$2:$A$183,D135)&gt;0,"Sí","No")</f>
        <v/>
      </c>
    </row>
    <row r="136">
      <c r="A136" s="11" t="inlineStr">
        <is>
          <t>26_DE_03</t>
        </is>
      </c>
      <c r="B136" s="11" t="inlineStr"/>
      <c r="C136" s="11" t="inlineStr">
        <is>
          <t>Promoció i assessorament sobre l'adhesió als distintius la marca Fet al Parc (si s'aprova pel Departament) i la CETS (fase 2)</t>
        </is>
      </c>
      <c r="D136" s="11" t="inlineStr">
        <is>
          <t>08.1.1</t>
        </is>
      </c>
      <c r="E136" s="11" t="inlineStr"/>
      <c r="F136" s="11" t="inlineStr">
        <is>
          <t>4. Desenvolupament local</t>
        </is>
      </c>
      <c r="G136" s="11" t="inlineStr">
        <is>
          <t>Altres</t>
        </is>
      </c>
      <c r="H136" s="11" t="inlineStr"/>
      <c r="I136" s="11" t="inlineStr">
        <is>
          <t>2.4 Mesures de manteniment i restauració de prats i pastures</t>
        </is>
      </c>
      <c r="J136" s="12" t="n">
        <v>0</v>
      </c>
      <c r="K136" s="13" t="n">
        <v>0.25</v>
      </c>
      <c r="L136" s="11" t="inlineStr">
        <is>
          <t>A realitzar amb mitjans propis</t>
        </is>
      </c>
      <c r="M136" s="11" t="inlineStr">
        <is>
          <t>Neus Artigas Piñero</t>
        </is>
      </c>
      <c r="N136" s="11" t="inlineStr">
        <is>
          <t>No</t>
        </is>
      </c>
      <c r="O136" s="15">
        <f>IF(COUNTIF(Objectius!$A$2:$A$183,D136)&gt;0,"Sí","No")</f>
        <v/>
      </c>
    </row>
    <row r="137">
      <c r="A137" s="11" t="inlineStr">
        <is>
          <t>26_DE_04</t>
        </is>
      </c>
      <c r="B137" s="11" t="n">
        <v>153</v>
      </c>
      <c r="C137" s="11" t="inlineStr">
        <is>
          <t>Promoció de la bioenginyeria del paisatge com a tècnica que afavoreix l’ús sostenible dels recursos naturals i la reducció de l’erosió. Curs bioenginyeria paisatge</t>
        </is>
      </c>
      <c r="D137" s="11" t="inlineStr">
        <is>
          <t>08.1.1</t>
        </is>
      </c>
      <c r="E137" s="11" t="inlineStr"/>
      <c r="F137" s="11" t="inlineStr">
        <is>
          <t>4. Desenvolupament local</t>
        </is>
      </c>
      <c r="G137" s="11" t="inlineStr">
        <is>
          <t>Contracte menor a càrrec del RAE</t>
        </is>
      </c>
      <c r="H137" s="11" t="inlineStr">
        <is>
          <t>227.0014 - Serveis de formació</t>
        </is>
      </c>
      <c r="I137" s="11" t="inlineStr">
        <is>
          <t>1.5 Mesures de comunicació i sensibilització, educació i accés de visitants relacionades amb Natura 2000</t>
        </is>
      </c>
      <c r="J137" s="12" t="n">
        <v>15000</v>
      </c>
      <c r="K137" s="13" t="n">
        <v>0.5</v>
      </c>
      <c r="L137" s="11" t="inlineStr"/>
      <c r="M137" s="11" t="inlineStr">
        <is>
          <t>Nil Bacardit Tudela</t>
        </is>
      </c>
      <c r="N137" s="11" t="inlineStr">
        <is>
          <t>No</t>
        </is>
      </c>
      <c r="O137" s="15">
        <f>IF(COUNTIF(Objectius!$A$2:$A$183,D137)&gt;0,"Sí","No")</f>
        <v/>
      </c>
    </row>
    <row r="138">
      <c r="A138" s="11" t="inlineStr">
        <is>
          <t>26_DE_05</t>
        </is>
      </c>
      <c r="B138" s="11" t="inlineStr"/>
      <c r="C138" s="11" t="inlineStr">
        <is>
          <t>Col·laborar amb les Escoles Agràries i Forestals de Catalunya en la realització de formacions i estades de pràctiques d’alumnes al Parc per contribuir a la creació de llocs de treball agroramader i forestal, i millorar les tècniques productives amb equilibri amb la conservació de la natura.</t>
        </is>
      </c>
      <c r="D138" s="11" t="inlineStr">
        <is>
          <t>08.1.1</t>
        </is>
      </c>
      <c r="E138" s="11" t="inlineStr"/>
      <c r="F138" s="11" t="inlineStr">
        <is>
          <t>4. Desenvolupament local</t>
        </is>
      </c>
      <c r="G138" s="11" t="inlineStr">
        <is>
          <t>Altres</t>
        </is>
      </c>
      <c r="H138" s="11" t="inlineStr"/>
      <c r="I138" s="11" t="inlineStr">
        <is>
          <t>1.5 Mesures de comunicació i sensibilització, educació i accés de visitants relacionades amb Natura 2000</t>
        </is>
      </c>
      <c r="J138" s="12" t="n">
        <v>0</v>
      </c>
      <c r="K138" s="13" t="n">
        <v>0.25</v>
      </c>
      <c r="L138" s="11" t="inlineStr">
        <is>
          <t>A realitzar amb mitjans propis</t>
        </is>
      </c>
      <c r="M138" s="11" t="inlineStr">
        <is>
          <t>Oriol Grau Fernandez</t>
        </is>
      </c>
      <c r="N138" s="11" t="inlineStr">
        <is>
          <t>Si</t>
        </is>
      </c>
      <c r="O138" s="15">
        <f>IF(COUNTIF(Objectius!$A$2:$A$183,D138)&gt;0,"Sí","No")</f>
        <v/>
      </c>
    </row>
    <row r="139">
      <c r="A139" s="11" t="inlineStr">
        <is>
          <t>26_DE_06</t>
        </is>
      </c>
      <c r="B139" s="11" t="inlineStr"/>
      <c r="C139" s="11" t="inlineStr">
        <is>
          <t>Facilitar a les explotacions ramaderes del Parc noves tecnologies via ajut o cessió temporal per afavorir el maneig del bestiar com collars GPS, antenes vinculades a aquest collars per donar cobertura i malles elèctriques per prevenció de danys</t>
        </is>
      </c>
      <c r="D139" s="11" t="inlineStr">
        <is>
          <t>08.1.1</t>
        </is>
      </c>
      <c r="E139" s="11" t="inlineStr"/>
      <c r="F139" s="11" t="inlineStr">
        <is>
          <t>4. Desenvolupament local</t>
        </is>
      </c>
      <c r="G139" s="11" t="inlineStr">
        <is>
          <t>Altres</t>
        </is>
      </c>
      <c r="H139" s="11" t="inlineStr"/>
      <c r="I139" s="11" t="inlineStr">
        <is>
          <t>2.4 Mesures de manteniment i restauració de prats i pastures</t>
        </is>
      </c>
      <c r="J139" s="12" t="n">
        <v>0</v>
      </c>
      <c r="K139" s="13" t="n">
        <v>0.25</v>
      </c>
      <c r="L139" s="11" t="inlineStr">
        <is>
          <t>A través equip ERA</t>
        </is>
      </c>
      <c r="M139" s="11" t="inlineStr">
        <is>
          <t>Neus Artigas Piñero</t>
        </is>
      </c>
      <c r="N139" s="11" t="inlineStr">
        <is>
          <t>No</t>
        </is>
      </c>
      <c r="O139" s="15">
        <f>IF(COUNTIF(Objectius!$A$2:$A$183,D139)&gt;0,"Sí","No")</f>
        <v/>
      </c>
    </row>
    <row r="140">
      <c r="A140" s="11" t="inlineStr">
        <is>
          <t>26_DE_07</t>
        </is>
      </c>
      <c r="B140" s="11" t="n">
        <v>78</v>
      </c>
      <c r="C140" s="11" t="inlineStr">
        <is>
          <t>Realització de formacions de conservació dirigides al sector primari - Escola de Pastors</t>
        </is>
      </c>
      <c r="D140" s="11" t="inlineStr">
        <is>
          <t>08.1.2</t>
        </is>
      </c>
      <c r="E140" s="11" t="inlineStr"/>
      <c r="F140" s="11" t="inlineStr">
        <is>
          <t>4. Desenvolupament local</t>
        </is>
      </c>
      <c r="G140" s="11" t="inlineStr">
        <is>
          <t>Contracte menor a càrrec del RAE</t>
        </is>
      </c>
      <c r="H140" s="11" t="inlineStr">
        <is>
          <t>227.0014 - Serveis de formació</t>
        </is>
      </c>
      <c r="I140" s="11" t="inlineStr">
        <is>
          <t>1.5 Mesures de comunicació i sensibilització, educació i accés de visitants relacionades amb Natura 2000</t>
        </is>
      </c>
      <c r="J140" s="12" t="n">
        <v>2680</v>
      </c>
      <c r="K140" s="13" t="n">
        <v>0.25</v>
      </c>
      <c r="L140" s="11" t="inlineStr"/>
      <c r="M140" s="11" t="inlineStr">
        <is>
          <t>Neus Artigas Piñero</t>
        </is>
      </c>
      <c r="N140" s="11" t="inlineStr">
        <is>
          <t>No</t>
        </is>
      </c>
      <c r="O140" s="15">
        <f>IF(COUNTIF(Objectius!$A$2:$A$183,D140)&gt;0,"Sí","No")</f>
        <v/>
      </c>
    </row>
    <row r="141">
      <c r="A141" s="11" t="inlineStr">
        <is>
          <t>26_DE_08</t>
        </is>
      </c>
      <c r="B141" s="11" t="n">
        <v>136</v>
      </c>
      <c r="C141" s="11" t="inlineStr">
        <is>
          <t>Reparació/millora abeuradors existents, adequar-los al pas dels amfibis i amb paviment perimetral per evitar possibles propagacions de malalties als ramats</t>
        </is>
      </c>
      <c r="D141" s="11" t="inlineStr">
        <is>
          <t>08.1.3</t>
        </is>
      </c>
      <c r="E141" s="11" t="inlineStr"/>
      <c r="F141" s="11" t="inlineStr">
        <is>
          <t>4. Desenvolupament local</t>
        </is>
      </c>
      <c r="G141" s="11" t="inlineStr">
        <is>
          <t>Contracte menor a càrrec del RAE</t>
        </is>
      </c>
      <c r="H141" s="11" t="inlineStr">
        <is>
          <t>221.0089 - Altres subministraments</t>
        </is>
      </c>
      <c r="I141" s="11" t="inlineStr">
        <is>
          <t>2.4 Mesures de manteniment i restauració de prats i pastures</t>
        </is>
      </c>
      <c r="J141" s="12" t="n">
        <v>4000</v>
      </c>
      <c r="K141" s="13" t="n">
        <v>0.25</v>
      </c>
      <c r="L141" s="11" t="inlineStr"/>
      <c r="M141" s="11" t="inlineStr">
        <is>
          <t>Nil Bacardit Tudela</t>
        </is>
      </c>
      <c r="N141" s="11" t="inlineStr">
        <is>
          <t>No</t>
        </is>
      </c>
      <c r="O141" s="15">
        <f>IF(COUNTIF(Objectius!$A$2:$A$183,D141)&gt;0,"Sí","No")</f>
        <v/>
      </c>
    </row>
    <row r="142">
      <c r="A142" s="11" t="inlineStr">
        <is>
          <t>26_DE_09</t>
        </is>
      </c>
      <c r="B142" s="11" t="n">
        <v>1</v>
      </c>
      <c r="C142" s="11" t="inlineStr">
        <is>
          <t>Reconstrucció de murs i altres infraestructures de pedra seca directament, a través de la convocatòria d’ajuts, mitjançant accions de voluntariat i el propi servei de manteniment del Parc</t>
        </is>
      </c>
      <c r="D142" s="11" t="inlineStr">
        <is>
          <t>08.1.3</t>
        </is>
      </c>
      <c r="E142" s="11" t="inlineStr"/>
      <c r="F142" s="11" t="inlineStr">
        <is>
          <t>4. Desenvolupament local</t>
        </is>
      </c>
      <c r="G142" s="11" t="inlineStr">
        <is>
          <t>Contracte menor a càrrec del RAE</t>
        </is>
      </c>
      <c r="H142" s="11" t="inlineStr">
        <is>
          <t>210.0001 - Conservació, reparació i manteniment de terrenys</t>
        </is>
      </c>
      <c r="I142" s="11" t="inlineStr">
        <is>
          <t>2.9 Mesures de conservación i restauración de coves i altres no inclosos als anteriors</t>
        </is>
      </c>
      <c r="J142" s="12" t="n">
        <v>10000</v>
      </c>
      <c r="K142" s="13" t="n">
        <v>0.25</v>
      </c>
      <c r="L142" s="11" t="inlineStr"/>
      <c r="M142" s="11" t="inlineStr">
        <is>
          <t>Nil Bacardit Tudela</t>
        </is>
      </c>
      <c r="N142" s="11" t="inlineStr">
        <is>
          <t>Si</t>
        </is>
      </c>
      <c r="O142" s="15">
        <f>IF(COUNTIF(Objectius!$A$2:$A$183,D142)&gt;0,"Sí","No")</f>
        <v/>
      </c>
    </row>
    <row r="143">
      <c r="A143" s="11" t="inlineStr">
        <is>
          <t>26_DE_10</t>
        </is>
      </c>
      <c r="B143" s="11" t="n">
        <v>24</v>
      </c>
      <c r="C143" s="11" t="inlineStr">
        <is>
          <t>Reparació/millora infraestructures ramaderes existents i creació d’aquelles de titularitat pública que es considerin prioritàries pel maneig d’hàbitats de pastura del Parc - Subministrament material ramader</t>
        </is>
      </c>
      <c r="D143" s="11" t="inlineStr">
        <is>
          <t>08.1.3</t>
        </is>
      </c>
      <c r="E143" s="11" t="inlineStr"/>
      <c r="F143" s="11" t="inlineStr">
        <is>
          <t>4. Desenvolupament local</t>
        </is>
      </c>
      <c r="G143" s="11" t="inlineStr">
        <is>
          <t>Contracte menor a càrrec del RAE</t>
        </is>
      </c>
      <c r="H143" s="11" t="inlineStr">
        <is>
          <t>221.0089 - Altres subministraments</t>
        </is>
      </c>
      <c r="I143" s="11" t="inlineStr">
        <is>
          <t>2.4 Mesures de manteniment i restauració de prats i pastures</t>
        </is>
      </c>
      <c r="J143" s="12" t="n">
        <v>1500</v>
      </c>
      <c r="K143" s="13" t="n">
        <v>0.25</v>
      </c>
      <c r="L143" s="11" t="inlineStr"/>
      <c r="M143" s="11" t="inlineStr">
        <is>
          <t>Nil Bacardit Tudela</t>
        </is>
      </c>
      <c r="N143" s="11" t="inlineStr">
        <is>
          <t>No</t>
        </is>
      </c>
      <c r="O143" s="15">
        <f>IF(COUNTIF(Objectius!$A$2:$A$183,D143)&gt;0,"Sí","No")</f>
        <v/>
      </c>
    </row>
    <row r="144">
      <c r="A144" s="11" t="inlineStr">
        <is>
          <t>26_DE_11</t>
        </is>
      </c>
      <c r="B144" s="11" t="n">
        <v>142</v>
      </c>
      <c r="C144" s="11" t="inlineStr">
        <is>
          <t>Crear, convocar i impulsar la participació de la Comissió Ramadera de la Junta Rectora i desplegament dels plans de treball - Secretaria tècnica</t>
        </is>
      </c>
      <c r="D144" s="11" t="inlineStr">
        <is>
          <t>08.2.1</t>
        </is>
      </c>
      <c r="E144" s="11" t="inlineStr"/>
      <c r="F144" s="11" t="inlineStr">
        <is>
          <t>4. Desenvolupament local</t>
        </is>
      </c>
      <c r="G144" s="11" t="inlineStr">
        <is>
          <t>Contracte menor a càrrec del RAE</t>
        </is>
      </c>
      <c r="H144" s="11" t="inlineStr">
        <is>
          <t>226.0005 - Organització de reunions, conferències i cursos</t>
        </is>
      </c>
      <c r="I144" s="11" t="inlineStr">
        <is>
          <t>1.2 Administració del lloc i comunicació amb les parts interessades</t>
        </is>
      </c>
      <c r="J144" s="12" t="n">
        <v>2000</v>
      </c>
      <c r="K144" s="13" t="n">
        <v>0.25</v>
      </c>
      <c r="L144" s="11" t="inlineStr"/>
      <c r="M144" s="11" t="inlineStr">
        <is>
          <t>Neus Artigas Piñero</t>
        </is>
      </c>
      <c r="N144" s="11" t="inlineStr">
        <is>
          <t>Si</t>
        </is>
      </c>
      <c r="O144" s="15">
        <f>IF(COUNTIF(Objectius!$A$2:$A$183,D144)&gt;0,"Sí","No")</f>
        <v/>
      </c>
    </row>
    <row r="145">
      <c r="A145" s="11" t="inlineStr">
        <is>
          <t>26_DE_12</t>
        </is>
      </c>
      <c r="B145" s="11" t="n">
        <v>157</v>
      </c>
      <c r="C145" s="11" t="inlineStr">
        <is>
          <t>Impulsar accions de promoció dels productes locals. Activitats transfrontereres de promoció dels productes locals - divulgació productes locals del Parc a fires</t>
        </is>
      </c>
      <c r="D145" s="11" t="inlineStr">
        <is>
          <t>08.2.1</t>
        </is>
      </c>
      <c r="E145" s="11" t="inlineStr"/>
      <c r="F145" s="11" t="inlineStr">
        <is>
          <t>4. Desenvolupament local</t>
        </is>
      </c>
      <c r="G145" s="11" t="inlineStr">
        <is>
          <t>Contracte menor a càrrec del RAE</t>
        </is>
      </c>
      <c r="H145" s="11" t="inlineStr">
        <is>
          <t>227.0089 - Altres treballs realitzats per persones físiques o jurídiques</t>
        </is>
      </c>
      <c r="I145" s="11" t="inlineStr">
        <is>
          <t>1.5 Mesures de comunicació i sensibilització, educació i accés de visitants relacionades amb Natura 2000</t>
        </is>
      </c>
      <c r="J145" s="12" t="n">
        <v>8000</v>
      </c>
      <c r="K145" s="13" t="n">
        <v>0.25</v>
      </c>
      <c r="L145" s="11" t="inlineStr"/>
      <c r="M145" s="11" t="inlineStr">
        <is>
          <t>Neus Artigas Piñero</t>
        </is>
      </c>
      <c r="N145" s="11" t="inlineStr">
        <is>
          <t>No</t>
        </is>
      </c>
      <c r="O145" s="15">
        <f>IF(COUNTIF(Objectius!$A$2:$A$183,D145)&gt;0,"Sí","No")</f>
        <v/>
      </c>
    </row>
    <row r="146">
      <c r="A146" s="11" t="inlineStr">
        <is>
          <t>26_DE_13</t>
        </is>
      </c>
      <c r="B146" s="11" t="n">
        <v>99</v>
      </c>
      <c r="C146" s="11" t="inlineStr">
        <is>
          <t>Publicació, difusió i actualització del nou catàleg de productors agroalimentaris “Fet al Parc” . Impressió noves fitxes catàleg Fet al Parc</t>
        </is>
      </c>
      <c r="D146" s="11" t="inlineStr">
        <is>
          <t>08.2.1</t>
        </is>
      </c>
      <c r="E146" s="11" t="inlineStr"/>
      <c r="F146" s="11" t="inlineStr">
        <is>
          <t>4. Desenvolupament local</t>
        </is>
      </c>
      <c r="G146" s="11" t="inlineStr">
        <is>
          <t>Contracte menor a càrrec del RAE</t>
        </is>
      </c>
      <c r="H146" s="11" t="inlineStr">
        <is>
          <t>240.0001 - Despeses de publicacions</t>
        </is>
      </c>
      <c r="I146" s="11" t="inlineStr">
        <is>
          <t>1.5 Mesures de comunicació i sensibilització, educació i accés de visitants relacionades amb Natura 2000</t>
        </is>
      </c>
      <c r="J146" s="12" t="n">
        <v>1200</v>
      </c>
      <c r="K146" s="13" t="n">
        <v>0.25</v>
      </c>
      <c r="L146" s="11" t="inlineStr"/>
      <c r="M146" s="11" t="inlineStr">
        <is>
          <t>Neus Artigas Piñero</t>
        </is>
      </c>
      <c r="N146" s="11" t="inlineStr">
        <is>
          <t>No</t>
        </is>
      </c>
      <c r="O146" s="15">
        <f>IF(COUNTIF(Objectius!$A$2:$A$183,D146)&gt;0,"Sí","No")</f>
        <v/>
      </c>
    </row>
    <row r="147">
      <c r="A147" s="11" t="inlineStr">
        <is>
          <t>26_DE_14</t>
        </is>
      </c>
      <c r="B147" s="11" t="n">
        <v>100</v>
      </c>
      <c r="C147" s="11" t="inlineStr">
        <is>
          <t>Publicació, difusió i actualització del nou catàleg de productors agroalimentaris “Fet al Parc” . Actualització de fitxes productors durant el 2026</t>
        </is>
      </c>
      <c r="D147" s="11" t="inlineStr">
        <is>
          <t>08.2.1</t>
        </is>
      </c>
      <c r="E147" s="11" t="inlineStr"/>
      <c r="F147" s="11" t="inlineStr">
        <is>
          <t>4. Desenvolupament local</t>
        </is>
      </c>
      <c r="G147" s="11" t="inlineStr">
        <is>
          <t>Contracte menor a càrrec del RAE</t>
        </is>
      </c>
      <c r="H147" s="11" t="inlineStr">
        <is>
          <t>240.0001 - Despeses de publicacions</t>
        </is>
      </c>
      <c r="I147" s="11" t="inlineStr">
        <is>
          <t>1.5 Mesures de comunicació i sensibilització, educació i accés de visitants relacionades amb Natura 2000</t>
        </is>
      </c>
      <c r="J147" s="12" t="n">
        <v>3729.24</v>
      </c>
      <c r="K147" s="13" t="n">
        <v>0.25</v>
      </c>
      <c r="L147" s="11" t="inlineStr"/>
      <c r="M147" s="11" t="inlineStr">
        <is>
          <t>Neus Artigas Piñero</t>
        </is>
      </c>
      <c r="N147" s="11" t="inlineStr">
        <is>
          <t>No</t>
        </is>
      </c>
      <c r="O147" s="15">
        <f>IF(COUNTIF(Objectius!$A$2:$A$183,D147)&gt;0,"Sí","No")</f>
        <v/>
      </c>
    </row>
    <row r="148">
      <c r="A148" s="11" t="inlineStr">
        <is>
          <t>26_DE_16</t>
        </is>
      </c>
      <c r="B148" s="11" t="n">
        <v>45</v>
      </c>
      <c r="C148" s="11" t="inlineStr">
        <is>
          <t>Realitzar la Fira dels Productes del Parc - Organització de la fira de productes del Parc Natural de l'Alt Pirineu i de l'auvella aranesa</t>
        </is>
      </c>
      <c r="D148" s="11" t="inlineStr">
        <is>
          <t>08.3.3</t>
        </is>
      </c>
      <c r="E148" s="11" t="inlineStr"/>
      <c r="F148" s="11" t="inlineStr">
        <is>
          <t>4. Desenvolupament local</t>
        </is>
      </c>
      <c r="G148" s="11" t="inlineStr">
        <is>
          <t>Contracte menor a càrrec del RAE</t>
        </is>
      </c>
      <c r="H148" s="11" t="inlineStr">
        <is>
          <t>226.0001 - Exposicions, certàmens i altres activitats de promoció</t>
        </is>
      </c>
      <c r="I148" s="11" t="inlineStr">
        <is>
          <t>1.5 Mesures de comunicació i sensibilització, educació i accés de visitants relacionades amb Natura 2000</t>
        </is>
      </c>
      <c r="J148" s="12" t="n">
        <v>6000</v>
      </c>
      <c r="K148" s="13" t="n">
        <v>0.25</v>
      </c>
      <c r="L148" s="11" t="inlineStr"/>
      <c r="M148" s="11" t="inlineStr">
        <is>
          <t>Marc Garriga Lujan</t>
        </is>
      </c>
      <c r="N148" s="11" t="inlineStr">
        <is>
          <t>No</t>
        </is>
      </c>
      <c r="O148" s="15">
        <f>IF(COUNTIF(Objectius!$A$2:$A$183,D148)&gt;0,"Sí","No")</f>
        <v/>
      </c>
    </row>
    <row r="149">
      <c r="A149" s="11" t="inlineStr">
        <is>
          <t>26_DE_17</t>
        </is>
      </c>
      <c r="B149" s="11" t="n">
        <v>46</v>
      </c>
      <c r="C149" s="11" t="inlineStr">
        <is>
          <t>Realitzar la Fira dels Productes del Parc - Realització de tallers per a la fira de productes del PNAP i de l'auvella aranesa</t>
        </is>
      </c>
      <c r="D149" s="11" t="inlineStr">
        <is>
          <t>08.3.3</t>
        </is>
      </c>
      <c r="E149" s="11" t="inlineStr"/>
      <c r="F149" s="11" t="inlineStr">
        <is>
          <t>4. Desenvolupament local</t>
        </is>
      </c>
      <c r="G149" s="11" t="inlineStr">
        <is>
          <t>Contracte menor a càrrec del RAE</t>
        </is>
      </c>
      <c r="H149" s="11" t="inlineStr">
        <is>
          <t>226.0001 - Exposicions, certàmens i altres activitats de promoció</t>
        </is>
      </c>
      <c r="I149" s="11" t="inlineStr">
        <is>
          <t>1.5 Mesures de comunicació i sensibilització, educació i accés de visitants relacionades amb Natura 2000</t>
        </is>
      </c>
      <c r="J149" s="12" t="n">
        <v>1500</v>
      </c>
      <c r="K149" s="13" t="n">
        <v>0.25</v>
      </c>
      <c r="L149" s="11" t="inlineStr"/>
      <c r="M149" s="11" t="inlineStr">
        <is>
          <t>Marc Garriga Lujan</t>
        </is>
      </c>
      <c r="N149" s="11" t="inlineStr">
        <is>
          <t>No</t>
        </is>
      </c>
      <c r="O149" s="15">
        <f>IF(COUNTIF(Objectius!$A$2:$A$183,D149)&gt;0,"Sí","No")</f>
        <v/>
      </c>
    </row>
    <row r="150">
      <c r="A150" s="11" t="inlineStr">
        <is>
          <t>26_DE_18</t>
        </is>
      </c>
      <c r="B150" s="11" t="n">
        <v>47</v>
      </c>
      <c r="C150" s="11" t="inlineStr">
        <is>
          <t>Donar suport a fires d'artesania i productes locals dels municipis de la CETS Alt Pirineu. Organització Mostra Formatges de Sort. Construcció relat Mostra de formatges de Sort i manteniment de la seva pàgina web.</t>
        </is>
      </c>
      <c r="D150" s="11" t="inlineStr">
        <is>
          <t>08.3.3</t>
        </is>
      </c>
      <c r="E150" s="11" t="inlineStr"/>
      <c r="F150" s="11" t="inlineStr">
        <is>
          <t>4. Desenvolupament local</t>
        </is>
      </c>
      <c r="G150" s="11" t="inlineStr">
        <is>
          <t>Contracte menor a càrrec del RAE</t>
        </is>
      </c>
      <c r="H150" s="11" t="inlineStr">
        <is>
          <t>226.0001 - Exposicions, certàmens i altres activitats de promoció</t>
        </is>
      </c>
      <c r="I150" s="11" t="inlineStr">
        <is>
          <t>1.5 Mesures de comunicació i sensibilització, educació i accés de visitants relacionades amb Natura 2000</t>
        </is>
      </c>
      <c r="J150" s="12" t="n">
        <v>1000</v>
      </c>
      <c r="K150" s="13" t="n">
        <v>0.25</v>
      </c>
      <c r="L150" s="11" t="inlineStr"/>
      <c r="M150" s="11" t="inlineStr">
        <is>
          <t>Pol Alcalde Floriach</t>
        </is>
      </c>
      <c r="N150" s="11" t="inlineStr">
        <is>
          <t>No</t>
        </is>
      </c>
      <c r="O150" s="15">
        <f>IF(COUNTIF(Objectius!$A$2:$A$183,D150)&gt;0,"Sí","No")</f>
        <v/>
      </c>
    </row>
    <row r="151">
      <c r="A151" s="11" t="inlineStr">
        <is>
          <t>26_DE_19</t>
        </is>
      </c>
      <c r="B151" s="11" t="n">
        <v>48</v>
      </c>
      <c r="C151" s="11" t="inlineStr">
        <is>
          <t>Donar suport a fires d'artesania i productes locals dels municipis de la CETS Alt Pirineu. Organització Mostra Formatges de Sort</t>
        </is>
      </c>
      <c r="D151" s="11" t="inlineStr">
        <is>
          <t>08.3.3</t>
        </is>
      </c>
      <c r="E151" s="11" t="inlineStr"/>
      <c r="F151" s="11" t="inlineStr">
        <is>
          <t>4. Desenvolupament local</t>
        </is>
      </c>
      <c r="G151" s="11" t="inlineStr">
        <is>
          <t>Contracte menor a càrrec del RAE</t>
        </is>
      </c>
      <c r="H151" s="11" t="inlineStr">
        <is>
          <t>226.0001 - Exposicions, certàmens i altres activitats de promoció</t>
        </is>
      </c>
      <c r="I151" s="11" t="inlineStr">
        <is>
          <t>1.5 Mesures de comunicació i sensibilització, educació i accés de visitants relacionades amb Natura 2000</t>
        </is>
      </c>
      <c r="J151" s="12" t="n">
        <v>5000</v>
      </c>
      <c r="K151" s="13" t="n">
        <v>0.25</v>
      </c>
      <c r="L151" s="11" t="inlineStr"/>
      <c r="M151" s="11" t="inlineStr">
        <is>
          <t>Pol Alcalde Floriach</t>
        </is>
      </c>
      <c r="N151" s="11" t="inlineStr">
        <is>
          <t>Si</t>
        </is>
      </c>
      <c r="O151" s="15">
        <f>IF(COUNTIF(Objectius!$A$2:$A$183,D151)&gt;0,"Sí","No")</f>
        <v/>
      </c>
    </row>
    <row r="152">
      <c r="A152" s="11" t="inlineStr">
        <is>
          <t>26_DE_20</t>
        </is>
      </c>
      <c r="B152" s="11" t="n">
        <v>49</v>
      </c>
      <c r="C152" s="11" t="inlineStr">
        <is>
          <t>Donar suport a fires d'artesania i productes locals dels municipis de la CETS Alt Pirineu. Organització festivals d'art locals</t>
        </is>
      </c>
      <c r="D152" s="11" t="inlineStr">
        <is>
          <t>08.3.3</t>
        </is>
      </c>
      <c r="E152" s="11" t="inlineStr"/>
      <c r="F152" s="11" t="inlineStr">
        <is>
          <t>4. Desenvolupament local</t>
        </is>
      </c>
      <c r="G152" s="11" t="inlineStr">
        <is>
          <t>Contracte menor a càrrec del RAE</t>
        </is>
      </c>
      <c r="H152" s="11" t="inlineStr">
        <is>
          <t>226.0001 - Exposicions, certàmens i altres activitats de promoció</t>
        </is>
      </c>
      <c r="I152" s="11" t="inlineStr">
        <is>
          <t>1.5 Mesures de comunicació i sensibilització, educació i accés de visitants relacionades amb Natura 2000</t>
        </is>
      </c>
      <c r="J152" s="12" t="n">
        <v>5600</v>
      </c>
      <c r="K152" s="13" t="n">
        <v>0.25</v>
      </c>
      <c r="L152" s="11" t="inlineStr"/>
      <c r="M152" s="11" t="inlineStr">
        <is>
          <t>Pol Alcalde Floriach</t>
        </is>
      </c>
      <c r="N152" s="11" t="inlineStr">
        <is>
          <t>No</t>
        </is>
      </c>
      <c r="O152" s="15">
        <f>IF(COUNTIF(Objectius!$A$2:$A$183,D152)&gt;0,"Sí","No")</f>
        <v/>
      </c>
    </row>
    <row r="153">
      <c r="A153" s="11" t="inlineStr">
        <is>
          <t>26_DE_21</t>
        </is>
      </c>
      <c r="B153" s="11" t="n">
        <v>50</v>
      </c>
      <c r="C153" s="11" t="inlineStr">
        <is>
          <t>Donar suport a fires d'artesania i productes locals dels municipis de la CETS Alt Pirineu. Organització Festival Pirineu Pastor</t>
        </is>
      </c>
      <c r="D153" s="11" t="inlineStr">
        <is>
          <t>08.3.3</t>
        </is>
      </c>
      <c r="E153" s="11" t="inlineStr"/>
      <c r="F153" s="11" t="inlineStr">
        <is>
          <t>4. Desenvolupament local</t>
        </is>
      </c>
      <c r="G153" s="11" t="inlineStr">
        <is>
          <t>Contracte menor a càrrec del RAE</t>
        </is>
      </c>
      <c r="H153" s="11" t="inlineStr">
        <is>
          <t>226.0001 - Exposicions, certàmens i altres activitats de promoció</t>
        </is>
      </c>
      <c r="I153" s="11" t="inlineStr">
        <is>
          <t>1.5 Mesures de comunicació i sensibilització, educació i accés de visitants relacionades amb Natura 2000</t>
        </is>
      </c>
      <c r="J153" s="12" t="n">
        <v>8000</v>
      </c>
      <c r="K153" s="13" t="n">
        <v>0.25</v>
      </c>
      <c r="L153" s="11" t="inlineStr"/>
      <c r="M153" s="11" t="inlineStr">
        <is>
          <t>Pol Alcalde Floriach</t>
        </is>
      </c>
      <c r="N153" s="11" t="inlineStr">
        <is>
          <t>No</t>
        </is>
      </c>
      <c r="O153" s="15">
        <f>IF(COUNTIF(Objectius!$A$2:$A$183,D153)&gt;0,"Sí","No")</f>
        <v/>
      </c>
    </row>
    <row r="154">
      <c r="A154" s="11" t="inlineStr">
        <is>
          <t>26_DE_22</t>
        </is>
      </c>
      <c r="B154" s="11" t="n">
        <v>51</v>
      </c>
      <c r="C154" s="11" t="inlineStr">
        <is>
          <t>Donar suport a fires d'artesania i productes locals dels municipis de la CETS Alt Pirineu. Tallers promocionals</t>
        </is>
      </c>
      <c r="D154" s="11" t="inlineStr">
        <is>
          <t>08.3.3</t>
        </is>
      </c>
      <c r="E154" s="11" t="inlineStr"/>
      <c r="F154" s="11" t="inlineStr">
        <is>
          <t>4. Desenvolupament local</t>
        </is>
      </c>
      <c r="G154" s="11" t="inlineStr">
        <is>
          <t>Contracte menor a càrrec del RAE</t>
        </is>
      </c>
      <c r="H154" s="11" t="inlineStr">
        <is>
          <t>226.0001 - Exposicions, certàmens i altres activitats de promoció</t>
        </is>
      </c>
      <c r="I154" s="11" t="inlineStr">
        <is>
          <t>1.5 Mesures de comunicació i sensibilització, educació i accés de visitants relacionades amb Natura 2000</t>
        </is>
      </c>
      <c r="J154" s="12" t="n">
        <v>2000</v>
      </c>
      <c r="K154" s="13" t="n">
        <v>0.25</v>
      </c>
      <c r="L154" s="11" t="inlineStr"/>
      <c r="M154" s="11" t="inlineStr">
        <is>
          <t>Pol Alcalde Floriach</t>
        </is>
      </c>
      <c r="N154" s="11" t="inlineStr">
        <is>
          <t>No</t>
        </is>
      </c>
      <c r="O154" s="15">
        <f>IF(COUNTIF(Objectius!$A$2:$A$183,D154)&gt;0,"Sí","No")</f>
        <v/>
      </c>
    </row>
    <row r="155">
      <c r="A155" s="11" t="inlineStr">
        <is>
          <t>26_DE_23</t>
        </is>
      </c>
      <c r="B155" s="11" t="n">
        <v>55</v>
      </c>
      <c r="C155" s="11" t="inlineStr">
        <is>
          <t>Donar suport a fires d'artesania i productes locals dels municipis de la CETS Alt Pirineu. Premis per fires i concursos</t>
        </is>
      </c>
      <c r="D155" s="11" t="inlineStr">
        <is>
          <t>08.3.3</t>
        </is>
      </c>
      <c r="E155" s="11" t="inlineStr"/>
      <c r="F155" s="11" t="inlineStr">
        <is>
          <t>4. Desenvolupament local</t>
        </is>
      </c>
      <c r="G155" s="11" t="inlineStr">
        <is>
          <t>Contracte menor a càrrec del RAE</t>
        </is>
      </c>
      <c r="H155" s="11" t="inlineStr">
        <is>
          <t>226.0001 - Exposicions, certàmens i altres activitats de promoció</t>
        </is>
      </c>
      <c r="I155" s="11" t="inlineStr">
        <is>
          <t>1.5 Mesures de comunicació i sensibilització, educació i accés de visitants relacionades amb Natura 2000</t>
        </is>
      </c>
      <c r="J155" s="12" t="n">
        <v>2000</v>
      </c>
      <c r="K155" s="13" t="n">
        <v>0.25</v>
      </c>
      <c r="L155" s="11" t="inlineStr"/>
      <c r="M155" s="11" t="inlineStr">
        <is>
          <t>Daniel Maresma Fernandez</t>
        </is>
      </c>
      <c r="N155" s="11" t="inlineStr">
        <is>
          <t>Si</t>
        </is>
      </c>
      <c r="O155" s="15">
        <f>IF(COUNTIF(Objectius!$A$2:$A$183,D155)&gt;0,"Sí","No")</f>
        <v/>
      </c>
    </row>
    <row r="156">
      <c r="A156" s="11" t="inlineStr">
        <is>
          <t>26_DE_24</t>
        </is>
      </c>
      <c r="B156" s="11" t="n">
        <v>138</v>
      </c>
      <c r="C156" s="11" t="inlineStr">
        <is>
          <t>Donar suport a fires d'artesania i productes locals dels municipis de la CETS Alt Pirineu. Organització Fira de Tardor de Sort</t>
        </is>
      </c>
      <c r="D156" s="11" t="inlineStr">
        <is>
          <t>08.3.3</t>
        </is>
      </c>
      <c r="E156" s="11" t="inlineStr"/>
      <c r="F156" s="11" t="inlineStr">
        <is>
          <t>4. Desenvolupament local</t>
        </is>
      </c>
      <c r="G156" s="11" t="inlineStr">
        <is>
          <t>Contracte menor a càrrec del RAE</t>
        </is>
      </c>
      <c r="H156" s="11" t="inlineStr">
        <is>
          <t>226.0001 - Exposicions, certàmens i altres activitats de promoció</t>
        </is>
      </c>
      <c r="I156" s="11" t="inlineStr">
        <is>
          <t>1.5 Mesures de comunicació i sensibilització, educació i accés de visitants relacionades amb Natura 2000</t>
        </is>
      </c>
      <c r="J156" s="12" t="n">
        <v>5500</v>
      </c>
      <c r="K156" s="13" t="n">
        <v>0.25</v>
      </c>
      <c r="L156" s="11" t="inlineStr"/>
      <c r="M156" s="11" t="inlineStr">
        <is>
          <t>Neus Artigas Piñero</t>
        </is>
      </c>
      <c r="N156" s="11" t="inlineStr">
        <is>
          <t>No</t>
        </is>
      </c>
      <c r="O156" s="15">
        <f>IF(COUNTIF(Objectius!$A$2:$A$183,D156)&gt;0,"Sí","No")</f>
        <v/>
      </c>
    </row>
    <row r="157">
      <c r="A157" s="11" t="inlineStr">
        <is>
          <t>26_DE_25</t>
        </is>
      </c>
      <c r="B157" s="11" t="n">
        <v>66</v>
      </c>
      <c r="C157" s="11" t="inlineStr">
        <is>
          <t>Projecte Pallars Gastronòmic de treball comú del sector agroalimentari i restauració al Pallars - Realització de les tasques de secretaria tècnica per al desenvolupament del pla d’acció del 2026.</t>
        </is>
      </c>
      <c r="D157" s="11" t="inlineStr">
        <is>
          <t>08.3.6</t>
        </is>
      </c>
      <c r="E157" s="11" t="inlineStr"/>
      <c r="F157" s="11" t="inlineStr">
        <is>
          <t>4. Desenvolupament local</t>
        </is>
      </c>
      <c r="G157" s="11" t="inlineStr">
        <is>
          <t>Contracte menor a càrrec del RAE</t>
        </is>
      </c>
      <c r="H157" s="11" t="inlineStr">
        <is>
          <t>227.0013 - Treballs tècnics</t>
        </is>
      </c>
      <c r="I157" s="11" t="inlineStr">
        <is>
          <t>1.5 Mesures de comunicació i sensibilització, educació i accés de visitants relacionades amb Natura 2000</t>
        </is>
      </c>
      <c r="J157" s="12" t="n">
        <v>15000</v>
      </c>
      <c r="K157" s="13" t="n">
        <v>0.25</v>
      </c>
      <c r="L157" s="11" t="inlineStr"/>
      <c r="M157" s="11" t="inlineStr">
        <is>
          <t>Marc Garriga Lujan</t>
        </is>
      </c>
      <c r="N157" s="11" t="inlineStr">
        <is>
          <t>No</t>
        </is>
      </c>
      <c r="O157" s="15">
        <f>IF(COUNTIF(Objectius!$A$2:$A$183,D157)&gt;0,"Sí","No")</f>
        <v/>
      </c>
    </row>
    <row r="158">
      <c r="A158" s="11" t="inlineStr">
        <is>
          <t>26_DE_26</t>
        </is>
      </c>
      <c r="B158" s="11" t="inlineStr"/>
      <c r="C158" s="11" t="inlineStr">
        <is>
          <t>Donar visibilitat als establiments turístics adherits a la CETS de l'Alt Pirineu, fet que inclou el seu compromís envers el producte local</t>
        </is>
      </c>
      <c r="D158" s="11" t="inlineStr">
        <is>
          <t>08.3.6</t>
        </is>
      </c>
      <c r="E158" s="11" t="inlineStr"/>
      <c r="F158" s="11" t="inlineStr">
        <is>
          <t>4. Desenvolupament local</t>
        </is>
      </c>
      <c r="G158" s="11" t="inlineStr">
        <is>
          <t>Altres</t>
        </is>
      </c>
      <c r="H158" s="11" t="inlineStr"/>
      <c r="I158" s="11" t="inlineStr">
        <is>
          <t>1.5 Mesures de comunicació i sensibilització, educació i accés de visitants relacionades amb Natura 2000</t>
        </is>
      </c>
      <c r="J158" s="12" t="n">
        <v>0</v>
      </c>
      <c r="K158" s="13" t="n">
        <v>0.25</v>
      </c>
      <c r="L158" s="11" t="inlineStr">
        <is>
          <t>Amb mitjans propis i indirectament a través d'altres accions</t>
        </is>
      </c>
      <c r="M158" s="11" t="inlineStr">
        <is>
          <t>Nuria Canals Sangra</t>
        </is>
      </c>
      <c r="N158" s="11" t="inlineStr">
        <is>
          <t>Si</t>
        </is>
      </c>
      <c r="O158" s="15">
        <f>IF(COUNTIF(Objectius!$A$2:$A$183,D158)&gt;0,"Sí","No")</f>
        <v/>
      </c>
    </row>
    <row r="159">
      <c r="A159" s="11" t="inlineStr">
        <is>
          <t>26_DE_27</t>
        </is>
      </c>
      <c r="B159" s="11" t="inlineStr"/>
      <c r="C159" s="11" t="inlineStr">
        <is>
          <t>Col·laboració amb la Reserva Nacional de Caça de l'Alt Pallars per a incorporar objectius de conservació d’espècies i hàbitats en la gestió de la reserva</t>
        </is>
      </c>
      <c r="D159" s="11" t="inlineStr">
        <is>
          <t>08.4.1</t>
        </is>
      </c>
      <c r="E159" s="11" t="inlineStr"/>
      <c r="F159" s="11" t="inlineStr">
        <is>
          <t>4. Desenvolupament local</t>
        </is>
      </c>
      <c r="G159" s="11" t="inlineStr">
        <is>
          <t>Altres</t>
        </is>
      </c>
      <c r="H159" s="11" t="inlineStr"/>
      <c r="I159" s="11" t="inlineStr">
        <is>
          <t>1.2 Administració del lloc i comunicació amb les parts interessades</t>
        </is>
      </c>
      <c r="J159" s="12" t="n">
        <v>0</v>
      </c>
      <c r="K159" s="13" t="n">
        <v>0.25</v>
      </c>
      <c r="L159" s="11" t="inlineStr">
        <is>
          <t>Amb mitjans propis i a través del POCTEFA PP3N</t>
        </is>
      </c>
      <c r="M159" s="11" t="inlineStr">
        <is>
          <t>Josep Pique Palacin</t>
        </is>
      </c>
      <c r="N159" s="11" t="inlineStr">
        <is>
          <t>Si</t>
        </is>
      </c>
      <c r="O159" s="15">
        <f>IF(COUNTIF(Objectius!$A$2:$A$183,D159)&gt;0,"Sí","No")</f>
        <v/>
      </c>
    </row>
    <row r="160">
      <c r="A160" s="11" t="inlineStr">
        <is>
          <t>26_DE_28</t>
        </is>
      </c>
      <c r="B160" s="11" t="inlineStr"/>
      <c r="C160" s="11" t="inlineStr">
        <is>
          <t>Col·laboració amb la Zona de Caça Controlada de Sort, Soriguera i Rialp per a incorporar objectius de conservació d’espècies i hàbitats en la ZCC</t>
        </is>
      </c>
      <c r="D160" s="11" t="inlineStr">
        <is>
          <t>08.4.1</t>
        </is>
      </c>
      <c r="E160" s="11" t="inlineStr"/>
      <c r="F160" s="11" t="inlineStr">
        <is>
          <t>4. Desenvolupament local</t>
        </is>
      </c>
      <c r="G160" s="11" t="inlineStr">
        <is>
          <t>Altres</t>
        </is>
      </c>
      <c r="H160" s="11" t="inlineStr"/>
      <c r="I160" s="11" t="inlineStr">
        <is>
          <t>1.2 Administració del lloc i comunicació amb les parts interessades</t>
        </is>
      </c>
      <c r="J160" s="12" t="n">
        <v>0</v>
      </c>
      <c r="K160" s="13" t="n">
        <v>0.25</v>
      </c>
      <c r="L160" s="11" t="inlineStr">
        <is>
          <t>Amb mitjans propis i a través del POCTEFA PP3N</t>
        </is>
      </c>
      <c r="M160" s="11" t="inlineStr">
        <is>
          <t>Josep Pique Palacin</t>
        </is>
      </c>
      <c r="N160" s="11" t="inlineStr">
        <is>
          <t>Si</t>
        </is>
      </c>
      <c r="O160" s="15">
        <f>IF(COUNTIF(Objectius!$A$2:$A$183,D160)&gt;0,"Sí","No")</f>
        <v/>
      </c>
    </row>
    <row r="161">
      <c r="A161" s="11" t="inlineStr">
        <is>
          <t>26_DE_29</t>
        </is>
      </c>
      <c r="B161" s="11" t="inlineStr"/>
      <c r="C161" s="11" t="inlineStr">
        <is>
          <t>Foment de la implicació dels caçadors i pescadors del territori en la conservació dels valors de l'espai i en promoure la pesca i la caça per a la conservació i restauració d’hàbitats i regulació de les sobrepoblacions de fauna</t>
        </is>
      </c>
      <c r="D161" s="11" t="inlineStr">
        <is>
          <t>08.4.2</t>
        </is>
      </c>
      <c r="E161" s="11" t="inlineStr"/>
      <c r="F161" s="11" t="inlineStr">
        <is>
          <t>4. Desenvolupament local</t>
        </is>
      </c>
      <c r="G161" s="11" t="inlineStr">
        <is>
          <t>Altres</t>
        </is>
      </c>
      <c r="H161" s="11" t="inlineStr"/>
      <c r="I161" s="11" t="inlineStr">
        <is>
          <t>1.2 Administració del lloc i comunicació amb les parts interessades</t>
        </is>
      </c>
      <c r="J161" s="12" t="n">
        <v>0</v>
      </c>
      <c r="K161" s="13" t="n">
        <v>0.25</v>
      </c>
      <c r="L161" s="11" t="inlineStr">
        <is>
          <t>Amb mitjans propis i a través del POCTEFA PP3N</t>
        </is>
      </c>
      <c r="M161" s="11" t="inlineStr">
        <is>
          <t>Josep Pique Palacin</t>
        </is>
      </c>
      <c r="N161" s="11" t="inlineStr">
        <is>
          <t>No</t>
        </is>
      </c>
      <c r="O161" s="15">
        <f>IF(COUNTIF(Objectius!$A$2:$A$183,D161)&gt;0,"Sí","No")</f>
        <v/>
      </c>
    </row>
    <row r="162">
      <c r="A162" s="11" t="inlineStr">
        <is>
          <t>26_DE_30</t>
        </is>
      </c>
      <c r="B162" s="11" t="inlineStr"/>
      <c r="C162" s="11" t="inlineStr">
        <is>
          <t>Foment del voluntariat ambiental entre els pescadors i caçadors i les seves entitats</t>
        </is>
      </c>
      <c r="D162" s="11" t="inlineStr">
        <is>
          <t>08.4.2</t>
        </is>
      </c>
      <c r="E162" s="11" t="inlineStr"/>
      <c r="F162" s="11" t="inlineStr">
        <is>
          <t>4. Desenvolupament local</t>
        </is>
      </c>
      <c r="G162" s="11" t="inlineStr">
        <is>
          <t>Altres</t>
        </is>
      </c>
      <c r="H162" s="11" t="inlineStr"/>
      <c r="I162" s="11" t="inlineStr">
        <is>
          <t>1.2 Administració del lloc i comunicació amb les parts interessades</t>
        </is>
      </c>
      <c r="J162" s="12" t="n">
        <v>0</v>
      </c>
      <c r="K162" s="13" t="n">
        <v>0.25</v>
      </c>
      <c r="L162" s="11" t="inlineStr">
        <is>
          <t>Amb mitjans propis i a través del POCTEFA RESQUE ALPYR</t>
        </is>
      </c>
      <c r="M162" s="11" t="inlineStr">
        <is>
          <t>Josep Pique Palacin</t>
        </is>
      </c>
      <c r="N162" s="11" t="inlineStr">
        <is>
          <t>No</t>
        </is>
      </c>
      <c r="O162" s="15">
        <f>IF(COUNTIF(Objectius!$A$2:$A$183,D162)&gt;0,"Sí","No")</f>
        <v/>
      </c>
    </row>
    <row r="163">
      <c r="A163" s="11" t="inlineStr">
        <is>
          <t>26_DE_31</t>
        </is>
      </c>
      <c r="B163" s="11" t="inlineStr"/>
      <c r="C163" s="11" t="inlineStr">
        <is>
          <t>Col·laborar amb l’autoritat competent del DARP per establir un sistema de comunicació àgil i efectiu de les batudes a la població local i visitant del Parc</t>
        </is>
      </c>
      <c r="D163" s="11" t="inlineStr">
        <is>
          <t>08.4.2</t>
        </is>
      </c>
      <c r="E163" s="11" t="inlineStr"/>
      <c r="F163" s="11" t="inlineStr">
        <is>
          <t>4. Desenvolupament local</t>
        </is>
      </c>
      <c r="G163" s="11" t="inlineStr">
        <is>
          <t>Altres</t>
        </is>
      </c>
      <c r="H163" s="11" t="inlineStr"/>
      <c r="I163" s="11" t="inlineStr">
        <is>
          <t>1.2 Administració del lloc i comunicació amb les parts interessades</t>
        </is>
      </c>
      <c r="J163" s="12" t="n">
        <v>0</v>
      </c>
      <c r="K163" s="13" t="n">
        <v>0.25</v>
      </c>
      <c r="L163" s="11" t="inlineStr">
        <is>
          <t>Amb mitjans propis</t>
        </is>
      </c>
      <c r="M163" s="11" t="inlineStr">
        <is>
          <t>Marc Garriga Lujan</t>
        </is>
      </c>
      <c r="N163" s="11" t="inlineStr">
        <is>
          <t>No</t>
        </is>
      </c>
      <c r="O163" s="15">
        <f>IF(COUNTIF(Objectius!$A$2:$A$183,D163)&gt;0,"Sí","No")</f>
        <v/>
      </c>
    </row>
    <row r="164">
      <c r="A164" s="11" t="inlineStr">
        <is>
          <t>26_DE_32</t>
        </is>
      </c>
      <c r="B164" s="11" t="n">
        <v>87</v>
      </c>
      <c r="C164" s="11" t="inlineStr">
        <is>
          <t>Continuar amb el desplegament de la CETS de l'Alt Pirineu: Fase I: execució del Programa d'Actuacions 2023-2027, memòries anuals i seguiment d'indicadors - Activitats vinculades al Pla d'Acció</t>
        </is>
      </c>
      <c r="D164" s="11" t="inlineStr">
        <is>
          <t>09.1.1</t>
        </is>
      </c>
      <c r="E164" s="11" t="inlineStr"/>
      <c r="F164" s="11" t="inlineStr">
        <is>
          <t>4. Desenvolupament local</t>
        </is>
      </c>
      <c r="G164" s="11" t="inlineStr">
        <is>
          <t>Contracte menor a càrrec del RAE</t>
        </is>
      </c>
      <c r="H164" s="11" t="inlineStr">
        <is>
          <t>227.0089 - Altres treballs realitzats per persones físiques o jurídiques</t>
        </is>
      </c>
      <c r="I164" s="11" t="inlineStr">
        <is>
          <t>1.1 Planificació de la gestió i designació del lloc</t>
        </is>
      </c>
      <c r="J164" s="12" t="n">
        <v>3440</v>
      </c>
      <c r="K164" s="13" t="n">
        <v>0.25</v>
      </c>
      <c r="L164" s="11" t="inlineStr"/>
      <c r="M164" s="11" t="inlineStr">
        <is>
          <t>Nuria Canals Sangra</t>
        </is>
      </c>
      <c r="N164" s="11" t="inlineStr">
        <is>
          <t>No</t>
        </is>
      </c>
      <c r="O164" s="15">
        <f>IF(COUNTIF(Objectius!$A$2:$A$183,D164)&gt;0,"Sí","No")</f>
        <v/>
      </c>
    </row>
    <row r="165">
      <c r="A165" s="11" t="inlineStr">
        <is>
          <t>26_DE_33</t>
        </is>
      </c>
      <c r="B165" s="11" t="n">
        <v>67</v>
      </c>
      <c r="C165" s="11" t="inlineStr">
        <is>
          <t>Continuar la Fase II: adhesió d'empreses turístiques a la CETS Alt Pirineu</t>
        </is>
      </c>
      <c r="D165" s="11" t="inlineStr">
        <is>
          <t>09.1.1</t>
        </is>
      </c>
      <c r="E165" s="11" t="inlineStr"/>
      <c r="F165" s="11" t="inlineStr">
        <is>
          <t>4. Desenvolupament local</t>
        </is>
      </c>
      <c r="G165" s="11" t="inlineStr">
        <is>
          <t>Contracte menor a càrrec del RAE</t>
        </is>
      </c>
      <c r="H165" s="11" t="inlineStr">
        <is>
          <t>227.0013 - Treballs tècnics</t>
        </is>
      </c>
      <c r="I165" s="11" t="inlineStr">
        <is>
          <t>1.1 Planificació de la gestió i designació del lloc</t>
        </is>
      </c>
      <c r="J165" s="12" t="n">
        <v>18102</v>
      </c>
      <c r="K165" s="13" t="n">
        <v>0.25</v>
      </c>
      <c r="L165" s="11" t="inlineStr"/>
      <c r="M165" s="11" t="inlineStr">
        <is>
          <t>Nuria Canals Sangra</t>
        </is>
      </c>
      <c r="N165" s="11" t="inlineStr">
        <is>
          <t>No</t>
        </is>
      </c>
      <c r="O165" s="15">
        <f>IF(COUNTIF(Objectius!$A$2:$A$183,D165)&gt;0,"Sí","No")</f>
        <v/>
      </c>
    </row>
    <row r="166">
      <c r="A166" s="11" t="inlineStr">
        <is>
          <t>26_DE_34</t>
        </is>
      </c>
      <c r="B166" s="11" t="inlineStr"/>
      <c r="C166" s="11" t="inlineStr">
        <is>
          <t>Coordinar les tasques i contractació de la secretaria tècnica que acompanya el projecte CETS</t>
        </is>
      </c>
      <c r="D166" s="11" t="inlineStr">
        <is>
          <t>09.1.1</t>
        </is>
      </c>
      <c r="E166" s="11" t="inlineStr"/>
      <c r="F166" s="11" t="inlineStr">
        <is>
          <t>4. Desenvolupament local</t>
        </is>
      </c>
      <c r="G166" s="11" t="inlineStr">
        <is>
          <t>Contracte obert (licitació des de la DG)</t>
        </is>
      </c>
      <c r="H166" s="11" t="inlineStr"/>
      <c r="I166" s="11" t="inlineStr">
        <is>
          <t>1.1 Planificació de la gestió i designació del lloc</t>
        </is>
      </c>
      <c r="J166" s="12" t="n">
        <v>40365.6</v>
      </c>
      <c r="K166" s="13" t="n">
        <v>0.25</v>
      </c>
      <c r="L166" s="11" t="inlineStr">
        <is>
          <t>Import previs per l'any 2026</t>
        </is>
      </c>
      <c r="M166" s="11" t="inlineStr">
        <is>
          <t>Nuria Canals Sangra</t>
        </is>
      </c>
      <c r="N166" s="11" t="inlineStr">
        <is>
          <t>No</t>
        </is>
      </c>
      <c r="O166" s="15">
        <f>IF(COUNTIF(Objectius!$A$2:$A$183,D166)&gt;0,"Sí","No")</f>
        <v/>
      </c>
    </row>
    <row r="167">
      <c r="A167" s="11" t="inlineStr">
        <is>
          <t>26_DE_35</t>
        </is>
      </c>
      <c r="B167" s="11" t="inlineStr"/>
      <c r="C167" s="11" t="inlineStr">
        <is>
          <t>Coordinació amb el grup CETSCAT de Parcs Naturals de Catalunya que desenvolupen la CETS</t>
        </is>
      </c>
      <c r="D167" s="11" t="inlineStr">
        <is>
          <t>09.1.1</t>
        </is>
      </c>
      <c r="E167" s="11" t="inlineStr"/>
      <c r="F167" s="11" t="inlineStr">
        <is>
          <t>4. Desenvolupament local</t>
        </is>
      </c>
      <c r="G167" s="11" t="inlineStr">
        <is>
          <t>Altres</t>
        </is>
      </c>
      <c r="H167" s="11" t="inlineStr"/>
      <c r="I167" s="11" t="inlineStr">
        <is>
          <t>1.2 Administració del lloc i comunicació amb les parts interessades</t>
        </is>
      </c>
      <c r="J167" s="12" t="n">
        <v>0</v>
      </c>
      <c r="K167" s="13" t="n">
        <v>0.25</v>
      </c>
      <c r="L167" s="11" t="inlineStr">
        <is>
          <t>Amb mitjans propis</t>
        </is>
      </c>
      <c r="M167" s="11" t="inlineStr">
        <is>
          <t>Nuria Canals Sangra</t>
        </is>
      </c>
      <c r="N167" s="11" t="inlineStr">
        <is>
          <t>Si</t>
        </is>
      </c>
      <c r="O167" s="15">
        <f>IF(COUNTIF(Objectius!$A$2:$A$183,D167)&gt;0,"Sí","No")</f>
        <v/>
      </c>
    </row>
    <row r="168">
      <c r="A168" s="11" t="inlineStr">
        <is>
          <t>26_DE_36</t>
        </is>
      </c>
      <c r="B168" s="11" t="n">
        <v>88</v>
      </c>
      <c r="C168" s="11" t="inlineStr">
        <is>
          <t>Tramitar l'acreditació Wild Rivers - Quota associat Xarxa Wild Rivers</t>
        </is>
      </c>
      <c r="D168" s="11" t="inlineStr">
        <is>
          <t>09.1.2</t>
        </is>
      </c>
      <c r="E168" s="11" t="inlineStr"/>
      <c r="F168" s="11" t="inlineStr">
        <is>
          <t>4. Desenvolupament local</t>
        </is>
      </c>
      <c r="G168" s="11" t="inlineStr">
        <is>
          <t>Contracte menor a càrrec del RAE</t>
        </is>
      </c>
      <c r="H168" s="11" t="inlineStr">
        <is>
          <t>227.0089 - Altres treballs realitzats per persones físiques o jurídiques</t>
        </is>
      </c>
      <c r="I168" s="11" t="inlineStr">
        <is>
          <t>1.1 Planificació de la gestió i designació del lloc</t>
        </is>
      </c>
      <c r="J168" s="12" t="n">
        <v>2200</v>
      </c>
      <c r="K168" s="13" t="n">
        <v>0.25</v>
      </c>
      <c r="L168" s="11" t="inlineStr"/>
      <c r="M168" s="11" t="inlineStr">
        <is>
          <t>Marc Garriga Lujan</t>
        </is>
      </c>
      <c r="N168" s="11" t="inlineStr">
        <is>
          <t>Si</t>
        </is>
      </c>
      <c r="O168" s="15">
        <f>IF(COUNTIF(Objectius!$A$2:$A$183,D168)&gt;0,"Sí","No")</f>
        <v/>
      </c>
    </row>
    <row r="169">
      <c r="A169" s="11" t="inlineStr">
        <is>
          <t>26_DE_37</t>
        </is>
      </c>
      <c r="B169" s="11" t="inlineStr"/>
      <c r="C169" s="11" t="inlineStr">
        <is>
          <t>Desplegar les accions previstes al Pla d'acció Wild Rivers 2025-2029</t>
        </is>
      </c>
      <c r="D169" s="11" t="inlineStr">
        <is>
          <t>09.1.2</t>
        </is>
      </c>
      <c r="E169" s="11" t="inlineStr"/>
      <c r="F169" s="11" t="inlineStr">
        <is>
          <t>4. Desenvolupament local</t>
        </is>
      </c>
      <c r="G169" s="11" t="inlineStr">
        <is>
          <t>Altres</t>
        </is>
      </c>
      <c r="H169" s="11" t="inlineStr"/>
      <c r="I169" s="11" t="inlineStr">
        <is>
          <t>1.1 Planificació de la gestió i designació del lloc</t>
        </is>
      </c>
      <c r="J169" s="12" t="n">
        <v>0</v>
      </c>
      <c r="K169" s="13" t="n">
        <v>0.25</v>
      </c>
      <c r="L169" s="11" t="inlineStr">
        <is>
          <t>Amb mitjans propis i indirectament a través d'altrres accions</t>
        </is>
      </c>
      <c r="M169" s="11" t="inlineStr">
        <is>
          <t>Marc Garriga Lujan</t>
        </is>
      </c>
      <c r="N169" s="11" t="inlineStr">
        <is>
          <t>No</t>
        </is>
      </c>
      <c r="O169" s="15">
        <f>IF(COUNTIF(Objectius!$A$2:$A$183,D169)&gt;0,"Sí","No")</f>
        <v/>
      </c>
    </row>
    <row r="170">
      <c r="A170" s="11" t="inlineStr">
        <is>
          <t>26_DE_38</t>
        </is>
      </c>
      <c r="B170" s="11" t="inlineStr"/>
      <c r="C170" s="11" t="inlineStr">
        <is>
          <t>Afavorir els guies intèrprets acreditats pel Parc com actors principals en la difusió dels valors i el patrimoni del Parc, tot donant-los prioritat en la realització d’activitats i guiatges, en especial aquells acreditats per la CETS</t>
        </is>
      </c>
      <c r="D170" s="11" t="inlineStr">
        <is>
          <t>09.1.3</t>
        </is>
      </c>
      <c r="E170" s="11" t="inlineStr"/>
      <c r="F170" s="11" t="inlineStr">
        <is>
          <t>4. Desenvolupament local</t>
        </is>
      </c>
      <c r="G170" s="11" t="inlineStr">
        <is>
          <t>Altres</t>
        </is>
      </c>
      <c r="H170" s="11" t="inlineStr"/>
      <c r="I170" s="11" t="inlineStr">
        <is>
          <t>1.5 Mesures de comunicació i sensibilització, educació i accés de visitants relacionades amb Natura 2000</t>
        </is>
      </c>
      <c r="J170" s="12" t="n">
        <v>0</v>
      </c>
      <c r="K170" s="13" t="n">
        <v>0.25</v>
      </c>
      <c r="L170" s="11" t="inlineStr">
        <is>
          <t>Amb mitjans propis i indirectament a través d'altrres accions</t>
        </is>
      </c>
      <c r="M170" s="11" t="inlineStr">
        <is>
          <t>Moises Villanueva Coello</t>
        </is>
      </c>
      <c r="N170" s="11" t="inlineStr">
        <is>
          <t>Si</t>
        </is>
      </c>
      <c r="O170" s="15">
        <f>IF(COUNTIF(Objectius!$A$2:$A$183,D170)&gt;0,"Sí","No")</f>
        <v/>
      </c>
    </row>
    <row r="171">
      <c r="A171" s="11" t="inlineStr">
        <is>
          <t>26_DE_39</t>
        </is>
      </c>
      <c r="B171" s="11" t="n">
        <v>104</v>
      </c>
      <c r="C171" s="11" t="inlineStr">
        <is>
          <t>Promocionar les activitats dels guies intèrprets acreditats del Parc en els mitjans de difusió del Parc - nou catàleg dels guies interprets del Parc</t>
        </is>
      </c>
      <c r="D171" s="11" t="inlineStr">
        <is>
          <t>09.1.3</t>
        </is>
      </c>
      <c r="E171" s="11" t="inlineStr"/>
      <c r="F171" s="11" t="inlineStr">
        <is>
          <t>4. Desenvolupament local</t>
        </is>
      </c>
      <c r="G171" s="11" t="inlineStr">
        <is>
          <t>Contracte menor a càrrec del RAE</t>
        </is>
      </c>
      <c r="H171" s="11" t="inlineStr">
        <is>
          <t>240.0001 - Despeses de publicacions</t>
        </is>
      </c>
      <c r="I171" s="11" t="inlineStr">
        <is>
          <t>1.5 Mesures de comunicació i sensibilització, educació i accés de visitants relacionades amb Natura 2000</t>
        </is>
      </c>
      <c r="J171" s="12" t="n">
        <v>6000</v>
      </c>
      <c r="K171" s="13" t="n">
        <v>0.5</v>
      </c>
      <c r="L171" s="11" t="inlineStr"/>
      <c r="M171" s="11" t="inlineStr">
        <is>
          <t>Marc Garriga Lujan</t>
        </is>
      </c>
      <c r="N171" s="11" t="inlineStr">
        <is>
          <t>No</t>
        </is>
      </c>
      <c r="O171" s="15">
        <f>IF(COUNTIF(Objectius!$A$2:$A$183,D171)&gt;0,"Sí","No")</f>
        <v/>
      </c>
    </row>
    <row r="172">
      <c r="A172" s="11" t="inlineStr">
        <is>
          <t>26_DE_40</t>
        </is>
      </c>
      <c r="B172" s="11" t="n">
        <v>68</v>
      </c>
      <c r="C172" s="11" t="inlineStr">
        <is>
          <t>Fomentar les compensacions del carboni generat pels visitants a través de Gratitud Pallars - Coordinació del projecte</t>
        </is>
      </c>
      <c r="D172" s="11" t="inlineStr">
        <is>
          <t>09.2.1</t>
        </is>
      </c>
      <c r="E172" s="11" t="inlineStr"/>
      <c r="F172" s="11" t="inlineStr">
        <is>
          <t>4. Desenvolupament local</t>
        </is>
      </c>
      <c r="G172" s="11" t="inlineStr">
        <is>
          <t>Contracte menor a càrrec del RAE</t>
        </is>
      </c>
      <c r="H172" s="11" t="inlineStr">
        <is>
          <t>227.0013 - Treballs tècnics</t>
        </is>
      </c>
      <c r="I172" s="11" t="inlineStr">
        <is>
          <t>1.5 Mesures de comunicació i sensibilització, educació i accés de visitants relacionades amb Natura 2000</t>
        </is>
      </c>
      <c r="J172" s="12" t="n">
        <v>18150</v>
      </c>
      <c r="K172" s="13" t="n">
        <v>0.25</v>
      </c>
      <c r="L172" s="11" t="inlineStr"/>
      <c r="M172" s="11" t="inlineStr">
        <is>
          <t>Moises Villanueva Coello</t>
        </is>
      </c>
      <c r="N172" s="11" t="inlineStr">
        <is>
          <t>No</t>
        </is>
      </c>
      <c r="O172" s="15">
        <f>IF(COUNTIF(Objectius!$A$2:$A$183,D172)&gt;0,"Sí","No")</f>
        <v/>
      </c>
    </row>
    <row r="173">
      <c r="A173" s="11" t="inlineStr">
        <is>
          <t>26_DE_41</t>
        </is>
      </c>
      <c r="B173" s="11" t="inlineStr"/>
      <c r="C173" s="11" t="inlineStr">
        <is>
          <t>Creació i desplegament dels grups de treball en l'àmbit turístic (cultura, esqui, dades, empreses CETS, etc..)</t>
        </is>
      </c>
      <c r="D173" s="11" t="inlineStr">
        <is>
          <t>09.2.2</t>
        </is>
      </c>
      <c r="E173" s="11" t="inlineStr"/>
      <c r="F173" s="11" t="inlineStr">
        <is>
          <t>4. Desenvolupament local</t>
        </is>
      </c>
      <c r="G173" s="11" t="inlineStr">
        <is>
          <t>Altres</t>
        </is>
      </c>
      <c r="H173" s="11" t="inlineStr"/>
      <c r="I173" s="11" t="inlineStr">
        <is>
          <t>1.2 Administració del lloc i comunicació amb les parts interessades</t>
        </is>
      </c>
      <c r="J173" s="12" t="n">
        <v>0</v>
      </c>
      <c r="K173" s="13" t="n">
        <v>0.25</v>
      </c>
      <c r="L173" s="11" t="inlineStr">
        <is>
          <t>Amb mitjans propis i indirectament a través d'altrres accions</t>
        </is>
      </c>
      <c r="M173" s="11" t="inlineStr">
        <is>
          <t>Marc Garriga Lujan</t>
        </is>
      </c>
      <c r="N173" s="11" t="inlineStr">
        <is>
          <t>No</t>
        </is>
      </c>
      <c r="O173" s="15">
        <f>IF(COUNTIF(Objectius!$A$2:$A$183,D173)&gt;0,"Sí","No")</f>
        <v/>
      </c>
    </row>
    <row r="174">
      <c r="A174" s="11" t="inlineStr">
        <is>
          <t>26_DE_42</t>
        </is>
      </c>
      <c r="B174" s="11" t="inlineStr"/>
      <c r="C174" s="11" t="inlineStr">
        <is>
          <t>Participar com agent col·laborador al Pla de Turisme Sostenible de Sort 2024-2028 en les diferents accions previstes relacionades amb el Parc</t>
        </is>
      </c>
      <c r="D174" s="11" t="inlineStr">
        <is>
          <t>09.2.2</t>
        </is>
      </c>
      <c r="E174" s="11" t="inlineStr"/>
      <c r="F174" s="11" t="inlineStr">
        <is>
          <t>4. Desenvolupament local</t>
        </is>
      </c>
      <c r="G174" s="11" t="inlineStr">
        <is>
          <t>Altres</t>
        </is>
      </c>
      <c r="H174" s="11" t="inlineStr"/>
      <c r="I174" s="11" t="inlineStr">
        <is>
          <t>1.1 Planificació de la gestió i designació del lloc</t>
        </is>
      </c>
      <c r="J174" s="12" t="n">
        <v>0</v>
      </c>
      <c r="K174" s="13" t="n">
        <v>0.25</v>
      </c>
      <c r="L174" s="11" t="inlineStr">
        <is>
          <t>Amb mitjans propis i indirectament a través d'altrres accions</t>
        </is>
      </c>
      <c r="M174" s="11" t="inlineStr">
        <is>
          <t>Nuria Canals Sangra</t>
        </is>
      </c>
      <c r="N174" s="11" t="inlineStr">
        <is>
          <t>No</t>
        </is>
      </c>
      <c r="O174" s="15">
        <f>IF(COUNTIF(Objectius!$A$2:$A$183,D174)&gt;0,"Sí","No")</f>
        <v/>
      </c>
    </row>
    <row r="175">
      <c r="A175" s="11" t="inlineStr">
        <is>
          <t>26_US_01</t>
        </is>
      </c>
      <c r="B175" s="11" t="inlineStr"/>
      <c r="C175" s="11" t="inlineStr">
        <is>
          <t>Mantenir, divulgar i supervisar la regulació d'acampada i pernoctació en base a lo acordat en Junta Rectora</t>
        </is>
      </c>
      <c r="D175" s="11" t="inlineStr">
        <is>
          <t>11.1.1</t>
        </is>
      </c>
      <c r="E175" s="11" t="inlineStr"/>
      <c r="F175" s="11" t="inlineStr">
        <is>
          <t>5. Ús públic i social</t>
        </is>
      </c>
      <c r="G175" s="11" t="inlineStr">
        <is>
          <t>Altres</t>
        </is>
      </c>
      <c r="H175" s="11" t="inlineStr"/>
      <c r="I175" s="11" t="inlineStr">
        <is>
          <t>1.5 Mesures de comunicació i sensibilització, educació i accés de visitants relacionades amb Natura 2000</t>
        </is>
      </c>
      <c r="J175" s="12" t="n">
        <v>0</v>
      </c>
      <c r="K175" s="13" t="n">
        <v>0.25</v>
      </c>
      <c r="L175" s="11" t="inlineStr">
        <is>
          <t>Amb mitjans propis i indirectament a través d'altrres accions</t>
        </is>
      </c>
      <c r="M175" s="11" t="inlineStr">
        <is>
          <t>Marc Garriga Lujan</t>
        </is>
      </c>
      <c r="N175" s="11" t="inlineStr">
        <is>
          <t>Si</t>
        </is>
      </c>
      <c r="O175" s="15">
        <f>IF(COUNTIF(Objectius!$A$2:$A$183,D175)&gt;0,"Sí","No")</f>
        <v/>
      </c>
    </row>
    <row r="176">
      <c r="A176" s="11" t="inlineStr">
        <is>
          <t>26_US_02</t>
        </is>
      </c>
      <c r="B176" s="11" t="inlineStr"/>
      <c r="C176" s="11" t="inlineStr">
        <is>
          <t>Requerir i tramitar autorització empreses BTT fan circuits al Parc - projecte Bike Natura</t>
        </is>
      </c>
      <c r="D176" s="11" t="inlineStr">
        <is>
          <t>11.1.1</t>
        </is>
      </c>
      <c r="E176" s="11" t="inlineStr"/>
      <c r="F176" s="11" t="inlineStr">
        <is>
          <t>5. Ús públic i social</t>
        </is>
      </c>
      <c r="G176" s="11" t="inlineStr">
        <is>
          <t>Altres</t>
        </is>
      </c>
      <c r="H176" s="11" t="inlineStr"/>
      <c r="I176" s="11" t="inlineStr">
        <is>
          <t>1.3 Seguiment, vigilància i notificació</t>
        </is>
      </c>
      <c r="J176" s="12" t="n">
        <v>0</v>
      </c>
      <c r="K176" s="13" t="n">
        <v>0.25</v>
      </c>
      <c r="L176" s="11" t="inlineStr">
        <is>
          <t>Amb mitjans propis</t>
        </is>
      </c>
      <c r="M176" s="11" t="inlineStr">
        <is>
          <t>Marc Garriga Lujan</t>
        </is>
      </c>
      <c r="N176" s="11" t="inlineStr">
        <is>
          <t>No</t>
        </is>
      </c>
      <c r="O176" s="15">
        <f>IF(COUNTIF(Objectius!$A$2:$A$183,D176)&gt;0,"Sí","No")</f>
        <v/>
      </c>
    </row>
    <row r="177">
      <c r="A177" s="11" t="inlineStr">
        <is>
          <t>26_US_03</t>
        </is>
      </c>
      <c r="B177" s="11" t="n">
        <v>90</v>
      </c>
      <c r="C177" s="11" t="inlineStr">
        <is>
          <t>Creació i divulgació d'àrees de tranquil·litat hivernal per fer compatible activitats hivernals de neu amb la conservació de fauna sensible</t>
        </is>
      </c>
      <c r="D177" s="11" t="inlineStr">
        <is>
          <t>11.1.3</t>
        </is>
      </c>
      <c r="E177" s="11" t="inlineStr"/>
      <c r="F177" s="11" t="inlineStr">
        <is>
          <t>5. Ús públic i social</t>
        </is>
      </c>
      <c r="G177" s="11" t="inlineStr">
        <is>
          <t>Contracte menor a càrrec del RAE</t>
        </is>
      </c>
      <c r="H177" s="11" t="inlineStr">
        <is>
          <t>227.0089 - Altres treballs realitzats per persones físiques o jurídiques</t>
        </is>
      </c>
      <c r="I177" s="11" t="inlineStr">
        <is>
          <t>1.5 Mesures de comunicació i sensibilització, educació i accés de visitants relacionades amb Natura 2000</t>
        </is>
      </c>
      <c r="J177" s="12" t="n">
        <v>17620</v>
      </c>
      <c r="K177" s="13" t="n">
        <v>0.5</v>
      </c>
      <c r="L177" s="11" t="inlineStr"/>
      <c r="M177" s="11" t="inlineStr">
        <is>
          <t>Pol Alcalde Floriach</t>
        </is>
      </c>
      <c r="N177" s="11" t="inlineStr">
        <is>
          <t>No</t>
        </is>
      </c>
      <c r="O177" s="15">
        <f>IF(COUNTIF(Objectius!$A$2:$A$183,D177)&gt;0,"Sí","No")</f>
        <v/>
      </c>
    </row>
    <row r="178">
      <c r="A178" s="11" t="inlineStr">
        <is>
          <t>26_US_04</t>
        </is>
      </c>
      <c r="B178" s="11" t="n">
        <v>25</v>
      </c>
      <c r="C178" s="11" t="inlineStr">
        <is>
          <t>Implementació el protocol de regulació de curses i altres activitats esportives organitzades a través de segells de qualitat (Seell Verd) - Material promocional i de merchandising: samarretes adults Skyrace</t>
        </is>
      </c>
      <c r="D178" s="11" t="inlineStr">
        <is>
          <t>11.1.4</t>
        </is>
      </c>
      <c r="E178" s="11" t="inlineStr">
        <is>
          <t>13.5.2</t>
        </is>
      </c>
      <c r="F178" s="11" t="inlineStr">
        <is>
          <t>5. Ús públic i social</t>
        </is>
      </c>
      <c r="G178" s="11" t="inlineStr">
        <is>
          <t>Contracte menor a càrrec del RAE</t>
        </is>
      </c>
      <c r="H178" s="11" t="inlineStr">
        <is>
          <t>221.0089 - Altres subministraments</t>
        </is>
      </c>
      <c r="I178" s="11" t="inlineStr">
        <is>
          <t>1.5 Mesures de comunicació i sensibilització, educació i accés de visitants relacionades amb Natura 2000</t>
        </is>
      </c>
      <c r="J178" s="12" t="n">
        <v>1750</v>
      </c>
      <c r="K178" s="13" t="n">
        <v>0.25</v>
      </c>
      <c r="L178" s="11" t="inlineStr">
        <is>
          <t>Import 2026 calculat amb la fórmula =7000/4</t>
        </is>
      </c>
      <c r="M178" s="11" t="inlineStr">
        <is>
          <t>Marc Garriga Lujan</t>
        </is>
      </c>
      <c r="N178" s="11" t="inlineStr">
        <is>
          <t>No</t>
        </is>
      </c>
      <c r="O178" s="15">
        <f>IF(COUNTIF(Objectius!$A$2:$A$183,D178)&gt;0,"Sí","No")</f>
        <v/>
      </c>
    </row>
    <row r="179">
      <c r="A179" s="11" t="inlineStr">
        <is>
          <t>26_US_05</t>
        </is>
      </c>
      <c r="B179" s="11" t="n">
        <v>26</v>
      </c>
      <c r="C179" s="11" t="inlineStr">
        <is>
          <t>Implementació el protocol de regulació de curses i altres activitats esportives organitzades a través de segells de qualitat (Segell Verd) - Material promocional i de merchandising: jaquetes voluntaris Skyrace</t>
        </is>
      </c>
      <c r="D179" s="11" t="inlineStr">
        <is>
          <t>11.1.4</t>
        </is>
      </c>
      <c r="E179" s="11" t="inlineStr">
        <is>
          <t>13.5.2</t>
        </is>
      </c>
      <c r="F179" s="11" t="inlineStr">
        <is>
          <t>5. Ús públic i social</t>
        </is>
      </c>
      <c r="G179" s="11" t="inlineStr">
        <is>
          <t>Contracte menor a càrrec del RAE</t>
        </is>
      </c>
      <c r="H179" s="11" t="inlineStr">
        <is>
          <t>221.0089 - Altres subministraments</t>
        </is>
      </c>
      <c r="I179" s="11" t="inlineStr">
        <is>
          <t>1.5 Mesures de comunicació i sensibilització, educació i accés de visitants relacionades amb Natura 2000</t>
        </is>
      </c>
      <c r="J179" s="12" t="n">
        <v>1750</v>
      </c>
      <c r="K179" s="13" t="n">
        <v>0.25</v>
      </c>
      <c r="L179" s="11" t="inlineStr"/>
      <c r="M179" s="11" t="inlineStr">
        <is>
          <t>Marc Garriga Lujan</t>
        </is>
      </c>
      <c r="N179" s="11" t="inlineStr">
        <is>
          <t>No</t>
        </is>
      </c>
      <c r="O179" s="15">
        <f>IF(COUNTIF(Objectius!$A$2:$A$183,D179)&gt;0,"Sí","No")</f>
        <v/>
      </c>
    </row>
    <row r="180">
      <c r="A180" s="11" t="inlineStr">
        <is>
          <t>26_US_06</t>
        </is>
      </c>
      <c r="B180" s="11" t="n">
        <v>27</v>
      </c>
      <c r="C180" s="11" t="inlineStr">
        <is>
          <t>Implementació el protocol de regulació de curses i altres activitats esportives organitzades a través de segells de qualitat (Segell Verd) - Material promocional i de merchandising: samarretes Ribalera</t>
        </is>
      </c>
      <c r="D180" s="11" t="inlineStr">
        <is>
          <t>11.1.4</t>
        </is>
      </c>
      <c r="E180" s="11" t="inlineStr">
        <is>
          <t>13.5.2</t>
        </is>
      </c>
      <c r="F180" s="11" t="inlineStr">
        <is>
          <t>5. Ús públic i social</t>
        </is>
      </c>
      <c r="G180" s="11" t="inlineStr">
        <is>
          <t>Contracte menor a càrrec del RAE</t>
        </is>
      </c>
      <c r="H180" s="11" t="inlineStr">
        <is>
          <t>221.0089 - Altres subministraments</t>
        </is>
      </c>
      <c r="I180" s="11" t="inlineStr">
        <is>
          <t>1.5 Mesures de comunicació i sensibilització, educació i accés de visitants relacionades amb Natura 2000</t>
        </is>
      </c>
      <c r="J180" s="12" t="n">
        <v>1750</v>
      </c>
      <c r="K180" s="13" t="n">
        <v>0.25</v>
      </c>
      <c r="L180" s="11" t="inlineStr"/>
      <c r="M180" s="11" t="inlineStr">
        <is>
          <t>Marc Garriga Lujan</t>
        </is>
      </c>
      <c r="N180" s="11" t="inlineStr">
        <is>
          <t>No</t>
        </is>
      </c>
      <c r="O180" s="15">
        <f>IF(COUNTIF(Objectius!$A$2:$A$183,D180)&gt;0,"Sí","No")</f>
        <v/>
      </c>
    </row>
    <row r="181">
      <c r="A181" s="11" t="inlineStr">
        <is>
          <t>26_US_07</t>
        </is>
      </c>
      <c r="B181" s="11" t="n">
        <v>28</v>
      </c>
      <c r="C181" s="11" t="inlineStr">
        <is>
          <t>Implementació el protocol de regulació de curses i altres activitats esportives organitzades a través de segells de qualitat (Segell Verd) - Material promocional i de merchandising: samarretes Matxicots</t>
        </is>
      </c>
      <c r="D181" s="11" t="inlineStr">
        <is>
          <t>11.1.4</t>
        </is>
      </c>
      <c r="E181" s="11" t="inlineStr">
        <is>
          <t>13.5.2</t>
        </is>
      </c>
      <c r="F181" s="11" t="inlineStr">
        <is>
          <t>5. Ús públic i social</t>
        </is>
      </c>
      <c r="G181" s="11" t="inlineStr">
        <is>
          <t>Contracte menor a càrrec del RAE</t>
        </is>
      </c>
      <c r="H181" s="11" t="inlineStr">
        <is>
          <t>221.0089 - Altres subministraments</t>
        </is>
      </c>
      <c r="I181" s="11" t="inlineStr">
        <is>
          <t>1.5 Mesures de comunicació i sensibilització, educació i accés de visitants relacionades amb Natura 2000</t>
        </is>
      </c>
      <c r="J181" s="12" t="n">
        <v>1750</v>
      </c>
      <c r="K181" s="13" t="n">
        <v>0.25</v>
      </c>
      <c r="L181" s="11" t="inlineStr"/>
      <c r="M181" s="11" t="inlineStr">
        <is>
          <t>Marc Garriga Lujan</t>
        </is>
      </c>
      <c r="N181" s="11" t="inlineStr">
        <is>
          <t>No</t>
        </is>
      </c>
      <c r="O181" s="15">
        <f>IF(COUNTIF(Objectius!$A$2:$A$183,D181)&gt;0,"Sí","No")</f>
        <v/>
      </c>
    </row>
    <row r="182">
      <c r="A182" s="11" t="inlineStr">
        <is>
          <t>26_US_08</t>
        </is>
      </c>
      <c r="B182" s="11" t="inlineStr"/>
      <c r="C182" s="11" t="inlineStr">
        <is>
          <t>Mantenir i supervisar la regulació de recerca científica</t>
        </is>
      </c>
      <c r="D182" s="11" t="inlineStr">
        <is>
          <t>11.1.6</t>
        </is>
      </c>
      <c r="E182" s="11" t="inlineStr"/>
      <c r="F182" s="11" t="inlineStr">
        <is>
          <t>5. Ús públic i social</t>
        </is>
      </c>
      <c r="G182" s="11" t="inlineStr">
        <is>
          <t>Altres</t>
        </is>
      </c>
      <c r="H182" s="11" t="inlineStr"/>
      <c r="I182" s="11" t="inlineStr">
        <is>
          <t>1.3 Seguiment, vigilància i notificació</t>
        </is>
      </c>
      <c r="J182" s="12" t="n">
        <v>0</v>
      </c>
      <c r="K182" s="13" t="n">
        <v>0.25</v>
      </c>
      <c r="L182" s="11" t="inlineStr">
        <is>
          <t>Amb mitjans propis</t>
        </is>
      </c>
      <c r="M182" s="11" t="inlineStr">
        <is>
          <t>Oriol Grau Fernandez</t>
        </is>
      </c>
      <c r="N182" s="11" t="inlineStr">
        <is>
          <t>Si</t>
        </is>
      </c>
      <c r="O182" s="15">
        <f>IF(COUNTIF(Objectius!$A$2:$A$183,D182)&gt;0,"Sí","No")</f>
        <v/>
      </c>
    </row>
    <row r="183">
      <c r="A183" s="11" t="inlineStr">
        <is>
          <t>26_US_09</t>
        </is>
      </c>
      <c r="B183" s="11" t="inlineStr"/>
      <c r="C183" s="11" t="inlineStr">
        <is>
          <t>Divulgar la regulació del bany als ecosistemes aquàtics (senyals, web, XXSS,..)</t>
        </is>
      </c>
      <c r="D183" s="11" t="inlineStr">
        <is>
          <t>11.1.7</t>
        </is>
      </c>
      <c r="E183" s="11" t="inlineStr"/>
      <c r="F183" s="11" t="inlineStr">
        <is>
          <t>5. Ús públic i social</t>
        </is>
      </c>
      <c r="G183" s="11" t="inlineStr">
        <is>
          <t>Altres</t>
        </is>
      </c>
      <c r="H183" s="11" t="inlineStr"/>
      <c r="I183" s="11" t="inlineStr">
        <is>
          <t>1.5 Mesures de comunicació i sensibilització, educació i accés de visitants relacionades amb Natura 2000</t>
        </is>
      </c>
      <c r="J183" s="12" t="n">
        <v>0</v>
      </c>
      <c r="K183" s="13" t="n">
        <v>0.25</v>
      </c>
      <c r="L183" s="11" t="inlineStr">
        <is>
          <t>Amb mitjans propis i servei de manteniment (senyals ja adquirides)</t>
        </is>
      </c>
      <c r="M183" s="11" t="inlineStr">
        <is>
          <t>Nil Bacardit Tudela</t>
        </is>
      </c>
      <c r="N183" s="11" t="inlineStr">
        <is>
          <t>Si</t>
        </is>
      </c>
      <c r="O183" s="15">
        <f>IF(COUNTIF(Objectius!$A$2:$A$183,D183)&gt;0,"Sí","No")</f>
        <v/>
      </c>
    </row>
    <row r="184">
      <c r="A184" s="11" t="inlineStr">
        <is>
          <t>26_US_10</t>
        </is>
      </c>
      <c r="B184" s="11" t="inlineStr"/>
      <c r="C184" s="11" t="inlineStr">
        <is>
          <t>Mantenir i supervisar la regulació de vol sense motor en base a la normativa sectorial</t>
        </is>
      </c>
      <c r="D184" s="11" t="inlineStr">
        <is>
          <t>11.1.8</t>
        </is>
      </c>
      <c r="E184" s="11" t="inlineStr"/>
      <c r="F184" s="11" t="inlineStr">
        <is>
          <t>5. Ús públic i social</t>
        </is>
      </c>
      <c r="G184" s="11" t="inlineStr">
        <is>
          <t>Altres</t>
        </is>
      </c>
      <c r="H184" s="11" t="inlineStr"/>
      <c r="I184" s="11" t="inlineStr">
        <is>
          <t>1.3 Seguiment, vigilància i notificació</t>
        </is>
      </c>
      <c r="J184" s="12" t="n">
        <v>0</v>
      </c>
      <c r="K184" s="13" t="n">
        <v>0.25</v>
      </c>
      <c r="L184" s="11" t="inlineStr">
        <is>
          <t>Amb mitjans propis</t>
        </is>
      </c>
      <c r="M184" s="11" t="inlineStr">
        <is>
          <t>Mariona Martinez Salvador</t>
        </is>
      </c>
      <c r="N184" s="11" t="inlineStr">
        <is>
          <t>Si</t>
        </is>
      </c>
      <c r="O184" s="15">
        <f>IF(COUNTIF(Objectius!$A$2:$A$183,D184)&gt;0,"Sí","No")</f>
        <v/>
      </c>
    </row>
    <row r="185">
      <c r="A185" s="11" t="inlineStr">
        <is>
          <t>26_US_11</t>
        </is>
      </c>
      <c r="B185" s="11" t="inlineStr"/>
      <c r="C185" s="11" t="inlineStr">
        <is>
          <t>Mantenir i supervisar la regulació de navegació en base a la normativa sectorial als rius del Parc</t>
        </is>
      </c>
      <c r="D185" s="11" t="inlineStr">
        <is>
          <t>11.1.10</t>
        </is>
      </c>
      <c r="E185" s="11" t="inlineStr"/>
      <c r="F185" s="11" t="inlineStr">
        <is>
          <t>5. Ús públic i social</t>
        </is>
      </c>
      <c r="G185" s="11" t="inlineStr">
        <is>
          <t>Altres</t>
        </is>
      </c>
      <c r="H185" s="11" t="inlineStr"/>
      <c r="I185" s="11" t="inlineStr">
        <is>
          <t>1.3 Seguiment, vigilància i notificació</t>
        </is>
      </c>
      <c r="J185" s="12" t="n">
        <v>0</v>
      </c>
      <c r="K185" s="13" t="n">
        <v>0.25</v>
      </c>
      <c r="L185" s="11" t="inlineStr">
        <is>
          <t>Amb mitjans propis</t>
        </is>
      </c>
      <c r="M185" s="11" t="inlineStr">
        <is>
          <t>Mariona Martinez Salvador</t>
        </is>
      </c>
      <c r="N185" s="11" t="inlineStr">
        <is>
          <t>Si</t>
        </is>
      </c>
      <c r="O185" s="15">
        <f>IF(COUNTIF(Objectius!$A$2:$A$183,D185)&gt;0,"Sí","No")</f>
        <v/>
      </c>
    </row>
    <row r="186">
      <c r="A186" s="11" t="inlineStr">
        <is>
          <t>26_US_12</t>
        </is>
      </c>
      <c r="B186" s="11" t="inlineStr"/>
      <c r="C186" s="11" t="inlineStr">
        <is>
          <t>Divulgar la regulació de gos lligat per acord de Junta Rectora (senyals, web, XXSS,..)</t>
        </is>
      </c>
      <c r="D186" s="11" t="inlineStr">
        <is>
          <t>11.1.11</t>
        </is>
      </c>
      <c r="E186" s="11" t="inlineStr"/>
      <c r="F186" s="11" t="inlineStr">
        <is>
          <t>5. Ús públic i social</t>
        </is>
      </c>
      <c r="G186" s="11" t="inlineStr">
        <is>
          <t>Altres</t>
        </is>
      </c>
      <c r="H186" s="11" t="inlineStr"/>
      <c r="I186" s="11" t="inlineStr">
        <is>
          <t>1.5 Mesures de comunicació i sensibilització, educació i accés de visitants relacionades amb Natura 2000</t>
        </is>
      </c>
      <c r="J186" s="12" t="n">
        <v>0</v>
      </c>
      <c r="K186" s="13" t="n">
        <v>0.25</v>
      </c>
      <c r="L186" s="11" t="inlineStr">
        <is>
          <t>Amb mitjans propis i servei de manteniment (senyals ja adquirides)</t>
        </is>
      </c>
      <c r="M186" s="11" t="inlineStr">
        <is>
          <t>Nil Bacardit Tudela</t>
        </is>
      </c>
      <c r="N186" s="11" t="inlineStr">
        <is>
          <t>Si</t>
        </is>
      </c>
      <c r="O186" s="15">
        <f>IF(COUNTIF(Objectius!$A$2:$A$183,D186)&gt;0,"Sí","No")</f>
        <v/>
      </c>
    </row>
    <row r="187">
      <c r="A187" s="11" t="inlineStr">
        <is>
          <t>26_US_13</t>
        </is>
      </c>
      <c r="B187" s="11" t="inlineStr"/>
      <c r="C187" s="11" t="inlineStr">
        <is>
          <t>Coordinació amb agents implicats en la promoció i regulació les activitats de lleure educatiu</t>
        </is>
      </c>
      <c r="D187" s="11" t="inlineStr">
        <is>
          <t>11.1.12</t>
        </is>
      </c>
      <c r="E187" s="11" t="inlineStr"/>
      <c r="F187" s="11" t="inlineStr">
        <is>
          <t>5. Ús públic i social</t>
        </is>
      </c>
      <c r="G187" s="11" t="inlineStr">
        <is>
          <t>Altres</t>
        </is>
      </c>
      <c r="H187" s="11" t="inlineStr"/>
      <c r="I187" s="11" t="inlineStr">
        <is>
          <t>1.3 Seguiment, vigilància i notificació</t>
        </is>
      </c>
      <c r="J187" s="12" t="n">
        <v>0</v>
      </c>
      <c r="K187" s="13" t="n">
        <v>0.25</v>
      </c>
      <c r="L187" s="11" t="inlineStr">
        <is>
          <t>Amb mitjans propis</t>
        </is>
      </c>
      <c r="M187" s="11" t="inlineStr">
        <is>
          <t>Moises Villanueva Coello</t>
        </is>
      </c>
      <c r="N187" s="11" t="inlineStr">
        <is>
          <t>Si</t>
        </is>
      </c>
      <c r="O187" s="15">
        <f>IF(COUNTIF(Objectius!$A$2:$A$183,D187)&gt;0,"Sí","No")</f>
        <v/>
      </c>
    </row>
    <row r="188">
      <c r="A188" s="11" t="inlineStr">
        <is>
          <t>26_US_14</t>
        </is>
      </c>
      <c r="B188" s="11" t="inlineStr"/>
      <c r="C188" s="11" t="inlineStr">
        <is>
          <t>Incorporació de les tecnologies de Wikiloc o Google Maps</t>
        </is>
      </c>
      <c r="D188" s="11" t="inlineStr">
        <is>
          <t>11.2.2</t>
        </is>
      </c>
      <c r="E188" s="11" t="inlineStr"/>
      <c r="F188" s="11" t="inlineStr">
        <is>
          <t>5. Ús públic i social</t>
        </is>
      </c>
      <c r="G188" s="11" t="inlineStr">
        <is>
          <t>Altres</t>
        </is>
      </c>
      <c r="H188" s="11" t="inlineStr"/>
      <c r="I188" s="11" t="inlineStr">
        <is>
          <t>1.5 Mesures de comunicació i sensibilització, educació i accés de visitants relacionades amb Natura 2000</t>
        </is>
      </c>
      <c r="J188" s="12" t="n">
        <v>0</v>
      </c>
      <c r="K188" s="13" t="n">
        <v>0.25</v>
      </c>
      <c r="L188" s="11" t="inlineStr">
        <is>
          <t>Amb mitjans propis</t>
        </is>
      </c>
      <c r="M188" s="11" t="inlineStr">
        <is>
          <t>Marc Garriga Lujan</t>
        </is>
      </c>
      <c r="N188" s="11" t="inlineStr">
        <is>
          <t>No</t>
        </is>
      </c>
      <c r="O188" s="15">
        <f>IF(COUNTIF(Objectius!$A$2:$A$183,D188)&gt;0,"Sí","No")</f>
        <v/>
      </c>
    </row>
    <row r="189">
      <c r="A189" s="11" t="inlineStr">
        <is>
          <t>26_US_15</t>
        </is>
      </c>
      <c r="B189" s="11" t="inlineStr"/>
      <c r="C189" s="11" t="inlineStr">
        <is>
          <t>Promoció dels itineraris i miradors accessibles</t>
        </is>
      </c>
      <c r="D189" s="11" t="inlineStr">
        <is>
          <t>11.2.2</t>
        </is>
      </c>
      <c r="E189" s="11" t="inlineStr"/>
      <c r="F189" s="11" t="inlineStr">
        <is>
          <t>5. Ús públic i social</t>
        </is>
      </c>
      <c r="G189" s="11" t="inlineStr">
        <is>
          <t>Altres</t>
        </is>
      </c>
      <c r="H189" s="11" t="inlineStr"/>
      <c r="I189" s="11" t="inlineStr">
        <is>
          <t>1.5 Mesures de comunicació i sensibilització, educació i accés de visitants relacionades amb Natura 2000</t>
        </is>
      </c>
      <c r="J189" s="12" t="n">
        <v>0</v>
      </c>
      <c r="K189" s="13" t="n">
        <v>0.25</v>
      </c>
      <c r="L189" s="11" t="inlineStr">
        <is>
          <t>Amb mitjans propis</t>
        </is>
      </c>
      <c r="M189" s="11" t="inlineStr">
        <is>
          <t>Oriol Martinez Cañas</t>
        </is>
      </c>
      <c r="N189" s="11" t="inlineStr">
        <is>
          <t>Si</t>
        </is>
      </c>
      <c r="O189" s="15">
        <f>IF(COUNTIF(Objectius!$A$2:$A$183,D189)&gt;0,"Sí","No")</f>
        <v/>
      </c>
    </row>
    <row r="190">
      <c r="A190" s="11" t="inlineStr">
        <is>
          <t>26_US_16</t>
        </is>
      </c>
      <c r="B190" s="11" t="inlineStr"/>
      <c r="C190" s="11" t="inlineStr">
        <is>
          <t>Promoció del pla de regulació de circulació rodada motoritzada</t>
        </is>
      </c>
      <c r="D190" s="11" t="inlineStr">
        <is>
          <t>11.3.1</t>
        </is>
      </c>
      <c r="E190" s="11" t="inlineStr"/>
      <c r="F190" s="11" t="inlineStr">
        <is>
          <t>5. Ús públic i social</t>
        </is>
      </c>
      <c r="G190" s="11" t="inlineStr">
        <is>
          <t>Altres</t>
        </is>
      </c>
      <c r="H190" s="11" t="inlineStr"/>
      <c r="I190" s="11" t="inlineStr">
        <is>
          <t>1.5 Mesures de comunicació i sensibilització, educació i accés de visitants relacionades amb Natura 2000</t>
        </is>
      </c>
      <c r="J190" s="12" t="n">
        <v>0</v>
      </c>
      <c r="K190" s="13" t="n">
        <v>0.25</v>
      </c>
      <c r="L190" s="11" t="inlineStr">
        <is>
          <t>Amb mitjans propis</t>
        </is>
      </c>
      <c r="M190" s="11" t="inlineStr">
        <is>
          <t>Moises Villanueva Coello</t>
        </is>
      </c>
      <c r="N190" s="11" t="inlineStr">
        <is>
          <t>Si</t>
        </is>
      </c>
      <c r="O190" s="15">
        <f>IF(COUNTIF(Objectius!$A$2:$A$183,D190)&gt;0,"Sí","No")</f>
        <v/>
      </c>
    </row>
    <row r="191">
      <c r="A191" s="11" t="inlineStr">
        <is>
          <t>26_US_17</t>
        </is>
      </c>
      <c r="B191" s="11" t="n">
        <v>9</v>
      </c>
      <c r="C191" s="11" t="inlineStr">
        <is>
          <t>Continuar i millorar la regulació per reserva (Vall de Bonabe, Pica Estats,..) - Manteniment plataforma de reserves dels aparcaments de la vall de Bonabé i Pica d'estats</t>
        </is>
      </c>
      <c r="D191" s="11" t="inlineStr">
        <is>
          <t>11.3.1</t>
        </is>
      </c>
      <c r="E191" s="11" t="inlineStr">
        <is>
          <t>11.3.4</t>
        </is>
      </c>
      <c r="F191" s="11" t="inlineStr">
        <is>
          <t>5. Ús públic i social</t>
        </is>
      </c>
      <c r="G191" s="11" t="inlineStr">
        <is>
          <t>Contracte menor a càrrec del RAE</t>
        </is>
      </c>
      <c r="H191" s="11" t="inlineStr">
        <is>
          <t>212.0001 - Conservació, reparació i manteniment d'equips per a procés de dades, programari i reprografia</t>
        </is>
      </c>
      <c r="I191" s="11" t="inlineStr">
        <is>
          <t>1.2 Administració del lloc i comunicació amb les parts interessades</t>
        </is>
      </c>
      <c r="J191" s="12" t="n">
        <v>10000</v>
      </c>
      <c r="K191" s="13" t="n">
        <v>0.25</v>
      </c>
      <c r="L191" s="11" t="inlineStr"/>
      <c r="M191" s="11" t="inlineStr">
        <is>
          <t>Marc Garriga Lujan</t>
        </is>
      </c>
      <c r="N191" s="11" t="inlineStr">
        <is>
          <t>Si</t>
        </is>
      </c>
      <c r="O191" s="15">
        <f>IF(COUNTIF(Objectius!$A$2:$A$183,D191)&gt;0,"Sí","No")</f>
        <v/>
      </c>
    </row>
    <row r="192">
      <c r="A192" s="11" t="inlineStr">
        <is>
          <t>26_US_18</t>
        </is>
      </c>
      <c r="B192" s="11" t="n">
        <v>163</v>
      </c>
      <c r="C192" s="11" t="inlineStr">
        <is>
          <t>Continuar i millorar la regulació per reserva (Vall de Bonabe, Pica Estats,..) - Ocupació Finca a Àreu com aparcament temporal</t>
        </is>
      </c>
      <c r="D192" s="11" t="inlineStr">
        <is>
          <t>11.3.1</t>
        </is>
      </c>
      <c r="E192" s="11" t="inlineStr"/>
      <c r="F192" s="11" t="inlineStr">
        <is>
          <t>5. Ús públic i social</t>
        </is>
      </c>
      <c r="G192" s="11" t="inlineStr">
        <is>
          <t>Contracte menor a càrrec del RAE</t>
        </is>
      </c>
      <c r="H192" s="11" t="inlineStr">
        <is>
          <t>227.0089 - Altres treballs realitzats per persones físiques o jurídiques</t>
        </is>
      </c>
      <c r="I192" s="11" t="inlineStr">
        <is>
          <t>1.2 Administració del lloc i comunicació amb les parts interessades</t>
        </is>
      </c>
      <c r="J192" s="12" t="n">
        <v>3000</v>
      </c>
      <c r="K192" s="13" t="n">
        <v>0.25</v>
      </c>
      <c r="L192" s="11" t="inlineStr"/>
      <c r="M192" s="11" t="inlineStr">
        <is>
          <t>Marc Garriga Lujan</t>
        </is>
      </c>
      <c r="N192" s="11" t="inlineStr">
        <is>
          <t>No</t>
        </is>
      </c>
      <c r="O192" s="15">
        <f>IF(COUNTIF(Objectius!$A$2:$A$183,D192)&gt;0,"Sí","No")</f>
        <v/>
      </c>
    </row>
    <row r="193">
      <c r="A193" s="11" t="inlineStr">
        <is>
          <t>26_US_19</t>
        </is>
      </c>
      <c r="B193" s="11" t="n">
        <v>29</v>
      </c>
      <c r="C193" s="11" t="inlineStr">
        <is>
          <t>Instal·lació o renovació de barreres - Partida serralleria per reparació barreres, infraestructures ramaderes i altres</t>
        </is>
      </c>
      <c r="D193" s="11" t="inlineStr">
        <is>
          <t>11.3.2</t>
        </is>
      </c>
      <c r="E193" s="11" t="inlineStr"/>
      <c r="F193" s="11" t="inlineStr">
        <is>
          <t>5. Ús públic i social</t>
        </is>
      </c>
      <c r="G193" s="11" t="inlineStr">
        <is>
          <t>Contracte menor a càrrec del RAE</t>
        </is>
      </c>
      <c r="H193" s="11" t="inlineStr">
        <is>
          <t>221.0089 - Altres subministraments</t>
        </is>
      </c>
      <c r="I193" s="11" t="inlineStr">
        <is>
          <t>2.6 Mesures de manteniment i restauració de boscos i superfícies forestals</t>
        </is>
      </c>
      <c r="J193" s="12" t="n">
        <v>2000</v>
      </c>
      <c r="K193" s="13" t="n">
        <v>0.25</v>
      </c>
      <c r="L193" s="11" t="inlineStr">
        <is>
          <t>RAE i servei de manteniment</t>
        </is>
      </c>
      <c r="M193" s="11" t="inlineStr">
        <is>
          <t>Nil Bacardit Tudela</t>
        </is>
      </c>
      <c r="N193" s="11" t="inlineStr">
        <is>
          <t>No</t>
        </is>
      </c>
      <c r="O193" s="15">
        <f>IF(COUNTIF(Objectius!$A$2:$A$183,D193)&gt;0,"Sí","No")</f>
        <v/>
      </c>
    </row>
    <row r="194">
      <c r="A194" s="11" t="inlineStr">
        <is>
          <t>26_US_20</t>
        </is>
      </c>
      <c r="B194" s="11" t="inlineStr"/>
      <c r="C194" s="11" t="inlineStr">
        <is>
          <t>Instal·lació o renovació de senyals circulació motoritzada</t>
        </is>
      </c>
      <c r="D194" s="11" t="inlineStr">
        <is>
          <t>11.3.2</t>
        </is>
      </c>
      <c r="E194" s="11" t="inlineStr"/>
      <c r="F194" s="11" t="inlineStr">
        <is>
          <t>5. Ús públic i social</t>
        </is>
      </c>
      <c r="G194" s="11" t="inlineStr">
        <is>
          <t>Contracte menor a càrrec del RAE</t>
        </is>
      </c>
      <c r="H194" s="11" t="inlineStr">
        <is>
          <t>213.0001 - Conservació, reparació i manteniment d'altre immobilitzat material</t>
        </is>
      </c>
      <c r="I194" s="11" t="inlineStr">
        <is>
          <t>2.6 Mesures de manteniment i restauració de boscos i superfícies forestals</t>
        </is>
      </c>
      <c r="J194" s="12" t="n">
        <v>2000</v>
      </c>
      <c r="K194" s="13" t="n">
        <v>0.25</v>
      </c>
      <c r="L194" s="11" t="inlineStr">
        <is>
          <t>Amb RAE i servei de manteniment</t>
        </is>
      </c>
      <c r="M194" s="11" t="inlineStr">
        <is>
          <t>Nil Bacardit Tudela</t>
        </is>
      </c>
      <c r="N194" s="11" t="inlineStr">
        <is>
          <t>No</t>
        </is>
      </c>
      <c r="O194" s="15">
        <f>IF(COUNTIF(Objectius!$A$2:$A$183,D194)&gt;0,"Sí","No")</f>
        <v/>
      </c>
    </row>
    <row r="195">
      <c r="A195" s="11" t="inlineStr">
        <is>
          <t>26_US_21</t>
        </is>
      </c>
      <c r="B195" s="11" t="inlineStr"/>
      <c r="C195" s="11" t="inlineStr">
        <is>
          <t>Implementació del protocol de regulació de drons, d'enlairament i aterratge (mapa de zones d'exclusió de vol temporals)</t>
        </is>
      </c>
      <c r="D195" s="11" t="inlineStr">
        <is>
          <t>11.3.3</t>
        </is>
      </c>
      <c r="E195" s="11" t="inlineStr"/>
      <c r="F195" s="11" t="inlineStr">
        <is>
          <t>5. Ús públic i social</t>
        </is>
      </c>
      <c r="G195" s="11" t="inlineStr">
        <is>
          <t>Altres</t>
        </is>
      </c>
      <c r="H195" s="11" t="inlineStr"/>
      <c r="I195" s="11" t="inlineStr">
        <is>
          <t>1.3 Seguiment, vigilància i notificació</t>
        </is>
      </c>
      <c r="J195" s="12" t="n">
        <v>0</v>
      </c>
      <c r="K195" s="13" t="n">
        <v>0.25</v>
      </c>
      <c r="L195" s="11" t="inlineStr">
        <is>
          <t>Amb mitjans propis</t>
        </is>
      </c>
      <c r="M195" s="11" t="inlineStr">
        <is>
          <t>Mariona Martinez Salvador</t>
        </is>
      </c>
      <c r="N195" s="11" t="inlineStr">
        <is>
          <t>Si</t>
        </is>
      </c>
      <c r="O195" s="15">
        <f>IF(COUNTIF(Objectius!$A$2:$A$183,D195)&gt;0,"Sí","No")</f>
        <v/>
      </c>
    </row>
    <row r="196">
      <c r="A196" s="11" t="inlineStr">
        <is>
          <t>26_US_22</t>
        </is>
      </c>
      <c r="B196" s="11" t="inlineStr"/>
      <c r="C196" s="11" t="inlineStr">
        <is>
          <t>Implementació de les regulacions temporals amb reserva d'aparcament d'estiu de Bonabé i Pica d'Estats - Mantenir el servei de vigilància del Fornet, Marimanha i pista de Boet</t>
        </is>
      </c>
      <c r="D196" s="11" t="inlineStr">
        <is>
          <t>11.3.4</t>
        </is>
      </c>
      <c r="E196" s="11" t="inlineStr">
        <is>
          <t>11.3.1, 11.6.2</t>
        </is>
      </c>
      <c r="F196" s="11" t="inlineStr">
        <is>
          <t>5. Ús públic i social</t>
        </is>
      </c>
      <c r="G196" s="11" t="inlineStr">
        <is>
          <t>Altres</t>
        </is>
      </c>
      <c r="H196" s="11" t="inlineStr"/>
      <c r="I196" s="11" t="inlineStr">
        <is>
          <t>1.3 Seguiment, vigilància i notificació</t>
        </is>
      </c>
      <c r="J196" s="12" t="n">
        <v>0</v>
      </c>
      <c r="K196" s="13" t="n">
        <v>0.25</v>
      </c>
      <c r="L196" s="11" t="inlineStr">
        <is>
          <t>Amb mitjans propis</t>
        </is>
      </c>
      <c r="M196" s="11" t="inlineStr">
        <is>
          <t>Pol Alcalde Floriach</t>
        </is>
      </c>
      <c r="N196" s="11" t="inlineStr">
        <is>
          <t>Si</t>
        </is>
      </c>
      <c r="O196" s="15">
        <f>IF(COUNTIF(Objectius!$A$2:$A$183,D196)&gt;0,"Sí","No")</f>
        <v/>
      </c>
    </row>
    <row r="197">
      <c r="A197" s="11" t="inlineStr">
        <is>
          <t>26_US_23</t>
        </is>
      </c>
      <c r="B197" s="11" t="inlineStr"/>
      <c r="C197" s="11" t="inlineStr">
        <is>
          <t>Implementació de les regulacions temporals hivern-primavera per neu i fauna</t>
        </is>
      </c>
      <c r="D197" s="11" t="inlineStr">
        <is>
          <t>11.3.4</t>
        </is>
      </c>
      <c r="E197" s="11" t="inlineStr"/>
      <c r="F197" s="11" t="inlineStr">
        <is>
          <t>5. Ús públic i social</t>
        </is>
      </c>
      <c r="G197" s="11" t="inlineStr">
        <is>
          <t>Altres</t>
        </is>
      </c>
      <c r="H197" s="11" t="inlineStr"/>
      <c r="I197" s="11" t="inlineStr">
        <is>
          <t>1.3 Seguiment, vigilància i notificació</t>
        </is>
      </c>
      <c r="J197" s="12" t="n">
        <v>0</v>
      </c>
      <c r="K197" s="13" t="n">
        <v>0.25</v>
      </c>
      <c r="L197" s="11" t="inlineStr">
        <is>
          <t>Amb mitjans propis</t>
        </is>
      </c>
      <c r="M197" s="11" t="inlineStr">
        <is>
          <t>Marc Garriga Lujan</t>
        </is>
      </c>
      <c r="N197" s="11" t="inlineStr">
        <is>
          <t>Si</t>
        </is>
      </c>
      <c r="O197" s="15">
        <f>IF(COUNTIF(Objectius!$A$2:$A$183,D197)&gt;0,"Sí","No")</f>
        <v/>
      </c>
    </row>
    <row r="198">
      <c r="A198" s="11" t="inlineStr">
        <is>
          <t>26_US_24</t>
        </is>
      </c>
      <c r="B198" s="11" t="inlineStr"/>
      <c r="C198" s="11" t="inlineStr">
        <is>
          <t>Coordinar amb el CAR les regulacions temporals d'accés i curculació (tant estiu com hivern)</t>
        </is>
      </c>
      <c r="D198" s="11" t="inlineStr">
        <is>
          <t>11.3.4</t>
        </is>
      </c>
      <c r="E198" s="11" t="inlineStr"/>
      <c r="F198" s="11" t="inlineStr">
        <is>
          <t>5. Ús públic i social</t>
        </is>
      </c>
      <c r="G198" s="11" t="inlineStr">
        <is>
          <t>Altres</t>
        </is>
      </c>
      <c r="H198" s="11" t="inlineStr"/>
      <c r="I198" s="11" t="inlineStr">
        <is>
          <t>1.3 Seguiment, vigilància i notificació</t>
        </is>
      </c>
      <c r="J198" s="12" t="n">
        <v>0</v>
      </c>
      <c r="K198" s="13" t="n">
        <v>0.25</v>
      </c>
      <c r="L198" s="11" t="inlineStr">
        <is>
          <t>Amb mitjans propis</t>
        </is>
      </c>
      <c r="M198" s="11" t="inlineStr">
        <is>
          <t>Marc Garriga Lujan</t>
        </is>
      </c>
      <c r="N198" s="11" t="inlineStr">
        <is>
          <t>Si</t>
        </is>
      </c>
      <c r="O198" s="15">
        <f>IF(COUNTIF(Objectius!$A$2:$A$183,D198)&gt;0,"Sí","No")</f>
        <v/>
      </c>
    </row>
    <row r="199">
      <c r="A199" s="11" t="inlineStr">
        <is>
          <t>26_US_25</t>
        </is>
      </c>
      <c r="B199" s="11" t="inlineStr"/>
      <c r="C199" s="11" t="inlineStr">
        <is>
          <t>Millora i manteniment dels aparcaments de vehicles existents de suport a la regulació</t>
        </is>
      </c>
      <c r="D199" s="11" t="inlineStr">
        <is>
          <t>11.3.5</t>
        </is>
      </c>
      <c r="E199" s="11" t="inlineStr"/>
      <c r="F199" s="11" t="inlineStr">
        <is>
          <t>5. Ús públic i social</t>
        </is>
      </c>
      <c r="G199" s="11" t="inlineStr">
        <is>
          <t>Altres</t>
        </is>
      </c>
      <c r="H199" s="11" t="inlineStr"/>
      <c r="I199" s="11" t="inlineStr">
        <is>
          <t>1.2 Administració del lloc i comunicació amb les parts interessades</t>
        </is>
      </c>
      <c r="J199" s="12" t="n">
        <v>0</v>
      </c>
      <c r="K199" s="13" t="n">
        <v>0.25</v>
      </c>
      <c r="L199" s="11" t="inlineStr">
        <is>
          <t>Amb servei de manteniment</t>
        </is>
      </c>
      <c r="M199" s="11" t="inlineStr">
        <is>
          <t>Nil Bacardit Tudela</t>
        </is>
      </c>
      <c r="N199" s="11" t="inlineStr">
        <is>
          <t>Si</t>
        </is>
      </c>
      <c r="O199" s="15">
        <f>IF(COUNTIF(Objectius!$A$2:$A$183,D199)&gt;0,"Sí","No")</f>
        <v/>
      </c>
    </row>
    <row r="200">
      <c r="A200" s="11" t="inlineStr">
        <is>
          <t>26_US_26</t>
        </is>
      </c>
      <c r="B200" s="11" t="n">
        <v>52</v>
      </c>
      <c r="C200" s="11" t="inlineStr">
        <is>
          <t>Jornades participatives de desplegament i seguiment de la gestió de l'UP - queviures per reunions amb ens locals i veinals</t>
        </is>
      </c>
      <c r="D200" s="11" t="inlineStr">
        <is>
          <t>11.4.1</t>
        </is>
      </c>
      <c r="E200" s="11" t="inlineStr"/>
      <c r="F200" s="11" t="inlineStr">
        <is>
          <t>5. Ús públic i social</t>
        </is>
      </c>
      <c r="G200" s="11" t="inlineStr">
        <is>
          <t>Contracte menor a càrrec del RAE</t>
        </is>
      </c>
      <c r="H200" s="11" t="inlineStr">
        <is>
          <t>226.0005 - Organització de reunions, conferències i cursos</t>
        </is>
      </c>
      <c r="I200" s="11" t="inlineStr">
        <is>
          <t>1.2 Administració del lloc i comunicació amb les parts interessades</t>
        </is>
      </c>
      <c r="J200" s="12" t="n">
        <v>1200</v>
      </c>
      <c r="K200" s="13" t="n">
        <v>0.25</v>
      </c>
      <c r="L200" s="11" t="inlineStr"/>
      <c r="M200" s="11" t="inlineStr">
        <is>
          <t>Daniel Maresma Fernandez</t>
        </is>
      </c>
      <c r="N200" s="11" t="inlineStr">
        <is>
          <t>Si</t>
        </is>
      </c>
      <c r="O200" s="15">
        <f>IF(COUNTIF(Objectius!$A$2:$A$183,D200)&gt;0,"Sí","No")</f>
        <v/>
      </c>
    </row>
    <row r="201">
      <c r="A201" s="11" t="inlineStr">
        <is>
          <t>26_US_27</t>
        </is>
      </c>
      <c r="B201" s="11" t="inlineStr"/>
      <c r="C201" s="11" t="inlineStr">
        <is>
          <t>Aplicació del Manual jurídic d'UP i model d'ordenança municipal</t>
        </is>
      </c>
      <c r="D201" s="11" t="inlineStr">
        <is>
          <t>11.4.2</t>
        </is>
      </c>
      <c r="E201" s="11" t="inlineStr"/>
      <c r="F201" s="11" t="inlineStr">
        <is>
          <t>5. Ús públic i social</t>
        </is>
      </c>
      <c r="G201" s="11" t="inlineStr">
        <is>
          <t>Altres</t>
        </is>
      </c>
      <c r="H201" s="11" t="inlineStr"/>
      <c r="I201" s="11" t="inlineStr">
        <is>
          <t>1.1 Planificació de la gestió i designació del lloc</t>
        </is>
      </c>
      <c r="J201" s="12" t="n">
        <v>0</v>
      </c>
      <c r="K201" s="13" t="n">
        <v>0.25</v>
      </c>
      <c r="L201" s="11" t="inlineStr">
        <is>
          <t>Amb mitjans propis</t>
        </is>
      </c>
      <c r="M201" s="11" t="inlineStr">
        <is>
          <t>Marc Garriga Lujan</t>
        </is>
      </c>
      <c r="N201" s="11" t="inlineStr">
        <is>
          <t>No</t>
        </is>
      </c>
      <c r="O201" s="15">
        <f>IF(COUNTIF(Objectius!$A$2:$A$183,D201)&gt;0,"Sí","No")</f>
        <v/>
      </c>
    </row>
    <row r="202">
      <c r="A202" s="11" t="inlineStr">
        <is>
          <t>26_US_28</t>
        </is>
      </c>
      <c r="B202" s="11" t="inlineStr"/>
      <c r="C202" s="11" t="inlineStr">
        <is>
          <t>Actualització de l'inventari de senyalització adaptant-ho a la metodologia de la resta de Parcs</t>
        </is>
      </c>
      <c r="D202" s="11" t="inlineStr">
        <is>
          <t>11.5.1</t>
        </is>
      </c>
      <c r="E202" s="11" t="inlineStr"/>
      <c r="F202" s="11" t="inlineStr">
        <is>
          <t>5. Ús públic i social</t>
        </is>
      </c>
      <c r="G202" s="11" t="inlineStr">
        <is>
          <t>Altres</t>
        </is>
      </c>
      <c r="H202" s="11" t="inlineStr"/>
      <c r="I202" s="11" t="inlineStr">
        <is>
          <t>1.2 Administració del lloc i comunicació amb les parts interessades</t>
        </is>
      </c>
      <c r="J202" s="12" t="n">
        <v>0</v>
      </c>
      <c r="K202" s="13" t="n">
        <v>0.25</v>
      </c>
      <c r="L202" s="11" t="inlineStr">
        <is>
          <t>Amb mitjans propis</t>
        </is>
      </c>
      <c r="M202" s="11" t="inlineStr">
        <is>
          <t>Nil Bacardit Tudela</t>
        </is>
      </c>
      <c r="N202" s="11" t="inlineStr">
        <is>
          <t>No</t>
        </is>
      </c>
      <c r="O202" s="15">
        <f>IF(COUNTIF(Objectius!$A$2:$A$183,D202)&gt;0,"Sí","No")</f>
        <v/>
      </c>
    </row>
    <row r="203">
      <c r="A203" s="11" t="inlineStr">
        <is>
          <t>26_US_29</t>
        </is>
      </c>
      <c r="B203" s="11" t="inlineStr"/>
      <c r="C203" s="11" t="inlineStr">
        <is>
          <t>Realització de programes de senyalització informativa i direccional per sectors del Parc, incloent la de carreteres vinculada als valors del parc - preparació enomana senyalització 2026</t>
        </is>
      </c>
      <c r="D203" s="11" t="inlineStr">
        <is>
          <t>11.5.2</t>
        </is>
      </c>
      <c r="E203" s="11" t="inlineStr"/>
      <c r="F203" s="11" t="inlineStr">
        <is>
          <t>5. Ús públic i social</t>
        </is>
      </c>
      <c r="G203" s="11" t="inlineStr">
        <is>
          <t>Altres</t>
        </is>
      </c>
      <c r="H203" s="11" t="inlineStr"/>
      <c r="I203" s="11" t="inlineStr">
        <is>
          <t>1.2 Administració del lloc i comunicació amb les parts interessades</t>
        </is>
      </c>
      <c r="J203" s="12" t="n">
        <v>0</v>
      </c>
      <c r="K203" s="13" t="n">
        <v>0.25</v>
      </c>
      <c r="L203" s="11" t="inlineStr">
        <is>
          <t>Amb mitjans propis</t>
        </is>
      </c>
      <c r="M203" s="11" t="inlineStr">
        <is>
          <t>Nil Bacardit Tudela</t>
        </is>
      </c>
      <c r="N203" s="11" t="inlineStr">
        <is>
          <t>No</t>
        </is>
      </c>
      <c r="O203" s="15">
        <f>IF(COUNTIF(Objectius!$A$2:$A$183,D203)&gt;0,"Sí","No")</f>
        <v/>
      </c>
    </row>
    <row r="204">
      <c r="A204" s="11" t="inlineStr">
        <is>
          <t>26_US_30</t>
        </is>
      </c>
      <c r="B204" s="11" t="n">
        <v>126</v>
      </c>
      <c r="C204" s="11" t="inlineStr">
        <is>
          <t>Revisió i actualització de la senyalització en base al manual de senyalització vigent - Partida subministrament senyalització</t>
        </is>
      </c>
      <c r="D204" s="11" t="inlineStr">
        <is>
          <t>11.5.2</t>
        </is>
      </c>
      <c r="E204" s="11" t="inlineStr"/>
      <c r="F204" s="11" t="inlineStr">
        <is>
          <t>5. Ús públic i social</t>
        </is>
      </c>
      <c r="G204" s="11" t="inlineStr">
        <is>
          <t>Contracte menor a càrrec del RAE</t>
        </is>
      </c>
      <c r="H204" s="11" t="inlineStr">
        <is>
          <t>640.0001 - Inversions en mobiliari i estris</t>
        </is>
      </c>
      <c r="I204" s="11" t="inlineStr">
        <is>
          <t>1.2 Administració del lloc i comunicació amb les parts interessades</t>
        </is>
      </c>
      <c r="J204" s="12" t="n">
        <v>6840</v>
      </c>
      <c r="K204" s="13" t="n">
        <v>0.25</v>
      </c>
      <c r="L204" s="11" t="inlineStr"/>
      <c r="M204" s="11" t="inlineStr">
        <is>
          <t>Nil Bacardit Tudela</t>
        </is>
      </c>
      <c r="N204" s="11" t="inlineStr">
        <is>
          <t>No</t>
        </is>
      </c>
      <c r="O204" s="15">
        <f>IF(COUNTIF(Objectius!$A$2:$A$183,D204)&gt;0,"Sí","No")</f>
        <v/>
      </c>
    </row>
    <row r="205">
      <c r="A205" s="11" t="inlineStr">
        <is>
          <t>26_US_31</t>
        </is>
      </c>
      <c r="B205" s="11" t="inlineStr"/>
      <c r="C205" s="11" t="inlineStr">
        <is>
          <t>Revisió i actualització de la senyalització en base al manual de senyalització vigent - Contracte de senyalització de Parcs</t>
        </is>
      </c>
      <c r="D205" s="11" t="inlineStr">
        <is>
          <t>11.5.2</t>
        </is>
      </c>
      <c r="E205" s="11" t="inlineStr"/>
      <c r="F205" s="11" t="inlineStr">
        <is>
          <t>5. Ús públic i social</t>
        </is>
      </c>
      <c r="G205" s="11" t="inlineStr">
        <is>
          <t>PEA Infraestructures</t>
        </is>
      </c>
      <c r="H205" s="11" t="inlineStr"/>
      <c r="I205" s="11" t="inlineStr">
        <is>
          <t>1.2 Administració del lloc i comunicació amb les parts interessades</t>
        </is>
      </c>
      <c r="J205" s="12" t="n">
        <v>0</v>
      </c>
      <c r="K205" s="13" t="n">
        <v>0.25</v>
      </c>
      <c r="L205" s="11" t="inlineStr"/>
      <c r="M205" s="11" t="inlineStr">
        <is>
          <t>Nil Bacardit Tudela</t>
        </is>
      </c>
      <c r="N205" s="11" t="inlineStr">
        <is>
          <t>No</t>
        </is>
      </c>
      <c r="O205" s="15">
        <f>IF(COUNTIF(Objectius!$A$2:$A$183,D205)&gt;0,"Sí","No")</f>
        <v/>
      </c>
    </row>
    <row r="206">
      <c r="A206" s="11" t="inlineStr">
        <is>
          <t>26_US_32</t>
        </is>
      </c>
      <c r="B206" s="11" t="inlineStr"/>
      <c r="C206" s="11" t="inlineStr">
        <is>
          <t>Manteniment de senyalització existent</t>
        </is>
      </c>
      <c r="D206" s="11" t="inlineStr">
        <is>
          <t>11.5.2</t>
        </is>
      </c>
      <c r="E206" s="11" t="inlineStr"/>
      <c r="F206" s="11" t="inlineStr">
        <is>
          <t>5. Ús públic i social</t>
        </is>
      </c>
      <c r="G206" s="11" t="inlineStr">
        <is>
          <t>Altres</t>
        </is>
      </c>
      <c r="H206" s="11" t="inlineStr"/>
      <c r="I206" s="11" t="inlineStr">
        <is>
          <t>1.2 Administració del lloc i comunicació amb les parts interessades</t>
        </is>
      </c>
      <c r="J206" s="12" t="n">
        <v>0</v>
      </c>
      <c r="K206" s="13" t="n">
        <v>0.25</v>
      </c>
      <c r="L206" s="11" t="inlineStr">
        <is>
          <t>Amb servei de manteniment</t>
        </is>
      </c>
      <c r="M206" s="11" t="inlineStr">
        <is>
          <t>Nil Bacardit Tudela</t>
        </is>
      </c>
      <c r="N206" s="11" t="inlineStr">
        <is>
          <t>Si</t>
        </is>
      </c>
      <c r="O206" s="15">
        <f>IF(COUNTIF(Objectius!$A$2:$A$183,D206)&gt;0,"Sí","No")</f>
        <v/>
      </c>
    </row>
    <row r="207">
      <c r="A207" s="11" t="inlineStr">
        <is>
          <t>26_US_33</t>
        </is>
      </c>
      <c r="B207" s="11" t="n">
        <v>60</v>
      </c>
      <c r="C207" s="11" t="inlineStr">
        <is>
          <t>Mantenir el servei de reserves i vigilància de Fornet i Marimanha (Vall de Bonabé) i pista de Boet (Àreu Pica d'Estats) de mutu acord amb els ens locals implicats - Vall de Bonabé</t>
        </is>
      </c>
      <c r="D207" s="11" t="inlineStr">
        <is>
          <t>11.6.2</t>
        </is>
      </c>
      <c r="E207" s="11" t="inlineStr">
        <is>
          <t>11.3.1, 11.3.4</t>
        </is>
      </c>
      <c r="F207" s="11" t="inlineStr">
        <is>
          <t>5. Ús públic i social</t>
        </is>
      </c>
      <c r="G207" s="11" t="inlineStr">
        <is>
          <t>Contracte menor a càrrec del RAE</t>
        </is>
      </c>
      <c r="H207" s="11" t="inlineStr">
        <is>
          <t>227.0002 - Seguretat</t>
        </is>
      </c>
      <c r="I207" s="11" t="inlineStr">
        <is>
          <t>1.3 Seguiment, vigilància i notificació</t>
        </is>
      </c>
      <c r="J207" s="12" t="n">
        <v>18000</v>
      </c>
      <c r="K207" s="13" t="n">
        <v>0.25</v>
      </c>
      <c r="L207" s="11" t="inlineStr"/>
      <c r="M207" s="11" t="inlineStr">
        <is>
          <t>Marc Garriga Lujan</t>
        </is>
      </c>
      <c r="N207" s="11" t="inlineStr">
        <is>
          <t>Si</t>
        </is>
      </c>
      <c r="O207" s="15">
        <f>IF(COUNTIF(Objectius!$A$2:$A$183,D207)&gt;0,"Sí","No")</f>
        <v/>
      </c>
    </row>
    <row r="208">
      <c r="A208" s="11" t="inlineStr">
        <is>
          <t>26_US_34</t>
        </is>
      </c>
      <c r="B208" s="11" t="n">
        <v>61</v>
      </c>
      <c r="C208" s="11" t="inlineStr">
        <is>
          <t>Mantenir el servei de reserves i vigilància de Fornet i Marimanha (Vall de Bonabé) i pista de Boet (Àreu Pica d'Estats) de mutu acord amb els ens locals implicats - Vall Ferrera</t>
        </is>
      </c>
      <c r="D208" s="11" t="inlineStr">
        <is>
          <t>11.6.2</t>
        </is>
      </c>
      <c r="E208" s="11" t="inlineStr">
        <is>
          <t>11.3.1, 11.3.4</t>
        </is>
      </c>
      <c r="F208" s="11" t="inlineStr">
        <is>
          <t>5. Ús públic i social</t>
        </is>
      </c>
      <c r="G208" s="11" t="inlineStr">
        <is>
          <t>Contracte menor a càrrec del RAE</t>
        </is>
      </c>
      <c r="H208" s="11" t="inlineStr">
        <is>
          <t>227.0002 - Seguretat</t>
        </is>
      </c>
      <c r="I208" s="11" t="inlineStr">
        <is>
          <t>1.3 Seguiment, vigilància i notificació</t>
        </is>
      </c>
      <c r="J208" s="12" t="n">
        <v>14000</v>
      </c>
      <c r="K208" s="13" t="n">
        <v>0.25</v>
      </c>
      <c r="L208" s="11" t="inlineStr"/>
      <c r="M208" s="11" t="inlineStr">
        <is>
          <t>Marc Garriga Lujan</t>
        </is>
      </c>
      <c r="N208" s="11" t="inlineStr">
        <is>
          <t>Si</t>
        </is>
      </c>
      <c r="O208" s="15">
        <f>IF(COUNTIF(Objectius!$A$2:$A$183,D208)&gt;0,"Sí","No")</f>
        <v/>
      </c>
    </row>
    <row r="209">
      <c r="A209" s="11" t="inlineStr">
        <is>
          <t>26_US_35</t>
        </is>
      </c>
      <c r="B209" s="11" t="inlineStr"/>
      <c r="C209" s="11" t="inlineStr">
        <is>
          <t>Mantenir i millorar la regulació temporal i permanent existent als accessos principals del Parc amb noves senyals i barreres</t>
        </is>
      </c>
      <c r="D209" s="11" t="inlineStr">
        <is>
          <t>11.6.2</t>
        </is>
      </c>
      <c r="E209" s="11" t="inlineStr"/>
      <c r="F209" s="11" t="inlineStr">
        <is>
          <t>5. Ús públic i social</t>
        </is>
      </c>
      <c r="G209" s="11" t="inlineStr">
        <is>
          <t>Altres</t>
        </is>
      </c>
      <c r="H209" s="11" t="inlineStr"/>
      <c r="I209" s="11" t="inlineStr">
        <is>
          <t>1.2 Administració del lloc i comunicació amb les parts interessades</t>
        </is>
      </c>
      <c r="J209" s="12" t="n">
        <v>0</v>
      </c>
      <c r="K209" s="13" t="n">
        <v>0.25</v>
      </c>
      <c r="L209" s="11" t="inlineStr">
        <is>
          <t>Amb servei de manteniment</t>
        </is>
      </c>
      <c r="M209" s="11" t="inlineStr">
        <is>
          <t>Nil Bacardit Tudela</t>
        </is>
      </c>
      <c r="N209" s="11" t="inlineStr">
        <is>
          <t>No</t>
        </is>
      </c>
      <c r="O209" s="15">
        <f>IF(COUNTIF(Objectius!$A$2:$A$183,D209)&gt;0,"Sí","No")</f>
        <v/>
      </c>
    </row>
    <row r="210">
      <c r="A210" s="11" t="inlineStr">
        <is>
          <t>26_US_36</t>
        </is>
      </c>
      <c r="B210" s="11" t="inlineStr"/>
      <c r="C210" s="11" t="inlineStr">
        <is>
          <t>Promoure sistemes de transport públic en zones freqüentades de mutu acord amb els ens locals implicats, incloent l’opció de transport de bicicletes</t>
        </is>
      </c>
      <c r="D210" s="11" t="inlineStr">
        <is>
          <t>11.6.2</t>
        </is>
      </c>
      <c r="E210" s="11" t="inlineStr"/>
      <c r="F210" s="11" t="inlineStr">
        <is>
          <t>5. Ús públic i social</t>
        </is>
      </c>
      <c r="G210" s="11" t="inlineStr">
        <is>
          <t>Altres</t>
        </is>
      </c>
      <c r="H210" s="11" t="inlineStr"/>
      <c r="I210" s="11" t="inlineStr">
        <is>
          <t>1.2 Administració del lloc i comunicació amb les parts interessades</t>
        </is>
      </c>
      <c r="J210" s="12" t="n">
        <v>0</v>
      </c>
      <c r="K210" s="13" t="n">
        <v>0.25</v>
      </c>
      <c r="L210" s="11" t="inlineStr">
        <is>
          <t>Amb mitjans propis</t>
        </is>
      </c>
      <c r="M210" s="11" t="inlineStr">
        <is>
          <t>Marc Garriga Lujan</t>
        </is>
      </c>
      <c r="N210" s="11" t="inlineStr">
        <is>
          <t>No</t>
        </is>
      </c>
      <c r="O210" s="15">
        <f>IF(COUNTIF(Objectius!$A$2:$A$183,D210)&gt;0,"Sí","No")</f>
        <v/>
      </c>
    </row>
    <row r="211">
      <c r="A211" s="11" t="inlineStr">
        <is>
          <t>26_US_37</t>
        </is>
      </c>
      <c r="B211" s="11" t="n">
        <v>109</v>
      </c>
      <c r="C211" s="11" t="inlineStr">
        <is>
          <t>Millora i manteniment d'accessos rodats principals del Parc de forma planificada - Redacció i direcció d'obra de projectes de millora de pistes i aparcaments</t>
        </is>
      </c>
      <c r="D211" s="11" t="inlineStr">
        <is>
          <t>11.7.1</t>
        </is>
      </c>
      <c r="E211" s="11" t="inlineStr">
        <is>
          <t>11.7.2</t>
        </is>
      </c>
      <c r="F211" s="11" t="inlineStr">
        <is>
          <t>5. Ús públic i social</t>
        </is>
      </c>
      <c r="G211" s="11" t="inlineStr">
        <is>
          <t>Contracte menor a càrrec del RAE</t>
        </is>
      </c>
      <c r="H211" s="11" t="inlineStr">
        <is>
          <t>600.0000 - Inversions en terrenys i bens naturals</t>
        </is>
      </c>
      <c r="I211" s="11" t="inlineStr">
        <is>
          <t>1.2 Administració del lloc i comunicació amb les parts interessades</t>
        </is>
      </c>
      <c r="J211" s="12" t="n">
        <v>8000</v>
      </c>
      <c r="K211" s="13" t="n">
        <v>0.25</v>
      </c>
      <c r="L211" s="11" t="inlineStr"/>
      <c r="M211" s="11" t="inlineStr">
        <is>
          <t>Nil Bacardit Tudela</t>
        </is>
      </c>
      <c r="N211" s="11" t="inlineStr">
        <is>
          <t>No</t>
        </is>
      </c>
      <c r="O211" s="15">
        <f>IF(COUNTIF(Objectius!$A$2:$A$183,D211)&gt;0,"Sí","No")</f>
        <v/>
      </c>
    </row>
    <row r="212">
      <c r="A212" s="11" t="inlineStr">
        <is>
          <t>26_US_38</t>
        </is>
      </c>
      <c r="B212" s="11" t="n">
        <v>130</v>
      </c>
      <c r="C212" s="11" t="inlineStr">
        <is>
          <t>Millora i manteniment d'accessos rodats principals del Parc de forma planificada - Desbrossada vorals pistes i cunetes</t>
        </is>
      </c>
      <c r="D212" s="11" t="inlineStr">
        <is>
          <t>11.7.1</t>
        </is>
      </c>
      <c r="E212" s="11" t="inlineStr"/>
      <c r="F212" s="11" t="inlineStr">
        <is>
          <t>5. Ús públic i social</t>
        </is>
      </c>
      <c r="G212" s="11" t="inlineStr">
        <is>
          <t>Contracte menor a càrrec del RAE</t>
        </is>
      </c>
      <c r="H212" s="11" t="inlineStr">
        <is>
          <t>210.0001 - Conservació, reparació i manteniment de terrenys</t>
        </is>
      </c>
      <c r="I212" s="11" t="inlineStr">
        <is>
          <t>1.2 Administració del lloc i comunicació amb les parts interessades</t>
        </is>
      </c>
      <c r="J212" s="12" t="n">
        <v>6000</v>
      </c>
      <c r="K212" s="13" t="n">
        <v>0.25</v>
      </c>
      <c r="L212" s="11" t="inlineStr"/>
      <c r="M212" s="11" t="inlineStr">
        <is>
          <t>Nil Bacardit Tudela</t>
        </is>
      </c>
      <c r="N212" s="11" t="inlineStr">
        <is>
          <t>No</t>
        </is>
      </c>
      <c r="O212" s="15">
        <f>IF(COUNTIF(Objectius!$A$2:$A$183,D212)&gt;0,"Sí","No")</f>
        <v/>
      </c>
    </row>
    <row r="213">
      <c r="A213" s="11" t="inlineStr">
        <is>
          <t>26_US_39</t>
        </is>
      </c>
      <c r="B213" s="11" t="n">
        <v>2</v>
      </c>
      <c r="C213" s="11" t="inlineStr">
        <is>
          <t>Millora i manteniment d'accessos rodats principals del Parc de forma planificada - Repàs general del ferm i actuacions urgents d'esllavissades</t>
        </is>
      </c>
      <c r="D213" s="11" t="inlineStr">
        <is>
          <t>11.7.1</t>
        </is>
      </c>
      <c r="E213" s="11" t="inlineStr"/>
      <c r="F213" s="11" t="inlineStr">
        <is>
          <t>5. Ús públic i social</t>
        </is>
      </c>
      <c r="G213" s="11" t="inlineStr">
        <is>
          <t>Contracte menor a càrrec del RAE</t>
        </is>
      </c>
      <c r="H213" s="11" t="inlineStr">
        <is>
          <t>210.0001 - Conservació, reparació i manteniment de terrenys</t>
        </is>
      </c>
      <c r="I213" s="11" t="inlineStr">
        <is>
          <t>1.2 Administració del lloc i comunicació amb les parts interessades</t>
        </is>
      </c>
      <c r="J213" s="12" t="n">
        <v>15000</v>
      </c>
      <c r="K213" s="13" t="n">
        <v>0.25</v>
      </c>
      <c r="L213" s="11" t="inlineStr"/>
      <c r="M213" s="11" t="inlineStr">
        <is>
          <t>Nil Bacardit Tudela</t>
        </is>
      </c>
      <c r="N213" s="11" t="inlineStr">
        <is>
          <t>Si</t>
        </is>
      </c>
      <c r="O213" s="15">
        <f>IF(COUNTIF(Objectius!$A$2:$A$183,D213)&gt;0,"Sí","No")</f>
        <v/>
      </c>
    </row>
    <row r="214">
      <c r="A214" s="11" t="inlineStr">
        <is>
          <t>26_US_40</t>
        </is>
      </c>
      <c r="B214" s="11" t="n">
        <v>3</v>
      </c>
      <c r="C214" s="11" t="inlineStr">
        <is>
          <t>Millora i manteniment d'accessos rodats principals del Parc de forma planificada - Retirada de neu</t>
        </is>
      </c>
      <c r="D214" s="11" t="inlineStr">
        <is>
          <t>11.7.1</t>
        </is>
      </c>
      <c r="E214" s="11" t="inlineStr"/>
      <c r="F214" s="11" t="inlineStr">
        <is>
          <t>5. Ús públic i social</t>
        </is>
      </c>
      <c r="G214" s="11" t="inlineStr">
        <is>
          <t>Contracte menor a càrrec del RAE</t>
        </is>
      </c>
      <c r="H214" s="11" t="inlineStr">
        <is>
          <t>210.0001 - Conservació, reparació i manteniment de terrenys</t>
        </is>
      </c>
      <c r="I214" s="11" t="inlineStr">
        <is>
          <t>1.2 Administració del lloc i comunicació amb les parts interessades</t>
        </is>
      </c>
      <c r="J214" s="12" t="n">
        <v>3000</v>
      </c>
      <c r="K214" s="13" t="n">
        <v>0.25</v>
      </c>
      <c r="L214" s="11" t="inlineStr"/>
      <c r="M214" s="11" t="inlineStr">
        <is>
          <t>Nil Bacardit Tudela</t>
        </is>
      </c>
      <c r="N214" s="11" t="inlineStr">
        <is>
          <t>No</t>
        </is>
      </c>
      <c r="O214" s="15">
        <f>IF(COUNTIF(Objectius!$A$2:$A$183,D214)&gt;0,"Sí","No")</f>
        <v/>
      </c>
    </row>
    <row r="215">
      <c r="A215" s="11" t="inlineStr">
        <is>
          <t>26_US_41</t>
        </is>
      </c>
      <c r="B215" s="11" t="n">
        <v>124</v>
      </c>
      <c r="C215" s="11" t="inlineStr">
        <is>
          <t>Millora i manteniment d'accessos rodats principals del Parc de forma planificada - Adquisició maquina llevaneus</t>
        </is>
      </c>
      <c r="D215" s="11" t="inlineStr">
        <is>
          <t>11.7.1</t>
        </is>
      </c>
      <c r="E215" s="11" t="inlineStr"/>
      <c r="F215" s="11" t="inlineStr">
        <is>
          <t>5. Ús públic i social</t>
        </is>
      </c>
      <c r="G215" s="11" t="inlineStr">
        <is>
          <t>Contracte menor a càrrec del RAE</t>
        </is>
      </c>
      <c r="H215" s="11" t="inlineStr">
        <is>
          <t>210.0001 - Conservació, reparació i manteniment de terrenys</t>
        </is>
      </c>
      <c r="I215" s="11" t="inlineStr">
        <is>
          <t>1.2 Administració del lloc i comunicació amb les parts interessades</t>
        </is>
      </c>
      <c r="J215" s="12" t="n">
        <v>4160</v>
      </c>
      <c r="K215" s="13" t="n">
        <v>0.25</v>
      </c>
      <c r="L215" s="11" t="inlineStr"/>
      <c r="M215" s="11" t="inlineStr">
        <is>
          <t>Marc Garriga Lujan</t>
        </is>
      </c>
      <c r="N215" s="11" t="inlineStr">
        <is>
          <t>No</t>
        </is>
      </c>
      <c r="O215" s="15">
        <f>IF(COUNTIF(Objectius!$A$2:$A$183,D215)&gt;0,"Sí","No")</f>
        <v/>
      </c>
    </row>
    <row r="216">
      <c r="A216" s="11" t="inlineStr">
        <is>
          <t>26_US_42</t>
        </is>
      </c>
      <c r="B216" s="11" t="inlineStr"/>
      <c r="C216" s="11" t="inlineStr">
        <is>
          <t>Millora i manteniment d'accessos rodats principals del Parc de forma planificada - Arranjament de la pista forestal de Montesclado a Juberri</t>
        </is>
      </c>
      <c r="D216" s="11" t="inlineStr">
        <is>
          <t>11.7.1</t>
        </is>
      </c>
      <c r="E216" s="11" t="inlineStr"/>
      <c r="F216" s="11" t="inlineStr">
        <is>
          <t>5. Ús públic i social</t>
        </is>
      </c>
      <c r="G216" s="11" t="inlineStr">
        <is>
          <t>Contracte menor des de la DG</t>
        </is>
      </c>
      <c r="H216" s="11" t="inlineStr"/>
      <c r="I216" s="11" t="inlineStr">
        <is>
          <t>1.2 Administració del lloc i comunicació amb les parts interessades</t>
        </is>
      </c>
      <c r="J216" s="12" t="n">
        <v>48385.83</v>
      </c>
      <c r="K216" s="13" t="n">
        <v>0.25</v>
      </c>
      <c r="L216" s="11" t="inlineStr"/>
      <c r="M216" s="11" t="inlineStr">
        <is>
          <t>Nil Bacardit Tudela</t>
        </is>
      </c>
      <c r="N216" s="11" t="inlineStr">
        <is>
          <t>No</t>
        </is>
      </c>
      <c r="O216" s="15">
        <f>IF(COUNTIF(Objectius!$A$2:$A$183,D216)&gt;0,"Sí","No")</f>
        <v/>
      </c>
    </row>
    <row r="217">
      <c r="A217" s="11" t="inlineStr">
        <is>
          <t>26_US_43</t>
        </is>
      </c>
      <c r="B217" s="11" t="inlineStr"/>
      <c r="C217" s="11" t="inlineStr">
        <is>
          <t>Treballar amb els ens locals del Parc perquè el Pla zonal de Carreteres de la Diputació de Lleida incorpori més camins de titularitat municipal a la xarxa de carreteres legalment constituïda.</t>
        </is>
      </c>
      <c r="D217" s="11" t="inlineStr">
        <is>
          <t>11.7.1</t>
        </is>
      </c>
      <c r="E217" s="11" t="inlineStr"/>
      <c r="F217" s="11" t="inlineStr">
        <is>
          <t>5. Ús públic i social</t>
        </is>
      </c>
      <c r="G217" s="11" t="inlineStr">
        <is>
          <t>Altres</t>
        </is>
      </c>
      <c r="H217" s="11" t="inlineStr"/>
      <c r="I217" s="11" t="inlineStr">
        <is>
          <t>1.2 Administració del lloc i comunicació amb les parts interessades</t>
        </is>
      </c>
      <c r="J217" s="12" t="n">
        <v>0</v>
      </c>
      <c r="K217" s="13" t="n">
        <v>0.25</v>
      </c>
      <c r="L217" s="11" t="inlineStr">
        <is>
          <t>Amb mitjans propis</t>
        </is>
      </c>
      <c r="M217" s="11" t="inlineStr">
        <is>
          <t>Marc Garriga Lujan</t>
        </is>
      </c>
      <c r="N217" s="11" t="inlineStr">
        <is>
          <t>No</t>
        </is>
      </c>
      <c r="O217" s="15">
        <f>IF(COUNTIF(Objectius!$A$2:$A$183,D217)&gt;0,"Sí","No")</f>
        <v/>
      </c>
    </row>
    <row r="218">
      <c r="A218" s="11" t="inlineStr">
        <is>
          <t>26_US_44</t>
        </is>
      </c>
      <c r="B218" s="11" t="inlineStr"/>
      <c r="C218" s="11" t="inlineStr">
        <is>
          <t>Realitzar reunions periòdiques amb les Taules de Camins comarcals i de vegueria (IDAPA) per millorar la gestió del manteniment i millora dels camins implicant a tots els actors del territori</t>
        </is>
      </c>
      <c r="D218" s="11" t="inlineStr">
        <is>
          <t>11.7.1</t>
        </is>
      </c>
      <c r="E218" s="11" t="inlineStr"/>
      <c r="F218" s="11" t="inlineStr">
        <is>
          <t>5. Ús públic i social</t>
        </is>
      </c>
      <c r="G218" s="11" t="inlineStr">
        <is>
          <t>Altres</t>
        </is>
      </c>
      <c r="H218" s="11" t="inlineStr"/>
      <c r="I218" s="11" t="inlineStr">
        <is>
          <t>1.2 Administració del lloc i comunicació amb les parts interessades</t>
        </is>
      </c>
      <c r="J218" s="12" t="n">
        <v>0</v>
      </c>
      <c r="K218" s="13" t="n">
        <v>0.25</v>
      </c>
      <c r="L218" s="11" t="inlineStr">
        <is>
          <t>Amb mitjans propis</t>
        </is>
      </c>
      <c r="M218" s="11" t="inlineStr">
        <is>
          <t>Nil Bacardit Tudela</t>
        </is>
      </c>
      <c r="N218" s="11" t="inlineStr">
        <is>
          <t>Si</t>
        </is>
      </c>
      <c r="O218" s="15">
        <f>IF(COUNTIF(Objectius!$A$2:$A$183,D218)&gt;0,"Sí","No")</f>
        <v/>
      </c>
    </row>
    <row r="219">
      <c r="A219" s="11" t="inlineStr">
        <is>
          <t>26_US_45</t>
        </is>
      </c>
      <c r="B219" s="11" t="inlineStr"/>
      <c r="C219" s="11" t="inlineStr">
        <is>
          <t>Millora i manteniment de la xarxa de camins senyalitzats a peu, bicicleta i la xarxa de camins ramaders públics - Servei de manteniment</t>
        </is>
      </c>
      <c r="D219" s="11" t="inlineStr">
        <is>
          <t>11.7.1</t>
        </is>
      </c>
      <c r="E219" s="11" t="inlineStr"/>
      <c r="F219" s="11" t="inlineStr">
        <is>
          <t>5. Ús públic i social</t>
        </is>
      </c>
      <c r="G219" s="11" t="inlineStr">
        <is>
          <t>Altres</t>
        </is>
      </c>
      <c r="H219" s="11" t="inlineStr"/>
      <c r="I219" s="11" t="inlineStr">
        <is>
          <t>1.2 Administració del lloc i comunicació amb les parts interessades</t>
        </is>
      </c>
      <c r="J219" s="12" t="n">
        <v>0</v>
      </c>
      <c r="K219" s="13" t="n">
        <v>0.25</v>
      </c>
      <c r="L219" s="11" t="inlineStr">
        <is>
          <t>Amb servei de manteniment</t>
        </is>
      </c>
      <c r="M219" s="11" t="inlineStr">
        <is>
          <t>Nil Bacardit Tudela</t>
        </is>
      </c>
      <c r="N219" s="11" t="inlineStr">
        <is>
          <t>Si</t>
        </is>
      </c>
      <c r="O219" s="15">
        <f>IF(COUNTIF(Objectius!$A$2:$A$183,D219)&gt;0,"Sí","No")</f>
        <v/>
      </c>
    </row>
    <row r="220">
      <c r="A220" s="11" t="inlineStr">
        <is>
          <t>26_US_46</t>
        </is>
      </c>
      <c r="B220" s="11" t="n">
        <v>30</v>
      </c>
      <c r="C220" s="11" t="inlineStr">
        <is>
          <t>Millora i manteniment de la xarxa de camins senyalitzats a peu, bicicleta i la xarxa de camins ramaders públics - Subministrament de fusta tractada</t>
        </is>
      </c>
      <c r="D220" s="11" t="inlineStr">
        <is>
          <t>11.7.1</t>
        </is>
      </c>
      <c r="E220" s="11" t="inlineStr"/>
      <c r="F220" s="11" t="inlineStr">
        <is>
          <t>5. Ús públic i social</t>
        </is>
      </c>
      <c r="G220" s="11" t="inlineStr">
        <is>
          <t>Contracte menor a càrrec del RAE</t>
        </is>
      </c>
      <c r="H220" s="11" t="inlineStr">
        <is>
          <t>221.0089 - Altres subministraments</t>
        </is>
      </c>
      <c r="I220" s="11" t="inlineStr">
        <is>
          <t>1.2 Administració del lloc i comunicació amb les parts interessades</t>
        </is>
      </c>
      <c r="J220" s="12" t="n">
        <v>4000</v>
      </c>
      <c r="K220" s="13" t="n">
        <v>0.25</v>
      </c>
      <c r="L220" s="11" t="inlineStr"/>
      <c r="M220" s="11" t="inlineStr">
        <is>
          <t>Nil Bacardit Tudela</t>
        </is>
      </c>
      <c r="N220" s="11" t="inlineStr">
        <is>
          <t>No</t>
        </is>
      </c>
      <c r="O220" s="15">
        <f>IF(COUNTIF(Objectius!$A$2:$A$183,D220)&gt;0,"Sí","No")</f>
        <v/>
      </c>
    </row>
    <row r="221">
      <c r="A221" s="11" t="inlineStr">
        <is>
          <t>26_US_47</t>
        </is>
      </c>
      <c r="B221" s="11" t="n">
        <v>31</v>
      </c>
      <c r="C221" s="11" t="inlineStr">
        <is>
          <t>Millora i manteniment de la xarxa de camins senyalitzats a peu, bicicleta i la xarxa de camins ramaders públics - Subministrament de ferreteria</t>
        </is>
      </c>
      <c r="D221" s="11" t="inlineStr">
        <is>
          <t>11.7.1</t>
        </is>
      </c>
      <c r="E221" s="11" t="inlineStr"/>
      <c r="F221" s="11" t="inlineStr">
        <is>
          <t>5. Ús públic i social</t>
        </is>
      </c>
      <c r="G221" s="11" t="inlineStr">
        <is>
          <t>Contracte menor a càrrec del RAE</t>
        </is>
      </c>
      <c r="H221" s="11" t="inlineStr">
        <is>
          <t>221.0089 - Altres subministraments</t>
        </is>
      </c>
      <c r="I221" s="11" t="inlineStr">
        <is>
          <t>1.2 Administració del lloc i comunicació amb les parts interessades</t>
        </is>
      </c>
      <c r="J221" s="12" t="n">
        <v>2500</v>
      </c>
      <c r="K221" s="13" t="n">
        <v>0.25</v>
      </c>
      <c r="L221" s="11" t="inlineStr"/>
      <c r="M221" s="11" t="inlineStr">
        <is>
          <t>Nil Bacardit Tudela</t>
        </is>
      </c>
      <c r="N221" s="11" t="inlineStr">
        <is>
          <t>Si</t>
        </is>
      </c>
      <c r="O221" s="15">
        <f>IF(COUNTIF(Objectius!$A$2:$A$183,D221)&gt;0,"Sí","No")</f>
        <v/>
      </c>
    </row>
    <row r="222">
      <c r="A222" s="11" t="inlineStr">
        <is>
          <t>26_US_48</t>
        </is>
      </c>
      <c r="B222" s="11" t="n">
        <v>32</v>
      </c>
      <c r="C222" s="11" t="inlineStr">
        <is>
          <t>Millora i manteniment de la xarxa de camins senyalitzats a peu, bicicleta i la xarxa de camins ramaders públics - Subministrament de material de construcció</t>
        </is>
      </c>
      <c r="D222" s="11" t="inlineStr">
        <is>
          <t>11.7.1</t>
        </is>
      </c>
      <c r="E222" s="11" t="inlineStr"/>
      <c r="F222" s="11" t="inlineStr">
        <is>
          <t>5. Ús públic i social</t>
        </is>
      </c>
      <c r="G222" s="11" t="inlineStr">
        <is>
          <t>Contracte menor a càrrec del RAE</t>
        </is>
      </c>
      <c r="H222" s="11" t="inlineStr">
        <is>
          <t>221.0089 - Altres subministraments</t>
        </is>
      </c>
      <c r="I222" s="11" t="inlineStr">
        <is>
          <t>1.2 Administració del lloc i comunicació amb les parts interessades</t>
        </is>
      </c>
      <c r="J222" s="12" t="n">
        <v>4000</v>
      </c>
      <c r="K222" s="13" t="n">
        <v>0.25</v>
      </c>
      <c r="L222" s="11" t="inlineStr"/>
      <c r="M222" s="11" t="inlineStr">
        <is>
          <t>Nil Bacardit Tudela</t>
        </is>
      </c>
      <c r="N222" s="11" t="inlineStr">
        <is>
          <t>Si</t>
        </is>
      </c>
      <c r="O222" s="15">
        <f>IF(COUNTIF(Objectius!$A$2:$A$183,D222)&gt;0,"Sí","No")</f>
        <v/>
      </c>
    </row>
    <row r="223">
      <c r="A223" s="11" t="inlineStr">
        <is>
          <t>26_US_49</t>
        </is>
      </c>
      <c r="B223" s="11" t="n">
        <v>33</v>
      </c>
      <c r="C223" s="11" t="inlineStr">
        <is>
          <t>Millora i manteniment de la xarxa de camins senyalitzats a peu, bicicleta i la xarxa de camins ramaders públics - Subministrament de pintura</t>
        </is>
      </c>
      <c r="D223" s="11" t="inlineStr">
        <is>
          <t>11.7.1</t>
        </is>
      </c>
      <c r="E223" s="11" t="inlineStr"/>
      <c r="F223" s="11" t="inlineStr">
        <is>
          <t>5. Ús públic i social</t>
        </is>
      </c>
      <c r="G223" s="11" t="inlineStr">
        <is>
          <t>Contracte menor a càrrec del RAE</t>
        </is>
      </c>
      <c r="H223" s="11" t="inlineStr">
        <is>
          <t>221.0089 - Altres subministraments</t>
        </is>
      </c>
      <c r="I223" s="11" t="inlineStr">
        <is>
          <t>1.2 Administració del lloc i comunicació amb les parts interessades</t>
        </is>
      </c>
      <c r="J223" s="12" t="n">
        <v>800</v>
      </c>
      <c r="K223" s="13" t="n">
        <v>0.25</v>
      </c>
      <c r="L223" s="11" t="inlineStr"/>
      <c r="M223" s="11" t="inlineStr">
        <is>
          <t>Nil Bacardit Tudela</t>
        </is>
      </c>
      <c r="N223" s="11" t="inlineStr">
        <is>
          <t>Si</t>
        </is>
      </c>
      <c r="O223" s="15">
        <f>IF(COUNTIF(Objectius!$A$2:$A$183,D223)&gt;0,"Sí","No")</f>
        <v/>
      </c>
    </row>
    <row r="224">
      <c r="A224" s="11" t="inlineStr">
        <is>
          <t>26_US_50</t>
        </is>
      </c>
      <c r="B224" s="11" t="n">
        <v>131</v>
      </c>
      <c r="C224" s="11" t="inlineStr">
        <is>
          <t>Millora i manteniment de la xarxa de camins senyalitzats a peu, bicicleta i la xarxa de camins ramaders públics - Manteniment de passos ferrats de camins</t>
        </is>
      </c>
      <c r="D224" s="11" t="inlineStr">
        <is>
          <t>11.7.1</t>
        </is>
      </c>
      <c r="E224" s="11" t="inlineStr"/>
      <c r="F224" s="11" t="inlineStr">
        <is>
          <t>5. Ús públic i social</t>
        </is>
      </c>
      <c r="G224" s="11" t="inlineStr">
        <is>
          <t>Contracte menor a càrrec del RAE</t>
        </is>
      </c>
      <c r="H224" s="11" t="inlineStr">
        <is>
          <t>221.0089 - Altres subministraments</t>
        </is>
      </c>
      <c r="I224" s="11" t="inlineStr">
        <is>
          <t>1.2 Administració del lloc i comunicació amb les parts interessades</t>
        </is>
      </c>
      <c r="J224" s="12" t="n">
        <v>1000</v>
      </c>
      <c r="K224" s="13" t="n">
        <v>0.25</v>
      </c>
      <c r="L224" s="11" t="inlineStr"/>
      <c r="M224" s="11" t="inlineStr">
        <is>
          <t>Nil Bacardit Tudela</t>
        </is>
      </c>
      <c r="N224" s="11" t="inlineStr">
        <is>
          <t>No</t>
        </is>
      </c>
      <c r="O224" s="15">
        <f>IF(COUNTIF(Objectius!$A$2:$A$183,D224)&gt;0,"Sí","No")</f>
        <v/>
      </c>
    </row>
    <row r="225">
      <c r="A225" s="11" t="inlineStr">
        <is>
          <t>26_US_51</t>
        </is>
      </c>
      <c r="B225" s="11" t="inlineStr"/>
      <c r="C225" s="11" t="inlineStr">
        <is>
          <t>Millora i manteniment de la xarxa de camins senyalitzats a peu, bicicleta i la xarxa de camins ramaders públics - Treballs de sanejament i consoldació via ferrada d'Alins</t>
        </is>
      </c>
      <c r="D225" s="11" t="inlineStr">
        <is>
          <t>11.7.1</t>
        </is>
      </c>
      <c r="E225" s="11" t="inlineStr"/>
      <c r="F225" s="11" t="inlineStr">
        <is>
          <t>5. Ús públic i social</t>
        </is>
      </c>
      <c r="G225" s="11" t="inlineStr">
        <is>
          <t>Contracte menor des de la DG</t>
        </is>
      </c>
      <c r="H225" s="11" t="inlineStr"/>
      <c r="I225" s="11" t="inlineStr">
        <is>
          <t>1.2 Administració del lloc i comunicació amb les parts interessades</t>
        </is>
      </c>
      <c r="J225" s="12" t="n">
        <v>48399.4</v>
      </c>
      <c r="K225" s="13" t="n"/>
      <c r="L225" s="11" t="inlineStr"/>
      <c r="M225" s="11" t="inlineStr">
        <is>
          <t>Nil Bacardit Tudela</t>
        </is>
      </c>
      <c r="N225" s="11" t="inlineStr">
        <is>
          <t>No</t>
        </is>
      </c>
      <c r="O225" s="15">
        <f>IF(COUNTIF(Objectius!$A$2:$A$183,D225)&gt;0,"Sí","No")</f>
        <v/>
      </c>
    </row>
    <row r="226">
      <c r="A226" s="11" t="inlineStr">
        <is>
          <t>26_US_52</t>
        </is>
      </c>
      <c r="B226" s="11" t="n">
        <v>132</v>
      </c>
      <c r="C226" s="11" t="inlineStr">
        <is>
          <t>Millora i manteniment de la xarxa de camins senyalitzats a peu, bicicleta i la xarxa de camins ramaders públics - Remarcatge de camins d'alta muntanya</t>
        </is>
      </c>
      <c r="D226" s="11" t="inlineStr">
        <is>
          <t>11.7.1</t>
        </is>
      </c>
      <c r="E226" s="11" t="inlineStr"/>
      <c r="F226" s="11" t="inlineStr">
        <is>
          <t>5. Ús públic i social</t>
        </is>
      </c>
      <c r="G226" s="11" t="inlineStr">
        <is>
          <t>Contracte menor a càrrec del RAE</t>
        </is>
      </c>
      <c r="H226" s="11" t="inlineStr">
        <is>
          <t>221.0089 - Altres subministraments</t>
        </is>
      </c>
      <c r="I226" s="11" t="inlineStr">
        <is>
          <t>1.2 Administració del lloc i comunicació amb les parts interessades</t>
        </is>
      </c>
      <c r="J226" s="12" t="n">
        <v>2350</v>
      </c>
      <c r="K226" s="13" t="n">
        <v>0.25</v>
      </c>
      <c r="L226" s="11" t="inlineStr"/>
      <c r="M226" s="11" t="inlineStr">
        <is>
          <t>Nil Bacardit Tudela</t>
        </is>
      </c>
      <c r="N226" s="11" t="inlineStr">
        <is>
          <t>No</t>
        </is>
      </c>
      <c r="O226" s="15">
        <f>IF(COUNTIF(Objectius!$A$2:$A$183,D226)&gt;0,"Sí","No")</f>
        <v/>
      </c>
    </row>
    <row r="227">
      <c r="A227" s="11" t="inlineStr">
        <is>
          <t>26_US_53</t>
        </is>
      </c>
      <c r="B227" s="11" t="inlineStr"/>
      <c r="C227" s="11" t="inlineStr">
        <is>
          <t>Millora i manteniment de centres d'interès amb un ús elevat (aparcaments, àrees d'esbarjo, miradors, refugis lliures, aixoplucs..) - Servei de manteniment</t>
        </is>
      </c>
      <c r="D227" s="11" t="inlineStr">
        <is>
          <t>11.7.1</t>
        </is>
      </c>
      <c r="E227" s="11" t="inlineStr"/>
      <c r="F227" s="11" t="inlineStr">
        <is>
          <t>5. Ús públic i social</t>
        </is>
      </c>
      <c r="G227" s="11" t="inlineStr">
        <is>
          <t>Encomana Forestal Catalana</t>
        </is>
      </c>
      <c r="H227" s="11" t="inlineStr"/>
      <c r="I227" s="11" t="inlineStr">
        <is>
          <t>1.2 Administració del lloc i comunicació amb les parts interessades</t>
        </is>
      </c>
      <c r="J227" s="12" t="n">
        <v>589000</v>
      </c>
      <c r="K227" s="13" t="n">
        <v>0.25</v>
      </c>
      <c r="L227" s="11" t="inlineStr">
        <is>
          <t>Amb servei de manteniment</t>
        </is>
      </c>
      <c r="M227" s="11" t="inlineStr">
        <is>
          <t>Nil Bacardit Tudela</t>
        </is>
      </c>
      <c r="N227" s="11" t="inlineStr">
        <is>
          <t>Si</t>
        </is>
      </c>
      <c r="O227" s="15">
        <f>IF(COUNTIF(Objectius!$A$2:$A$183,D227)&gt;0,"Sí","No")</f>
        <v/>
      </c>
    </row>
    <row r="228">
      <c r="A228" s="11" t="inlineStr">
        <is>
          <t>26_US_54</t>
        </is>
      </c>
      <c r="B228" s="11" t="n">
        <v>36</v>
      </c>
      <c r="C228" s="11" t="inlineStr">
        <is>
          <t>Millora i manteniment de centres d'interès amb un ús elevat (aparcaments, àrees d'esbarjo, miradors, refugis lliures, aixoplucs..) - Subministrament de mobiliari exterior</t>
        </is>
      </c>
      <c r="D228" s="11" t="inlineStr">
        <is>
          <t>11.7.1</t>
        </is>
      </c>
      <c r="E228" s="11" t="inlineStr"/>
      <c r="F228" s="11" t="inlineStr">
        <is>
          <t>5. Ús públic i social</t>
        </is>
      </c>
      <c r="G228" s="11" t="inlineStr">
        <is>
          <t>Contracte menor a càrrec del RAE</t>
        </is>
      </c>
      <c r="H228" s="11" t="inlineStr">
        <is>
          <t>221.0089 - Altres subministraments</t>
        </is>
      </c>
      <c r="I228" s="11" t="inlineStr">
        <is>
          <t>1.2 Administració del lloc i comunicació amb les parts interessades</t>
        </is>
      </c>
      <c r="J228" s="12" t="n">
        <v>3000</v>
      </c>
      <c r="K228" s="13" t="n">
        <v>0.25</v>
      </c>
      <c r="L228" s="11" t="inlineStr"/>
      <c r="M228" s="11" t="inlineStr">
        <is>
          <t>Nil Bacardit Tudela</t>
        </is>
      </c>
      <c r="N228" s="11" t="inlineStr">
        <is>
          <t>No</t>
        </is>
      </c>
      <c r="O228" s="15">
        <f>IF(COUNTIF(Objectius!$A$2:$A$183,D228)&gt;0,"Sí","No")</f>
        <v/>
      </c>
    </row>
    <row r="229">
      <c r="A229" s="11" t="inlineStr">
        <is>
          <t>26_US_55</t>
        </is>
      </c>
      <c r="B229" s="11" t="n">
        <v>35</v>
      </c>
      <c r="C229" s="11" t="inlineStr">
        <is>
          <t>Millora i manteniment de centres d'interès amb un ús elevat (aparcaments, àrees d'esbarjo, miradors, refugis lliures, aixoplucs..) - Subministrament de banderoles mòbils pels punts d'informació</t>
        </is>
      </c>
      <c r="D229" s="11" t="inlineStr">
        <is>
          <t>11.7.1</t>
        </is>
      </c>
      <c r="E229" s="11" t="inlineStr"/>
      <c r="F229" s="11" t="inlineStr">
        <is>
          <t>5. Ús públic i social</t>
        </is>
      </c>
      <c r="G229" s="11" t="inlineStr">
        <is>
          <t>Contracte menor a càrrec del RAE</t>
        </is>
      </c>
      <c r="H229" s="11" t="inlineStr">
        <is>
          <t>221.0089 - Altres subministraments</t>
        </is>
      </c>
      <c r="I229" s="11" t="inlineStr">
        <is>
          <t>1.2 Administració del lloc i comunicació amb les parts interessades</t>
        </is>
      </c>
      <c r="J229" s="12" t="n">
        <v>3210</v>
      </c>
      <c r="K229" s="13" t="n">
        <v>0.25</v>
      </c>
      <c r="L229" s="11" t="inlineStr"/>
      <c r="M229" s="11" t="inlineStr">
        <is>
          <t>Nil Bacardit Tudela</t>
        </is>
      </c>
      <c r="N229" s="11" t="inlineStr">
        <is>
          <t>No</t>
        </is>
      </c>
      <c r="O229" s="15">
        <f>IF(COUNTIF(Objectius!$A$2:$A$183,D229)&gt;0,"Sí","No")</f>
        <v/>
      </c>
    </row>
    <row r="230">
      <c r="A230" s="11" t="inlineStr">
        <is>
          <t>26_US_56</t>
        </is>
      </c>
      <c r="B230" s="11" t="n">
        <v>34</v>
      </c>
      <c r="C230" s="11" t="inlineStr">
        <is>
          <t>Millora i manteniment de centres d'interès amb un ús elevat (aparcaments, àrees d'esbarjo, miradors, refugis lliures, aixoplucs..) - Subministrament de material naturalista</t>
        </is>
      </c>
      <c r="D230" s="11" t="inlineStr">
        <is>
          <t>11.7.1</t>
        </is>
      </c>
      <c r="E230" s="11" t="inlineStr"/>
      <c r="F230" s="11" t="inlineStr">
        <is>
          <t>5. Ús públic i social</t>
        </is>
      </c>
      <c r="G230" s="11" t="inlineStr">
        <is>
          <t>Contracte menor a càrrec del RAE</t>
        </is>
      </c>
      <c r="H230" s="11" t="inlineStr">
        <is>
          <t>221.0089 - Altres subministraments</t>
        </is>
      </c>
      <c r="I230" s="11" t="inlineStr">
        <is>
          <t>1.2 Administració del lloc i comunicació amb les parts interessades</t>
        </is>
      </c>
      <c r="J230" s="12" t="n">
        <v>2630</v>
      </c>
      <c r="K230" s="13" t="n">
        <v>0.25</v>
      </c>
      <c r="L230" s="11" t="inlineStr"/>
      <c r="M230" s="11" t="inlineStr">
        <is>
          <t>Josep Pique Palacin</t>
        </is>
      </c>
      <c r="N230" s="11" t="inlineStr">
        <is>
          <t>No</t>
        </is>
      </c>
      <c r="O230" s="15">
        <f>IF(COUNTIF(Objectius!$A$2:$A$183,D230)&gt;0,"Sí","No")</f>
        <v/>
      </c>
    </row>
    <row r="231">
      <c r="A231" s="11" t="inlineStr">
        <is>
          <t>26_US_57</t>
        </is>
      </c>
      <c r="B231" s="11" t="n">
        <v>110</v>
      </c>
      <c r="C231" s="11" t="inlineStr">
        <is>
          <t>Millora i manteniment de centres d'interès amb un ús elevat (aparcaments, àrees d'esbarjo, miradors, refugis lliures, aixoplucs..) - Trasllat del toro d'Ainet de Besan</t>
        </is>
      </c>
      <c r="D231" s="11" t="inlineStr">
        <is>
          <t>11.7.1</t>
        </is>
      </c>
      <c r="E231" s="11" t="inlineStr"/>
      <c r="F231" s="11" t="inlineStr">
        <is>
          <t>5. Ús públic i social</t>
        </is>
      </c>
      <c r="G231" s="11" t="inlineStr">
        <is>
          <t>Contracte menor a càrrec del RAE</t>
        </is>
      </c>
      <c r="H231" s="11" t="inlineStr">
        <is>
          <t>610.0001 - Inversions en edificis i altres construccions per compte propi</t>
        </is>
      </c>
      <c r="I231" s="11" t="inlineStr">
        <is>
          <t>1.2 Administració del lloc i comunicació amb les parts interessades</t>
        </is>
      </c>
      <c r="J231" s="12" t="n">
        <v>4000</v>
      </c>
      <c r="K231" s="13" t="n">
        <v>0.25</v>
      </c>
      <c r="L231" s="11" t="inlineStr"/>
      <c r="M231" s="11" t="inlineStr">
        <is>
          <t>Marc Garriga Lujan</t>
        </is>
      </c>
      <c r="N231" s="11" t="inlineStr">
        <is>
          <t>No</t>
        </is>
      </c>
      <c r="O231" s="15">
        <f>IF(COUNTIF(Objectius!$A$2:$A$183,D231)&gt;0,"Sí","No")</f>
        <v/>
      </c>
    </row>
    <row r="232">
      <c r="A232" s="11" t="inlineStr">
        <is>
          <t>26_US_58</t>
        </is>
      </c>
      <c r="B232" s="11" t="n">
        <v>4</v>
      </c>
      <c r="C232" s="11" t="inlineStr">
        <is>
          <t>Millora i manteniment de centres d'interès amb un ús elevat - Conservació, reparació i manteniment d'altres equipaments del Parc</t>
        </is>
      </c>
      <c r="D232" s="11" t="inlineStr">
        <is>
          <t>11.7.1</t>
        </is>
      </c>
      <c r="E232" s="11" t="inlineStr"/>
      <c r="F232" s="11" t="inlineStr">
        <is>
          <t>5. Ús públic i social</t>
        </is>
      </c>
      <c r="G232" s="11" t="inlineStr">
        <is>
          <t>Contracte menor a càrrec del RAE</t>
        </is>
      </c>
      <c r="H232" s="11" t="inlineStr">
        <is>
          <t>210.0001 - Conservació, reparació i manteniment de terrenys</t>
        </is>
      </c>
      <c r="I232" s="11" t="inlineStr">
        <is>
          <t>1.2 Administració del lloc i comunicació amb les parts interessades</t>
        </is>
      </c>
      <c r="J232" s="12" t="n">
        <v>10000</v>
      </c>
      <c r="K232" s="13" t="n">
        <v>0.25</v>
      </c>
      <c r="L232" s="11" t="inlineStr"/>
      <c r="M232" s="11" t="inlineStr">
        <is>
          <t>Nil Bacardit Tudela</t>
        </is>
      </c>
      <c r="N232" s="11" t="inlineStr">
        <is>
          <t>Si</t>
        </is>
      </c>
      <c r="O232" s="15">
        <f>IF(COUNTIF(Objectius!$A$2:$A$183,D232)&gt;0,"Sí","No")</f>
        <v/>
      </c>
    </row>
    <row r="233">
      <c r="A233" s="11" t="inlineStr">
        <is>
          <t>26_US_59</t>
        </is>
      </c>
      <c r="B233" s="11" t="n">
        <v>5</v>
      </c>
      <c r="C233" s="11" t="inlineStr">
        <is>
          <t>Millora i manteniment de centres d'interès amb un ús elevat - Servei de camió grua</t>
        </is>
      </c>
      <c r="D233" s="11" t="inlineStr">
        <is>
          <t>11.7.1</t>
        </is>
      </c>
      <c r="E233" s="11" t="inlineStr"/>
      <c r="F233" s="11" t="inlineStr">
        <is>
          <t>5. Ús públic i social</t>
        </is>
      </c>
      <c r="G233" s="11" t="inlineStr">
        <is>
          <t>Contracte menor a càrrec del RAE</t>
        </is>
      </c>
      <c r="H233" s="11" t="inlineStr">
        <is>
          <t>210.0001 - Conservació, reparació i manteniment de terrenys</t>
        </is>
      </c>
      <c r="I233" s="11" t="inlineStr">
        <is>
          <t>1.2 Administració del lloc i comunicació amb les parts interessades</t>
        </is>
      </c>
      <c r="J233" s="12" t="n">
        <v>3000</v>
      </c>
      <c r="K233" s="13" t="n">
        <v>0.25</v>
      </c>
      <c r="L233" s="11" t="inlineStr"/>
      <c r="M233" s="11" t="inlineStr">
        <is>
          <t>Nil Bacardit Tudela</t>
        </is>
      </c>
      <c r="N233" s="11" t="inlineStr">
        <is>
          <t>Si</t>
        </is>
      </c>
      <c r="O233" s="15">
        <f>IF(COUNTIF(Objectius!$A$2:$A$183,D233)&gt;0,"Sí","No")</f>
        <v/>
      </c>
    </row>
    <row r="234">
      <c r="A234" s="11" t="inlineStr">
        <is>
          <t>26_US_60</t>
        </is>
      </c>
      <c r="B234" s="11" t="n">
        <v>8</v>
      </c>
      <c r="C234" s="11" t="inlineStr">
        <is>
          <t>Millora i manteniment de centres d'interès amb un ús elevat - Mantneiment antenes satelitals</t>
        </is>
      </c>
      <c r="D234" s="11" t="inlineStr">
        <is>
          <t>11.7.1</t>
        </is>
      </c>
      <c r="E234" s="11" t="inlineStr"/>
      <c r="F234" s="11" t="inlineStr">
        <is>
          <t>5. Ús públic i social</t>
        </is>
      </c>
      <c r="G234" s="11" t="inlineStr">
        <is>
          <t>Contracte menor a càrrec del RAE</t>
        </is>
      </c>
      <c r="H234" s="11" t="inlineStr">
        <is>
          <t>212.0001 - Conservació, reparació i manteniment d'equips per a procés de dades, programari i reprografia</t>
        </is>
      </c>
      <c r="I234" s="11" t="inlineStr">
        <is>
          <t>1.2 Administració del lloc i comunicació amb les parts interessades</t>
        </is>
      </c>
      <c r="J234" s="12" t="n">
        <v>5600</v>
      </c>
      <c r="K234" s="13" t="n">
        <v>0.25</v>
      </c>
      <c r="L234" s="11" t="inlineStr"/>
      <c r="M234" s="11" t="inlineStr">
        <is>
          <t>Josep Pique Palacin</t>
        </is>
      </c>
      <c r="N234" s="11" t="inlineStr">
        <is>
          <t>No</t>
        </is>
      </c>
      <c r="O234" s="15">
        <f>IF(COUNTIF(Objectius!$A$2:$A$183,D234)&gt;0,"Sí","No")</f>
        <v/>
      </c>
    </row>
    <row r="235">
      <c r="A235" s="11" t="inlineStr">
        <is>
          <t>26_US_61</t>
        </is>
      </c>
      <c r="B235" s="11" t="n">
        <v>14</v>
      </c>
      <c r="C235" s="11" t="inlineStr">
        <is>
          <t>Millora i manteniment de centres d'interès amb un ús elevat - Subministrament d'aigua al Paller d'Antonet</t>
        </is>
      </c>
      <c r="D235" s="11" t="inlineStr">
        <is>
          <t>11.7.1</t>
        </is>
      </c>
      <c r="E235" s="11" t="inlineStr"/>
      <c r="F235" s="11" t="inlineStr">
        <is>
          <t>5. Ús públic i social</t>
        </is>
      </c>
      <c r="G235" s="11" t="inlineStr">
        <is>
          <t>Contracte menor a càrrec del RAE</t>
        </is>
      </c>
      <c r="H235" s="11" t="inlineStr">
        <is>
          <t>221.0001 - Aigua i energia</t>
        </is>
      </c>
      <c r="I235" s="11" t="inlineStr">
        <is>
          <t>1.2 Administració del lloc i comunicació amb les parts interessades</t>
        </is>
      </c>
      <c r="J235" s="12" t="n">
        <v>200</v>
      </c>
      <c r="K235" s="13" t="n">
        <v>0.25</v>
      </c>
      <c r="L235" s="11" t="inlineStr"/>
      <c r="M235" s="11" t="inlineStr">
        <is>
          <t>Daniel Maresma Fernandez</t>
        </is>
      </c>
      <c r="N235" s="11" t="inlineStr">
        <is>
          <t>Si</t>
        </is>
      </c>
      <c r="O235" s="15">
        <f>IF(COUNTIF(Objectius!$A$2:$A$183,D235)&gt;0,"Sí","No")</f>
        <v/>
      </c>
    </row>
    <row r="236">
      <c r="A236" s="11" t="inlineStr">
        <is>
          <t>26_US_62</t>
        </is>
      </c>
      <c r="B236" s="11" t="n">
        <v>15</v>
      </c>
      <c r="C236" s="11" t="inlineStr">
        <is>
          <t>Millora i manteniment de centres d'interès amb un ús elevat - Subministrament d'aigua a la Casa dels Parcs dels Pirineus</t>
        </is>
      </c>
      <c r="D236" s="11" t="inlineStr">
        <is>
          <t>11.7.1</t>
        </is>
      </c>
      <c r="E236" s="11" t="inlineStr"/>
      <c r="F236" s="11" t="inlineStr">
        <is>
          <t>5. Ús públic i social</t>
        </is>
      </c>
      <c r="G236" s="11" t="inlineStr">
        <is>
          <t>Contracte menor a càrrec del RAE</t>
        </is>
      </c>
      <c r="H236" s="11" t="inlineStr">
        <is>
          <t>221.0001 - Aigua i energia</t>
        </is>
      </c>
      <c r="I236" s="11" t="inlineStr">
        <is>
          <t>1.2 Administració del lloc i comunicació amb les parts interessades</t>
        </is>
      </c>
      <c r="J236" s="12" t="n">
        <v>200</v>
      </c>
      <c r="K236" s="13" t="n">
        <v>0.25</v>
      </c>
      <c r="L236" s="11" t="inlineStr"/>
      <c r="M236" s="11" t="inlineStr">
        <is>
          <t>Daniel Maresma Fernandez</t>
        </is>
      </c>
      <c r="N236" s="11" t="inlineStr">
        <is>
          <t>Si</t>
        </is>
      </c>
      <c r="O236" s="15">
        <f>IF(COUNTIF(Objectius!$A$2:$A$183,D236)&gt;0,"Sí","No")</f>
        <v/>
      </c>
    </row>
    <row r="237">
      <c r="A237" s="11" t="inlineStr">
        <is>
          <t>26_US_63</t>
        </is>
      </c>
      <c r="B237" s="11" t="n">
        <v>16</v>
      </c>
      <c r="C237" s="11" t="inlineStr">
        <is>
          <t>Millora i manteniment de centres d'interès amb un ús elevat - Subministrament d'electricitat al Centre de Descoberta de Ciències de la Terra</t>
        </is>
      </c>
      <c r="D237" s="11" t="inlineStr">
        <is>
          <t>11.7.1</t>
        </is>
      </c>
      <c r="E237" s="11" t="inlineStr"/>
      <c r="F237" s="11" t="inlineStr">
        <is>
          <t>5. Ús públic i social</t>
        </is>
      </c>
      <c r="G237" s="11" t="inlineStr">
        <is>
          <t>Contracte menor a càrrec del RAE</t>
        </is>
      </c>
      <c r="H237" s="11" t="inlineStr">
        <is>
          <t>221.0001 - Aigua i energia</t>
        </is>
      </c>
      <c r="I237" s="11" t="inlineStr">
        <is>
          <t>1.2 Administració del lloc i comunicació amb les parts interessades</t>
        </is>
      </c>
      <c r="J237" s="12" t="n">
        <v>1200</v>
      </c>
      <c r="K237" s="13" t="n">
        <v>0.25</v>
      </c>
      <c r="L237" s="11" t="inlineStr"/>
      <c r="M237" s="11" t="inlineStr">
        <is>
          <t>Daniel Maresma Fernandez</t>
        </is>
      </c>
      <c r="N237" s="11" t="inlineStr">
        <is>
          <t>Si</t>
        </is>
      </c>
      <c r="O237" s="15">
        <f>IF(COUNTIF(Objectius!$A$2:$A$183,D237)&gt;0,"Sí","No")</f>
        <v/>
      </c>
    </row>
    <row r="238">
      <c r="A238" s="11" t="inlineStr">
        <is>
          <t>26_US_64</t>
        </is>
      </c>
      <c r="B238" s="11" t="n">
        <v>41</v>
      </c>
      <c r="C238" s="11" t="inlineStr">
        <is>
          <t>Millora i manteniment de centres d'interès amb un ús elevat - Taxa clavegaram Paller d'Antonet</t>
        </is>
      </c>
      <c r="D238" s="11" t="inlineStr">
        <is>
          <t>11.7.1</t>
        </is>
      </c>
      <c r="E238" s="11" t="inlineStr"/>
      <c r="F238" s="11" t="inlineStr">
        <is>
          <t>5. Ús públic i social</t>
        </is>
      </c>
      <c r="G238" s="11" t="inlineStr">
        <is>
          <t>Contracte menor a càrrec del RAE</t>
        </is>
      </c>
      <c r="H238" s="11" t="inlineStr">
        <is>
          <t>225.0001 - Tributs i taxes</t>
        </is>
      </c>
      <c r="I238" s="11" t="inlineStr">
        <is>
          <t>1.2 Administració del lloc i comunicació amb les parts interessades</t>
        </is>
      </c>
      <c r="J238" s="12" t="n">
        <v>45</v>
      </c>
      <c r="K238" s="13" t="n">
        <v>0.25</v>
      </c>
      <c r="L238" s="11" t="inlineStr"/>
      <c r="M238" s="11" t="inlineStr">
        <is>
          <t>Daniel Maresma Fernandez</t>
        </is>
      </c>
      <c r="N238" s="11" t="inlineStr">
        <is>
          <t>Si</t>
        </is>
      </c>
      <c r="O238" s="15">
        <f>IF(COUNTIF(Objectius!$A$2:$A$183,D238)&gt;0,"Sí","No")</f>
        <v/>
      </c>
    </row>
    <row r="239">
      <c r="A239" s="11" t="inlineStr">
        <is>
          <t>26_US_65</t>
        </is>
      </c>
      <c r="B239" s="11" t="n">
        <v>42</v>
      </c>
      <c r="C239" s="11" t="inlineStr">
        <is>
          <t>Millora i manteniment de centres d'interès amb un ús elevat- Taxa d'escombreries Pallars Sobirà</t>
        </is>
      </c>
      <c r="D239" s="11" t="inlineStr">
        <is>
          <t>11.7.1</t>
        </is>
      </c>
      <c r="E239" s="11" t="inlineStr"/>
      <c r="F239" s="11" t="inlineStr">
        <is>
          <t>5. Ús públic i social</t>
        </is>
      </c>
      <c r="G239" s="11" t="inlineStr">
        <is>
          <t>Contracte menor a càrrec del RAE</t>
        </is>
      </c>
      <c r="H239" s="11" t="inlineStr">
        <is>
          <t>225.0001 - Tributs i taxes</t>
        </is>
      </c>
      <c r="I239" s="11" t="inlineStr">
        <is>
          <t>1.2 Administració del lloc i comunicació amb les parts interessades</t>
        </is>
      </c>
      <c r="J239" s="12" t="n">
        <v>3000</v>
      </c>
      <c r="K239" s="13" t="n">
        <v>0.25</v>
      </c>
      <c r="L239" s="11" t="inlineStr"/>
      <c r="M239" s="11" t="inlineStr">
        <is>
          <t>Daniel Maresma Fernandez</t>
        </is>
      </c>
      <c r="N239" s="11" t="inlineStr">
        <is>
          <t>Si</t>
        </is>
      </c>
      <c r="O239" s="15">
        <f>IF(COUNTIF(Objectius!$A$2:$A$183,D239)&gt;0,"Sí","No")</f>
        <v/>
      </c>
    </row>
    <row r="240">
      <c r="A240" s="11" t="inlineStr">
        <is>
          <t>26_US_66</t>
        </is>
      </c>
      <c r="B240" s="11" t="n">
        <v>43</v>
      </c>
      <c r="C240" s="11" t="inlineStr">
        <is>
          <t>Millora i manteniment de centres d'interès amb un ús elevat- Taxa d'escombreries Alt Urgell</t>
        </is>
      </c>
      <c r="D240" s="11" t="inlineStr">
        <is>
          <t>11.7.1</t>
        </is>
      </c>
      <c r="E240" s="11" t="inlineStr"/>
      <c r="F240" s="11" t="inlineStr">
        <is>
          <t>5. Ús públic i social</t>
        </is>
      </c>
      <c r="G240" s="11" t="inlineStr">
        <is>
          <t>Contracte menor a càrrec del RAE</t>
        </is>
      </c>
      <c r="H240" s="11" t="inlineStr">
        <is>
          <t>225.0001 - Tributs i taxes</t>
        </is>
      </c>
      <c r="I240" s="11" t="inlineStr">
        <is>
          <t>1.2 Administració del lloc i comunicació amb les parts interessades</t>
        </is>
      </c>
      <c r="J240" s="12" t="n">
        <v>120</v>
      </c>
      <c r="K240" s="13" t="n">
        <v>0.25</v>
      </c>
      <c r="L240" s="11" t="inlineStr"/>
      <c r="M240" s="11" t="inlineStr">
        <is>
          <t>Daniel Maresma Fernandez</t>
        </is>
      </c>
      <c r="N240" s="11" t="inlineStr">
        <is>
          <t>Si</t>
        </is>
      </c>
      <c r="O240" s="15">
        <f>IF(COUNTIF(Objectius!$A$2:$A$183,D240)&gt;0,"Sí","No")</f>
        <v/>
      </c>
    </row>
    <row r="241">
      <c r="A241" s="11" t="inlineStr">
        <is>
          <t>26_US_67</t>
        </is>
      </c>
      <c r="B241" s="11" t="n">
        <v>171</v>
      </c>
      <c r="C241" s="11" t="inlineStr">
        <is>
          <t>Millora i manteniment de centres d'interès amb un ús elevat- Adquisió material Refugi Comes de Rubió</t>
        </is>
      </c>
      <c r="D241" s="11" t="inlineStr">
        <is>
          <t>11.7.1</t>
        </is>
      </c>
      <c r="E241" s="11" t="inlineStr"/>
      <c r="F241" s="11" t="inlineStr">
        <is>
          <t>5. Ús públic i social</t>
        </is>
      </c>
      <c r="G241" s="11" t="inlineStr">
        <is>
          <t>Contracte menor a càrrec del RAE</t>
        </is>
      </c>
      <c r="H241" s="11" t="inlineStr">
        <is>
          <t>620.0001 - Inversions en maquinària, instal·lacions i utillatge</t>
        </is>
      </c>
      <c r="I241" s="11" t="inlineStr">
        <is>
          <t>1.2 Administració del lloc i comunicació amb les parts interessades</t>
        </is>
      </c>
      <c r="J241" s="12" t="n">
        <v>6043.95</v>
      </c>
      <c r="K241" s="13" t="n">
        <v>0.25</v>
      </c>
      <c r="L241" s="11" t="inlineStr"/>
      <c r="M241" s="11" t="inlineStr">
        <is>
          <t>Daniel Maresma Fernandez</t>
        </is>
      </c>
      <c r="N241" s="11" t="inlineStr">
        <is>
          <t>No</t>
        </is>
      </c>
      <c r="O241" s="15">
        <f>IF(COUNTIF(Objectius!$A$2:$A$183,D241)&gt;0,"Sí","No")</f>
        <v/>
      </c>
    </row>
    <row r="242">
      <c r="A242" s="11" t="inlineStr">
        <is>
          <t>26_US_68</t>
        </is>
      </c>
      <c r="B242" s="11" t="inlineStr"/>
      <c r="C242" s="11" t="inlineStr">
        <is>
          <t>Millora i manteniment de centres d'interès amb un ús elevat- Mantenimen ti millora miradors Vall de Cardós</t>
        </is>
      </c>
      <c r="D242" s="11" t="inlineStr">
        <is>
          <t>11.7.1</t>
        </is>
      </c>
      <c r="E242" s="11" t="inlineStr"/>
      <c r="F242" s="11" t="inlineStr">
        <is>
          <t>5. Ús públic i social</t>
        </is>
      </c>
      <c r="G242" s="11" t="inlineStr">
        <is>
          <t>Contracte menor des de la DG</t>
        </is>
      </c>
      <c r="H242" s="11" t="inlineStr"/>
      <c r="I242" s="11" t="inlineStr">
        <is>
          <t>1.2 Administració del lloc i comunicació amb les parts interessades</t>
        </is>
      </c>
      <c r="J242" s="12" t="n">
        <v>6882.53</v>
      </c>
      <c r="K242" s="13" t="n">
        <v>0.25</v>
      </c>
      <c r="L242" s="11" t="inlineStr"/>
      <c r="M242" s="11" t="inlineStr">
        <is>
          <t>Nil Bacardit Tudela</t>
        </is>
      </c>
      <c r="N242" s="11" t="inlineStr">
        <is>
          <t>No</t>
        </is>
      </c>
      <c r="O242" s="15">
        <f>IF(COUNTIF(Objectius!$A$2:$A$183,D242)&gt;0,"Sí","No")</f>
        <v/>
      </c>
    </row>
    <row r="243">
      <c r="A243" s="11" t="inlineStr">
        <is>
          <t>26_US_69</t>
        </is>
      </c>
      <c r="B243" s="11" t="inlineStr"/>
      <c r="C243" s="11" t="inlineStr">
        <is>
          <t>Donar continuïtat a la participació al projecte ”Apropa Cultura” per apropar els equipaments vinculats al Parc a persones en situació de vulnerabilitat</t>
        </is>
      </c>
      <c r="D243" s="11" t="inlineStr">
        <is>
          <t>11.7.2</t>
        </is>
      </c>
      <c r="E243" s="11" t="inlineStr"/>
      <c r="F243" s="11" t="inlineStr">
        <is>
          <t>5. Ús públic i social</t>
        </is>
      </c>
      <c r="G243" s="11" t="inlineStr">
        <is>
          <t>Altres</t>
        </is>
      </c>
      <c r="H243" s="11" t="inlineStr"/>
      <c r="I243" s="11" t="inlineStr">
        <is>
          <t>1.5 Mesures de comunicació i sensibilització, educació i accés de visitants relacionades amb Natura 2000</t>
        </is>
      </c>
      <c r="J243" s="12" t="n">
        <v>0</v>
      </c>
      <c r="K243" s="13" t="n">
        <v>0.25</v>
      </c>
      <c r="L243" s="11" t="inlineStr">
        <is>
          <t>A través d'altres actuacions</t>
        </is>
      </c>
      <c r="M243" s="11" t="inlineStr">
        <is>
          <t>Nuria Canals Sangra</t>
        </is>
      </c>
      <c r="N243" s="11" t="inlineStr">
        <is>
          <t>No</t>
        </is>
      </c>
      <c r="O243" s="15">
        <f>IF(COUNTIF(Objectius!$A$2:$A$183,D243)&gt;0,"Sí","No")</f>
        <v/>
      </c>
    </row>
    <row r="244">
      <c r="A244" s="11" t="inlineStr">
        <is>
          <t>26_US_70</t>
        </is>
      </c>
      <c r="B244" s="11" t="n">
        <v>11</v>
      </c>
      <c r="C244" s="11" t="inlineStr">
        <is>
          <t>Instal·lació de lavabos secs en zones freqüentades sense serveis - Manteniment i reparació de vàters secs existents</t>
        </is>
      </c>
      <c r="D244" s="11" t="inlineStr">
        <is>
          <t>11.7.2</t>
        </is>
      </c>
      <c r="E244" s="11" t="inlineStr"/>
      <c r="F244" s="11" t="inlineStr">
        <is>
          <t>5. Ús públic i social</t>
        </is>
      </c>
      <c r="G244" s="11" t="inlineStr">
        <is>
          <t>Contracte menor a càrrec del RAE</t>
        </is>
      </c>
      <c r="H244" s="11" t="inlineStr">
        <is>
          <t>213.0001 - Conservació, reparació i manteniment d'altre immobilitzat material</t>
        </is>
      </c>
      <c r="I244" s="11" t="inlineStr">
        <is>
          <t>1.2 Administració del lloc i comunicació amb les parts interessades</t>
        </is>
      </c>
      <c r="J244" s="12" t="n">
        <v>2500</v>
      </c>
      <c r="K244" s="13" t="n">
        <v>0.25</v>
      </c>
      <c r="L244" s="11" t="inlineStr"/>
      <c r="M244" s="11" t="inlineStr">
        <is>
          <t>Moises Villanueva Coello</t>
        </is>
      </c>
      <c r="N244" s="11" t="inlineStr">
        <is>
          <t>No</t>
        </is>
      </c>
      <c r="O244" s="15">
        <f>IF(COUNTIF(Objectius!$A$2:$A$183,D244)&gt;0,"Sí","No")</f>
        <v/>
      </c>
    </row>
    <row r="245">
      <c r="A245" s="11" t="inlineStr">
        <is>
          <t>26_US_71</t>
        </is>
      </c>
      <c r="B245" s="11" t="n">
        <v>57</v>
      </c>
      <c r="C245" s="11" t="inlineStr">
        <is>
          <t>Instal·lació de lavabos secs en zones freqüentades sense serveis - Lloguer i neteja de WC secs portàtils</t>
        </is>
      </c>
      <c r="D245" s="11" t="inlineStr">
        <is>
          <t>11.7.2</t>
        </is>
      </c>
      <c r="E245" s="11" t="inlineStr"/>
      <c r="F245" s="11" t="inlineStr">
        <is>
          <t>5. Ús públic i social</t>
        </is>
      </c>
      <c r="G245" s="11" t="inlineStr">
        <is>
          <t>Contracte menor a càrrec del RAE</t>
        </is>
      </c>
      <c r="H245" s="11" t="inlineStr">
        <is>
          <t>227.0001 - Neteja i sanejament</t>
        </is>
      </c>
      <c r="I245" s="11" t="inlineStr">
        <is>
          <t>1.2 Administració del lloc i comunicació amb les parts interessades</t>
        </is>
      </c>
      <c r="J245" s="12" t="n">
        <v>10000</v>
      </c>
      <c r="K245" s="13" t="n">
        <v>0.25</v>
      </c>
      <c r="L245" s="11" t="inlineStr"/>
      <c r="M245" s="11" t="inlineStr">
        <is>
          <t>Moises Villanueva Coello</t>
        </is>
      </c>
      <c r="N245" s="11" t="inlineStr">
        <is>
          <t>No</t>
        </is>
      </c>
      <c r="O245" s="15">
        <f>IF(COUNTIF(Objectius!$A$2:$A$183,D245)&gt;0,"Sí","No")</f>
        <v/>
      </c>
    </row>
    <row r="246">
      <c r="A246" s="11" t="inlineStr">
        <is>
          <t>26_US_72</t>
        </is>
      </c>
      <c r="B246" s="11" t="n">
        <v>166</v>
      </c>
      <c r="C246" s="11" t="inlineStr">
        <is>
          <t>Instal·lació de lavabos secs en zones freqüentades sense serveis - Adquisició nou WC secs portàtil</t>
        </is>
      </c>
      <c r="D246" s="11" t="inlineStr">
        <is>
          <t>11.7.2</t>
        </is>
      </c>
      <c r="E246" s="11" t="inlineStr"/>
      <c r="F246" s="11" t="inlineStr">
        <is>
          <t>5. Ús públic i social</t>
        </is>
      </c>
      <c r="G246" s="11" t="inlineStr">
        <is>
          <t>Contracte menor a càrrec del RAE</t>
        </is>
      </c>
      <c r="H246" s="11" t="inlineStr">
        <is>
          <t>610.0001 - Inversions en edificis i altres construccions per compte propi</t>
        </is>
      </c>
      <c r="I246" s="11" t="inlineStr">
        <is>
          <t>1.2 Administració del lloc i comunicació amb les parts interessades</t>
        </is>
      </c>
      <c r="J246" s="12" t="n">
        <v>18150</v>
      </c>
      <c r="K246" s="13" t="n">
        <v>0.25</v>
      </c>
      <c r="L246" s="11" t="inlineStr"/>
      <c r="M246" s="11" t="inlineStr">
        <is>
          <t>Moises Villanueva Coello</t>
        </is>
      </c>
      <c r="N246" s="11" t="inlineStr">
        <is>
          <t>No</t>
        </is>
      </c>
      <c r="O246" s="15">
        <f>IF(COUNTIF(Objectius!$A$2:$A$183,D246)&gt;0,"Sí","No")</f>
        <v/>
      </c>
    </row>
    <row r="247">
      <c r="A247" s="11" t="inlineStr">
        <is>
          <t>26_US_73</t>
        </is>
      </c>
      <c r="B247" s="11" t="inlineStr"/>
      <c r="C247" s="11" t="inlineStr">
        <is>
          <t>Creació de vies verdes o carrils per bicicleta per facilitar la mobilitat lenta als fons de les valls principals (vall principal Noguera Pallaresa, Vall de Cardós, Vall Ferrera i vall principal riu Valira)</t>
        </is>
      </c>
      <c r="D247" s="11" t="inlineStr">
        <is>
          <t>11.7.2</t>
        </is>
      </c>
      <c r="E247" s="11" t="inlineStr"/>
      <c r="F247" s="11" t="inlineStr">
        <is>
          <t>5. Ús públic i social</t>
        </is>
      </c>
      <c r="G247" s="11" t="inlineStr">
        <is>
          <t>Altres</t>
        </is>
      </c>
      <c r="H247" s="11" t="inlineStr"/>
      <c r="I247" s="11" t="inlineStr">
        <is>
          <t>1.2 Administració del lloc i comunicació amb les parts interessades</t>
        </is>
      </c>
      <c r="J247" s="12" t="n">
        <v>0</v>
      </c>
      <c r="K247" s="13" t="n">
        <v>0.25</v>
      </c>
      <c r="L247" s="11" t="inlineStr">
        <is>
          <t>A través de la DG de Muntanya</t>
        </is>
      </c>
      <c r="M247" s="11" t="inlineStr">
        <is>
          <t>Marc Garriga Lujan</t>
        </is>
      </c>
      <c r="N247" s="11" t="inlineStr">
        <is>
          <t>No</t>
        </is>
      </c>
      <c r="O247" s="15">
        <f>IF(COUNTIF(Objectius!$A$2:$A$183,D247)&gt;0,"Sí","No")</f>
        <v/>
      </c>
    </row>
    <row r="248">
      <c r="A248" s="11" t="inlineStr">
        <is>
          <t>26_US_74</t>
        </is>
      </c>
      <c r="B248" s="11" t="inlineStr"/>
      <c r="C248" s="11" t="inlineStr">
        <is>
          <t>Adequar espais i equipaments per rebre grups de lleure i voluntariat (Llavaners, Casa Pallerols, Casa Bringué..)</t>
        </is>
      </c>
      <c r="D248" s="11" t="inlineStr">
        <is>
          <t>11.7.2</t>
        </is>
      </c>
      <c r="E248" s="11" t="inlineStr"/>
      <c r="F248" s="11" t="inlineStr">
        <is>
          <t>5. Ús públic i social</t>
        </is>
      </c>
      <c r="G248" s="11" t="inlineStr">
        <is>
          <t>Altres</t>
        </is>
      </c>
      <c r="H248" s="11" t="inlineStr"/>
      <c r="I248" s="11" t="inlineStr">
        <is>
          <t>1.2 Administració del lloc i comunicació amb les parts interessades</t>
        </is>
      </c>
      <c r="J248" s="12" t="n">
        <v>0</v>
      </c>
      <c r="K248" s="13" t="n">
        <v>0.25</v>
      </c>
      <c r="L248" s="11" t="inlineStr">
        <is>
          <t>A través del servei de Manteniment</t>
        </is>
      </c>
      <c r="M248" s="11" t="inlineStr">
        <is>
          <t>Nil Bacardit Tudela</t>
        </is>
      </c>
      <c r="N248" s="11" t="inlineStr">
        <is>
          <t>Si</t>
        </is>
      </c>
      <c r="O248" s="15">
        <f>IF(COUNTIF(Objectius!$A$2:$A$183,D248)&gt;0,"Sí","No")</f>
        <v/>
      </c>
    </row>
    <row r="249">
      <c r="A249" s="11" t="inlineStr">
        <is>
          <t>26_US_75</t>
        </is>
      </c>
      <c r="B249" s="11" t="inlineStr"/>
      <c r="C249" s="11" t="inlineStr">
        <is>
          <t>Adequar i millorar els punts d'informació existents del Parc Natural</t>
        </is>
      </c>
      <c r="D249" s="11" t="inlineStr">
        <is>
          <t>11.7.2</t>
        </is>
      </c>
      <c r="E249" s="11" t="inlineStr"/>
      <c r="F249" s="11" t="inlineStr">
        <is>
          <t>5. Ús públic i social</t>
        </is>
      </c>
      <c r="G249" s="11" t="inlineStr">
        <is>
          <t>Altres</t>
        </is>
      </c>
      <c r="H249" s="11" t="inlineStr"/>
      <c r="I249" s="11" t="inlineStr">
        <is>
          <t>1.2 Administració del lloc i comunicació amb les parts interessades</t>
        </is>
      </c>
      <c r="J249" s="12" t="n">
        <v>0</v>
      </c>
      <c r="K249" s="13" t="n">
        <v>0.25</v>
      </c>
      <c r="L249" s="11" t="inlineStr">
        <is>
          <t>A través del servei de Manteniment</t>
        </is>
      </c>
      <c r="M249" s="11" t="inlineStr">
        <is>
          <t>Nil Bacardit Tudela</t>
        </is>
      </c>
      <c r="N249" s="11" t="inlineStr">
        <is>
          <t>No</t>
        </is>
      </c>
      <c r="O249" s="15">
        <f>IF(COUNTIF(Objectius!$A$2:$A$183,D249)&gt;0,"Sí","No")</f>
        <v/>
      </c>
    </row>
    <row r="250">
      <c r="A250" s="11" t="inlineStr">
        <is>
          <t>26_US_76</t>
        </is>
      </c>
      <c r="B250" s="11" t="inlineStr"/>
      <c r="C250" s="11" t="inlineStr">
        <is>
          <t>Adequar i millorar els punts d'informació existents del Parc Natural - obertura i servei d'informació temporal comarcal a Sort</t>
        </is>
      </c>
      <c r="D250" s="11" t="inlineStr">
        <is>
          <t>11.7.2</t>
        </is>
      </c>
      <c r="E250" s="11" t="inlineStr"/>
      <c r="F250" s="11" t="inlineStr">
        <is>
          <t>5. Ús públic i social</t>
        </is>
      </c>
      <c r="G250" s="11" t="inlineStr">
        <is>
          <t>Contracte menor des de la DG</t>
        </is>
      </c>
      <c r="H250" s="11" t="inlineStr"/>
      <c r="I250" s="11" t="inlineStr">
        <is>
          <t>1.5 Mesures de comunicació i sensibilització, educació i accés de visitants relacionades amb Natura 2000</t>
        </is>
      </c>
      <c r="J250" s="12" t="n">
        <v>18150</v>
      </c>
      <c r="K250" s="13" t="n">
        <v>0.25</v>
      </c>
      <c r="L250" s="11" t="inlineStr"/>
      <c r="M250" s="11" t="inlineStr">
        <is>
          <t>Pol Alcalde Floriach</t>
        </is>
      </c>
      <c r="N250" s="11" t="inlineStr">
        <is>
          <t>No</t>
        </is>
      </c>
      <c r="O250" s="15">
        <f>IF(COUNTIF(Objectius!$A$2:$A$183,D250)&gt;0,"Sí","No")</f>
        <v/>
      </c>
    </row>
    <row r="251">
      <c r="A251" s="11" t="inlineStr">
        <is>
          <t>26_US_77</t>
        </is>
      </c>
      <c r="B251" s="11" t="inlineStr"/>
      <c r="C251" s="11" t="inlineStr">
        <is>
          <t>Adequar i millorar els punts d'informació existents del Parc Natural - instalació pantalla informativa a Sort</t>
        </is>
      </c>
      <c r="D251" s="11" t="inlineStr">
        <is>
          <t>11.7.2</t>
        </is>
      </c>
      <c r="E251" s="11" t="inlineStr"/>
      <c r="F251" s="11" t="inlineStr">
        <is>
          <t>5. Ús públic i social</t>
        </is>
      </c>
      <c r="G251" s="11" t="inlineStr">
        <is>
          <t>Contracte menor des de la DG</t>
        </is>
      </c>
      <c r="H251" s="11" t="inlineStr"/>
      <c r="I251" s="11" t="inlineStr">
        <is>
          <t>1.5 Mesures de comunicació i sensibilització, educació i accés de visitants relacionades amb Natura 2000</t>
        </is>
      </c>
      <c r="J251" s="12" t="n">
        <v>18148.79</v>
      </c>
      <c r="K251" s="13" t="n">
        <v>0.25</v>
      </c>
      <c r="L251" s="11" t="inlineStr"/>
      <c r="M251" s="11" t="inlineStr">
        <is>
          <t>Pol Alcalde Floriach</t>
        </is>
      </c>
      <c r="N251" s="11" t="inlineStr">
        <is>
          <t>No</t>
        </is>
      </c>
      <c r="O251" s="15">
        <f>IF(COUNTIF(Objectius!$A$2:$A$183,D251)&gt;0,"Sí","No")</f>
        <v/>
      </c>
    </row>
    <row r="252">
      <c r="A252" s="11" t="inlineStr">
        <is>
          <t>26_US_78</t>
        </is>
      </c>
      <c r="B252" s="11" t="inlineStr"/>
      <c r="C252" s="11" t="inlineStr">
        <is>
          <t>Adquisició, redacció projecte i adequació de la Rectoria d’Àreu com a punt d’informació i interpretació del Parc</t>
        </is>
      </c>
      <c r="D252" s="11" t="inlineStr">
        <is>
          <t>11.7.2</t>
        </is>
      </c>
      <c r="E252" s="11" t="inlineStr"/>
      <c r="F252" s="11" t="inlineStr">
        <is>
          <t>5. Ús públic i social</t>
        </is>
      </c>
      <c r="G252" s="11" t="inlineStr">
        <is>
          <t>Altres</t>
        </is>
      </c>
      <c r="H252" s="11" t="inlineStr"/>
      <c r="I252" s="11" t="inlineStr">
        <is>
          <t>1.2 Administració del lloc i comunicació amb les parts interessades</t>
        </is>
      </c>
      <c r="J252" s="12" t="n">
        <v>0</v>
      </c>
      <c r="K252" s="13" t="n">
        <v>0.25</v>
      </c>
      <c r="L252" s="11" t="inlineStr">
        <is>
          <t>Amb mitjans propis</t>
        </is>
      </c>
      <c r="M252" s="11" t="inlineStr">
        <is>
          <t>Marc Garriga Lujan</t>
        </is>
      </c>
      <c r="N252" s="11" t="inlineStr">
        <is>
          <t>No</t>
        </is>
      </c>
      <c r="O252" s="15">
        <f>IF(COUNTIF(Objectius!$A$2:$A$183,D252)&gt;0,"Sí","No")</f>
        <v/>
      </c>
    </row>
    <row r="253">
      <c r="A253" s="11" t="inlineStr">
        <is>
          <t>26_US_79</t>
        </is>
      </c>
      <c r="B253" s="11" t="n">
        <v>13</v>
      </c>
      <c r="C253" s="11" t="inlineStr">
        <is>
          <t>Proveir i estocar tot el material de difusió i venda adreçat als visitants - Adquisició de material per botiga</t>
        </is>
      </c>
      <c r="D253" s="11" t="inlineStr">
        <is>
          <t>11.7.3</t>
        </is>
      </c>
      <c r="E253" s="11" t="inlineStr"/>
      <c r="F253" s="11" t="inlineStr">
        <is>
          <t>5. Ús públic i social</t>
        </is>
      </c>
      <c r="G253" s="11" t="inlineStr">
        <is>
          <t>Contracte menor a càrrec del RAE</t>
        </is>
      </c>
      <c r="H253" s="11" t="inlineStr">
        <is>
          <t>220.0002 - Premsa, revistes, llibres i altres publicacions</t>
        </is>
      </c>
      <c r="I253" s="11" t="inlineStr">
        <is>
          <t>1.5 Mesures de comunicació i sensibilització, educació i accés de visitants relacionades amb Natura 2000</t>
        </is>
      </c>
      <c r="J253" s="12" t="n">
        <v>5000</v>
      </c>
      <c r="K253" s="13" t="n">
        <v>0.25</v>
      </c>
      <c r="L253" s="11" t="inlineStr"/>
      <c r="M253" s="11" t="inlineStr">
        <is>
          <t>Daniel Maresma Fernandez</t>
        </is>
      </c>
      <c r="N253" s="11" t="inlineStr">
        <is>
          <t>No</t>
        </is>
      </c>
      <c r="O253" s="15">
        <f>IF(COUNTIF(Objectius!$A$2:$A$183,D253)&gt;0,"Sí","No")</f>
        <v/>
      </c>
    </row>
    <row r="254">
      <c r="A254" s="11" t="inlineStr">
        <is>
          <t>26_US_80</t>
        </is>
      </c>
      <c r="B254" s="11" t="n">
        <v>44</v>
      </c>
      <c r="C254" s="11" t="inlineStr">
        <is>
          <t>Proveir i estocar tot el material de difusió i venda adreçat als visitants - Tributs estatals IVA, IRPF i locals</t>
        </is>
      </c>
      <c r="D254" s="11" t="inlineStr">
        <is>
          <t>11.7.3</t>
        </is>
      </c>
      <c r="E254" s="11" t="inlineStr"/>
      <c r="F254" s="11" t="inlineStr">
        <is>
          <t>5. Ús públic i social</t>
        </is>
      </c>
      <c r="G254" s="11" t="inlineStr">
        <is>
          <t>Contracte menor a càrrec del RAE</t>
        </is>
      </c>
      <c r="H254" s="11" t="inlineStr">
        <is>
          <t>220.0002 - Premsa, revistes, llibres i altres publicacions</t>
        </is>
      </c>
      <c r="I254" s="11" t="inlineStr">
        <is>
          <t>1.5 Mesures de comunicació i sensibilització, educació i accés de visitants relacionades amb Natura 2000</t>
        </is>
      </c>
      <c r="J254" s="12" t="n">
        <v>9000</v>
      </c>
      <c r="K254" s="13" t="n">
        <v>0.25</v>
      </c>
      <c r="L254" s="11" t="inlineStr"/>
      <c r="M254" s="11" t="inlineStr">
        <is>
          <t>Daniel Maresma Fernandez</t>
        </is>
      </c>
      <c r="N254" s="11" t="inlineStr">
        <is>
          <t>Si</t>
        </is>
      </c>
      <c r="O254" s="15">
        <f>IF(COUNTIF(Objectius!$A$2:$A$183,D254)&gt;0,"Sí","No")</f>
        <v/>
      </c>
    </row>
    <row r="255">
      <c r="A255" s="11" t="inlineStr">
        <is>
          <t>26_US_81</t>
        </is>
      </c>
      <c r="B255" s="11" t="inlineStr"/>
      <c r="C255" s="11" t="inlineStr">
        <is>
          <t>Planificar calendaris d'obertura dels Centres d'Informació</t>
        </is>
      </c>
      <c r="D255" s="11" t="inlineStr">
        <is>
          <t>11.7.3</t>
        </is>
      </c>
      <c r="E255" s="11" t="inlineStr"/>
      <c r="F255" s="11" t="inlineStr">
        <is>
          <t>5. Ús públic i social</t>
        </is>
      </c>
      <c r="G255" s="11" t="inlineStr">
        <is>
          <t>Altres</t>
        </is>
      </c>
      <c r="H255" s="11" t="inlineStr"/>
      <c r="I255" s="11" t="inlineStr">
        <is>
          <t>1.5 Mesures de comunicació i sensibilització, educació i accés de visitants relacionades amb Natura 2000</t>
        </is>
      </c>
      <c r="J255" s="12" t="n">
        <v>0</v>
      </c>
      <c r="K255" s="13" t="n">
        <v>0.25</v>
      </c>
      <c r="L255" s="11" t="inlineStr">
        <is>
          <t>Amb mitjans propis</t>
        </is>
      </c>
      <c r="M255" s="11" t="inlineStr">
        <is>
          <t>Moises Villanueva Coello</t>
        </is>
      </c>
      <c r="N255" s="11" t="inlineStr">
        <is>
          <t>Si</t>
        </is>
      </c>
      <c r="O255" s="15">
        <f>IF(COUNTIF(Objectius!$A$2:$A$183,D255)&gt;0,"Sí","No")</f>
        <v/>
      </c>
    </row>
    <row r="256">
      <c r="A256" s="11" t="inlineStr">
        <is>
          <t>26_US_82</t>
        </is>
      </c>
      <c r="B256" s="11" t="inlineStr"/>
      <c r="C256" s="11" t="inlineStr">
        <is>
          <t>Coordinar els equips d'informadors del PNAP</t>
        </is>
      </c>
      <c r="D256" s="11" t="inlineStr">
        <is>
          <t>11.7.3</t>
        </is>
      </c>
      <c r="E256" s="11" t="inlineStr"/>
      <c r="F256" s="11" t="inlineStr">
        <is>
          <t>5. Ús públic i social</t>
        </is>
      </c>
      <c r="G256" s="11" t="inlineStr">
        <is>
          <t>Altres</t>
        </is>
      </c>
      <c r="H256" s="11" t="inlineStr"/>
      <c r="I256" s="11" t="inlineStr">
        <is>
          <t>1.5 Mesures de comunicació i sensibilització, educació i accés de visitants relacionades amb Natura 2000</t>
        </is>
      </c>
      <c r="J256" s="12" t="n">
        <v>0</v>
      </c>
      <c r="K256" s="13" t="n">
        <v>0.25</v>
      </c>
      <c r="L256" s="11" t="inlineStr">
        <is>
          <t>Amb mitjans propis</t>
        </is>
      </c>
      <c r="M256" s="11" t="inlineStr">
        <is>
          <t>Moises Villanueva Coello</t>
        </is>
      </c>
      <c r="N256" s="11" t="inlineStr">
        <is>
          <t>Si</t>
        </is>
      </c>
      <c r="O256" s="15">
        <f>IF(COUNTIF(Objectius!$A$2:$A$183,D256)&gt;0,"Sí","No")</f>
        <v/>
      </c>
    </row>
    <row r="257">
      <c r="A257" s="11" t="inlineStr">
        <is>
          <t>26_US_83</t>
        </is>
      </c>
      <c r="B257" s="11" t="n">
        <v>97</v>
      </c>
      <c r="C257" s="11" t="inlineStr">
        <is>
          <t>Dinamitzar els Centres d'Informació amb activitats, exposicions, etc. - Activitats dinamització despoblat de Santa Creu de Llagunes</t>
        </is>
      </c>
      <c r="D257" s="11" t="inlineStr">
        <is>
          <t>11.7.3</t>
        </is>
      </c>
      <c r="E257" s="11" t="inlineStr"/>
      <c r="F257" s="11" t="inlineStr">
        <is>
          <t>5. Ús públic i social</t>
        </is>
      </c>
      <c r="G257" s="11" t="inlineStr">
        <is>
          <t>Contracte menor a càrrec del RAE</t>
        </is>
      </c>
      <c r="H257" s="11" t="inlineStr">
        <is>
          <t>227.0089 - Altres treballs realitzats per persones físiques o jurídiques</t>
        </is>
      </c>
      <c r="I257" s="11" t="inlineStr">
        <is>
          <t>1.5 Mesures de comunicació i sensibilització, educació i accés de visitants relacionades amb Natura 2000</t>
        </is>
      </c>
      <c r="J257" s="12" t="n">
        <v>11310</v>
      </c>
      <c r="K257" s="13" t="n">
        <v>0.25</v>
      </c>
      <c r="L257" s="11" t="inlineStr"/>
      <c r="M257" s="11" t="inlineStr">
        <is>
          <t>Pol Alcalde Floriach</t>
        </is>
      </c>
      <c r="N257" s="11" t="inlineStr">
        <is>
          <t>No</t>
        </is>
      </c>
      <c r="O257" s="15">
        <f>IF(COUNTIF(Objectius!$A$2:$A$183,D257)&gt;0,"Sí","No")</f>
        <v/>
      </c>
    </row>
    <row r="258">
      <c r="A258" s="11" t="inlineStr">
        <is>
          <t>26_US_84</t>
        </is>
      </c>
      <c r="B258" s="11" t="inlineStr"/>
      <c r="C258" s="11" t="inlineStr">
        <is>
          <t>Establir un sistema d’informació útil automatitzat en temps real: meteorologia, espais en obres, incidències, batudes, ocupació dels pàrquings, etc.</t>
        </is>
      </c>
      <c r="D258" s="11" t="inlineStr">
        <is>
          <t>11.7.3</t>
        </is>
      </c>
      <c r="E258" s="11" t="inlineStr"/>
      <c r="F258" s="11" t="inlineStr">
        <is>
          <t>5. Ús públic i social</t>
        </is>
      </c>
      <c r="G258" s="11" t="inlineStr">
        <is>
          <t>Altres</t>
        </is>
      </c>
      <c r="H258" s="11" t="inlineStr"/>
      <c r="I258" s="11" t="inlineStr">
        <is>
          <t>1.5 Mesures de comunicació i sensibilització, educació i accés de visitants relacionades amb Natura 2000</t>
        </is>
      </c>
      <c r="J258" s="12" t="n">
        <v>0</v>
      </c>
      <c r="K258" s="13" t="n">
        <v>0.25</v>
      </c>
      <c r="L258" s="11" t="inlineStr">
        <is>
          <t>Amb mitjans propis</t>
        </is>
      </c>
      <c r="M258" s="11" t="inlineStr">
        <is>
          <t>Marc Garriga Lujan</t>
        </is>
      </c>
      <c r="N258" s="11" t="inlineStr">
        <is>
          <t>No</t>
        </is>
      </c>
      <c r="O258" s="15">
        <f>IF(COUNTIF(Objectius!$A$2:$A$183,D258)&gt;0,"Sí","No")</f>
        <v/>
      </c>
    </row>
    <row r="259">
      <c r="A259" s="11" t="inlineStr">
        <is>
          <t>26_US_85</t>
        </is>
      </c>
      <c r="B259" s="11" t="inlineStr"/>
      <c r="C259" s="11" t="inlineStr">
        <is>
          <t>Identificació dels punts i rutes clau de vigilància, temes clau, el calendari i els recursos necessaris</t>
        </is>
      </c>
      <c r="D259" s="11" t="inlineStr">
        <is>
          <t>11.8.1</t>
        </is>
      </c>
      <c r="E259" s="11" t="inlineStr"/>
      <c r="F259" s="11" t="inlineStr">
        <is>
          <t>5. Ús públic i social</t>
        </is>
      </c>
      <c r="G259" s="11" t="inlineStr">
        <is>
          <t>Altres</t>
        </is>
      </c>
      <c r="H259" s="11" t="inlineStr"/>
      <c r="I259" s="11" t="inlineStr">
        <is>
          <t>1.3 Seguiment, vigilància i notificació</t>
        </is>
      </c>
      <c r="J259" s="12" t="n">
        <v>0</v>
      </c>
      <c r="K259" s="13" t="n">
        <v>0.25</v>
      </c>
      <c r="L259" s="11" t="inlineStr">
        <is>
          <t>Amb mitjans propis i amb coordinació amb el cAR</t>
        </is>
      </c>
      <c r="M259" s="11" t="inlineStr">
        <is>
          <t>Marc Garriga Lujan</t>
        </is>
      </c>
      <c r="N259" s="11" t="inlineStr">
        <is>
          <t>No</t>
        </is>
      </c>
      <c r="O259" s="15">
        <f>IF(COUNTIF(Objectius!$A$2:$A$183,D259)&gt;0,"Sí","No")</f>
        <v/>
      </c>
    </row>
    <row r="260">
      <c r="A260" s="11" t="inlineStr">
        <is>
          <t>26_US_86</t>
        </is>
      </c>
      <c r="B260" s="11" t="inlineStr"/>
      <c r="C260" s="11" t="inlineStr">
        <is>
          <t>Implementar càmeres de videovigilància en zones problemàtiques amb coordinació amb els cossos de vigilància</t>
        </is>
      </c>
      <c r="D260" s="11" t="inlineStr">
        <is>
          <t>11.8.2</t>
        </is>
      </c>
      <c r="E260" s="11" t="inlineStr"/>
      <c r="F260" s="11" t="inlineStr">
        <is>
          <t>5. Ús públic i social</t>
        </is>
      </c>
      <c r="G260" s="11" t="inlineStr">
        <is>
          <t>Altres</t>
        </is>
      </c>
      <c r="H260" s="11" t="inlineStr"/>
      <c r="I260" s="11" t="inlineStr">
        <is>
          <t>1.3 Seguiment, vigilància i notificació</t>
        </is>
      </c>
      <c r="J260" s="12" t="n">
        <v>0</v>
      </c>
      <c r="K260" s="13" t="n">
        <v>0.25</v>
      </c>
      <c r="L260" s="11" t="inlineStr">
        <is>
          <t>Amb mitjans propis i amb coordinació amb el cAR</t>
        </is>
      </c>
      <c r="M260" s="11" t="inlineStr">
        <is>
          <t>Marc Garriga Lujan</t>
        </is>
      </c>
      <c r="N260" s="11" t="inlineStr">
        <is>
          <t>No</t>
        </is>
      </c>
      <c r="O260" s="15">
        <f>IF(COUNTIF(Objectius!$A$2:$A$183,D260)&gt;0,"Sí","No")</f>
        <v/>
      </c>
    </row>
    <row r="261">
      <c r="A261" s="11" t="inlineStr">
        <is>
          <t>26_US_87</t>
        </is>
      </c>
      <c r="B261" s="11" t="inlineStr"/>
      <c r="C261" s="11" t="inlineStr">
        <is>
          <t>Informes i autoritzacions enviats al CAR i altres cossos de vigilància per supervisar</t>
        </is>
      </c>
      <c r="D261" s="11" t="inlineStr">
        <is>
          <t>11.8.2</t>
        </is>
      </c>
      <c r="E261" s="11" t="inlineStr"/>
      <c r="F261" s="11" t="inlineStr">
        <is>
          <t>5. Ús públic i social</t>
        </is>
      </c>
      <c r="G261" s="11" t="inlineStr">
        <is>
          <t>Altres</t>
        </is>
      </c>
      <c r="H261" s="11" t="inlineStr"/>
      <c r="I261" s="11" t="inlineStr">
        <is>
          <t>1.3 Seguiment, vigilància i notificació</t>
        </is>
      </c>
      <c r="J261" s="12" t="n">
        <v>0</v>
      </c>
      <c r="K261" s="13" t="n">
        <v>0.25</v>
      </c>
      <c r="L261" s="11" t="inlineStr">
        <is>
          <t>Amb mitjans propis i amb coordinació amb el cAR</t>
        </is>
      </c>
      <c r="M261" s="11" t="inlineStr">
        <is>
          <t>Maria de las Merce Frade Palau</t>
        </is>
      </c>
      <c r="N261" s="11" t="inlineStr">
        <is>
          <t>Si</t>
        </is>
      </c>
      <c r="O261" s="15">
        <f>IF(COUNTIF(Objectius!$A$2:$A$183,D261)&gt;0,"Sí","No")</f>
        <v/>
      </c>
    </row>
    <row r="262">
      <c r="A262" s="11" t="inlineStr">
        <is>
          <t>26_US_88</t>
        </is>
      </c>
      <c r="B262" s="11" t="inlineStr"/>
      <c r="C262" s="11" t="inlineStr">
        <is>
          <t>Contractació servei d’agents cívics o informadors itinerants per informar als visitants i veïns de la normativa del Parc</t>
        </is>
      </c>
      <c r="D262" s="11" t="inlineStr">
        <is>
          <t>11.8.2</t>
        </is>
      </c>
      <c r="E262" s="11" t="inlineStr"/>
      <c r="F262" s="11" t="inlineStr">
        <is>
          <t>5. Ús públic i social</t>
        </is>
      </c>
      <c r="G262" s="11" t="inlineStr">
        <is>
          <t>Altres</t>
        </is>
      </c>
      <c r="H262" s="11" t="inlineStr"/>
      <c r="I262" s="11" t="inlineStr">
        <is>
          <t>1.3 Seguiment, vigilància i notificació</t>
        </is>
      </c>
      <c r="J262" s="12" t="n">
        <v>0</v>
      </c>
      <c r="K262" s="13" t="n">
        <v>0.25</v>
      </c>
      <c r="L262" s="11" t="inlineStr">
        <is>
          <t>Dins del contracte del servei d'informació i vigilància</t>
        </is>
      </c>
      <c r="M262" s="11" t="inlineStr">
        <is>
          <t>Moises Villanueva Coello</t>
        </is>
      </c>
      <c r="N262" s="11" t="inlineStr">
        <is>
          <t>No</t>
        </is>
      </c>
      <c r="O262" s="15">
        <f>IF(COUNTIF(Objectius!$A$2:$A$183,D262)&gt;0,"Sí","No")</f>
        <v/>
      </c>
    </row>
    <row r="263">
      <c r="A263" s="11" t="inlineStr">
        <is>
          <t>26_US_89</t>
        </is>
      </c>
      <c r="B263" s="11" t="inlineStr"/>
      <c r="C263" s="11" t="inlineStr">
        <is>
          <t>Redacció del Pla de Prevenció i protecció d'incendis del Parc (POCTEFA Desbosiguem)</t>
        </is>
      </c>
      <c r="D263" s="11" t="inlineStr">
        <is>
          <t>12.1.2</t>
        </is>
      </c>
      <c r="E263" s="11" t="inlineStr"/>
      <c r="F263" s="11" t="inlineStr">
        <is>
          <t>5. Ús públic i social</t>
        </is>
      </c>
      <c r="G263" s="11" t="inlineStr">
        <is>
          <t>Altres</t>
        </is>
      </c>
      <c r="H263" s="11" t="inlineStr"/>
      <c r="I263" s="11" t="inlineStr">
        <is>
          <t>1.1 Planificació de la gestió i designació del lloc</t>
        </is>
      </c>
      <c r="J263" s="12" t="n">
        <v>0</v>
      </c>
      <c r="K263" s="13" t="n">
        <v>0.25</v>
      </c>
      <c r="L263" s="11" t="inlineStr">
        <is>
          <t>Amb mitjans propis i Fundació Pau Costa en el marc del POCTEFA Desbosiguem</t>
        </is>
      </c>
      <c r="M263" s="11" t="inlineStr">
        <is>
          <t>Marc Garriga Lujan</t>
        </is>
      </c>
      <c r="N263" s="11" t="inlineStr">
        <is>
          <t>No</t>
        </is>
      </c>
      <c r="O263" s="15">
        <f>IF(COUNTIF(Objectius!$A$2:$A$183,D263)&gt;0,"Sí","No")</f>
        <v/>
      </c>
    </row>
    <row r="264">
      <c r="A264" s="11" t="inlineStr">
        <is>
          <t>26_US_90</t>
        </is>
      </c>
      <c r="B264" s="11" t="inlineStr"/>
      <c r="C264" s="11" t="inlineStr">
        <is>
          <t>Realització d'actuacions de prevenció d'incendis forestals. Creació franges perimetrals de Ronií i Vilamur</t>
        </is>
      </c>
      <c r="D264" s="11" t="inlineStr">
        <is>
          <t>12.1.2</t>
        </is>
      </c>
      <c r="E264" s="11" t="inlineStr"/>
      <c r="F264" s="11" t="inlineStr">
        <is>
          <t>5. Ús públic i social</t>
        </is>
      </c>
      <c r="G264" s="11" t="inlineStr">
        <is>
          <t>Contracte menor des de la DG</t>
        </is>
      </c>
      <c r="H264" s="11" t="inlineStr"/>
      <c r="I264" s="11" t="inlineStr">
        <is>
          <t>2.5 Mesures de manteniment i restauració d'altres agroecosistemes (inclosos els conreus)</t>
        </is>
      </c>
      <c r="J264" s="12" t="n">
        <v>39359.02</v>
      </c>
      <c r="K264" s="13" t="n">
        <v>0.5</v>
      </c>
      <c r="L264" s="11" t="inlineStr"/>
      <c r="M264" s="11" t="inlineStr">
        <is>
          <t>Nil Bacardit Tudela</t>
        </is>
      </c>
      <c r="N264" s="11" t="inlineStr">
        <is>
          <t>No</t>
        </is>
      </c>
      <c r="O264" s="15">
        <f>IF(COUNTIF(Objectius!$A$2:$A$183,D264)&gt;0,"Sí","No")</f>
        <v/>
      </c>
    </row>
    <row r="265">
      <c r="A265" s="11" t="inlineStr">
        <is>
          <t>26_US_91</t>
        </is>
      </c>
      <c r="B265" s="11" t="inlineStr"/>
      <c r="C265" s="11" t="inlineStr">
        <is>
          <t>Col·laboració amb el ICGC en l’avaluació dels riscos dintre de l’ENP</t>
        </is>
      </c>
      <c r="D265" s="11" t="inlineStr">
        <is>
          <t>12.1.12</t>
        </is>
      </c>
      <c r="E265" s="11" t="inlineStr"/>
      <c r="F265" s="11" t="inlineStr">
        <is>
          <t>5. Ús públic i social</t>
        </is>
      </c>
      <c r="G265" s="11" t="inlineStr">
        <is>
          <t>Altres</t>
        </is>
      </c>
      <c r="H265" s="11" t="inlineStr"/>
      <c r="I265" s="11" t="inlineStr">
        <is>
          <t>1.1 Planificació de la gestió i designació del lloc</t>
        </is>
      </c>
      <c r="J265" s="12" t="n">
        <v>0</v>
      </c>
      <c r="K265" s="13" t="n">
        <v>0.25</v>
      </c>
      <c r="L265" s="11" t="inlineStr">
        <is>
          <t>Amb mitjans propis</t>
        </is>
      </c>
      <c r="M265" s="11" t="inlineStr">
        <is>
          <t>Marc Garriga Lujan</t>
        </is>
      </c>
      <c r="N265" s="11" t="inlineStr">
        <is>
          <t>No</t>
        </is>
      </c>
      <c r="O265" s="15">
        <f>IF(COUNTIF(Objectius!$A$2:$A$183,D265)&gt;0,"Sí","No")</f>
        <v/>
      </c>
    </row>
    <row r="266">
      <c r="A266" s="11" t="inlineStr">
        <is>
          <t>26_ED_01</t>
        </is>
      </c>
      <c r="B266" s="11" t="inlineStr"/>
      <c r="C266" s="11" t="inlineStr">
        <is>
          <t>Reunions periòdiques amb centres educatius per definir objectius i necessitats de la xarxa</t>
        </is>
      </c>
      <c r="D266" s="11" t="inlineStr">
        <is>
          <t>13.1.1</t>
        </is>
      </c>
      <c r="E266" s="11" t="inlineStr"/>
      <c r="F266" s="11" t="inlineStr">
        <is>
          <t>6. Educació, voluntariat i comunicació</t>
        </is>
      </c>
      <c r="G266" s="11" t="inlineStr">
        <is>
          <t>Altres</t>
        </is>
      </c>
      <c r="H266" s="11" t="inlineStr"/>
      <c r="I266" s="11" t="inlineStr">
        <is>
          <t>1.5 Mesures de comunicació i sensibilització, educació i accés de visitants relacionades amb Natura 2000</t>
        </is>
      </c>
      <c r="J266" s="12" t="n">
        <v>0</v>
      </c>
      <c r="K266" s="13" t="n">
        <v>0.25</v>
      </c>
      <c r="L266" s="11" t="inlineStr">
        <is>
          <t>Amb mitjans propis</t>
        </is>
      </c>
      <c r="M266" s="11" t="inlineStr">
        <is>
          <t>Moises Villanueva Coello</t>
        </is>
      </c>
      <c r="N266" s="11" t="inlineStr">
        <is>
          <t>Si</t>
        </is>
      </c>
      <c r="O266" s="15">
        <f>IF(COUNTIF(Objectius!$A$2:$A$183,D266)&gt;0,"Sí","No")</f>
        <v/>
      </c>
    </row>
    <row r="267">
      <c r="A267" s="11" t="inlineStr">
        <is>
          <t>26_ED_02</t>
        </is>
      </c>
      <c r="B267" s="11" t="inlineStr"/>
      <c r="C267" s="11" t="inlineStr">
        <is>
          <t>Disseny i desenvolupament de projectes compartits (Agenda escolar, Homo pirinensis,..) . Agenda escolar Pirineus 2026-2027</t>
        </is>
      </c>
      <c r="D267" s="11" t="inlineStr">
        <is>
          <t>13.1.2</t>
        </is>
      </c>
      <c r="E267" s="11" t="inlineStr"/>
      <c r="F267" s="11" t="inlineStr">
        <is>
          <t>6. Educació, voluntariat i comunicació</t>
        </is>
      </c>
      <c r="G267" s="11" t="inlineStr">
        <is>
          <t>Altres</t>
        </is>
      </c>
      <c r="H267" s="11" t="inlineStr"/>
      <c r="I267" s="11" t="inlineStr">
        <is>
          <t>1.5 Mesures de comunicació i sensibilització, educació i accés de visitants relacionades amb Natura 2000</t>
        </is>
      </c>
      <c r="J267" s="12" t="n">
        <v>0</v>
      </c>
      <c r="K267" s="13" t="n">
        <v>0.25</v>
      </c>
      <c r="L267" s="11" t="inlineStr">
        <is>
          <t>Amb mitjans propis i a través contractes RAE de publicacions</t>
        </is>
      </c>
      <c r="M267" s="11" t="inlineStr">
        <is>
          <t>Moises Villanueva Coello</t>
        </is>
      </c>
      <c r="N267" s="11" t="inlineStr">
        <is>
          <t>No</t>
        </is>
      </c>
      <c r="O267" s="15">
        <f>IF(COUNTIF(Objectius!$A$2:$A$183,D267)&gt;0,"Sí","No")</f>
        <v/>
      </c>
    </row>
    <row r="268">
      <c r="A268" s="11" t="inlineStr">
        <is>
          <t>26_ED_03</t>
        </is>
      </c>
      <c r="B268" s="11" t="inlineStr"/>
      <c r="C268" s="11" t="inlineStr">
        <is>
          <t>Coordinació amb els Centres de Recursos Pedagògics (CRP) i centres educatius per detectar les necessitats formatives i estiguin reconegudes</t>
        </is>
      </c>
      <c r="D268" s="11" t="inlineStr">
        <is>
          <t>13.1.2</t>
        </is>
      </c>
      <c r="E268" s="11" t="inlineStr"/>
      <c r="F268" s="11" t="inlineStr">
        <is>
          <t>6. Educació, voluntariat i comunicació</t>
        </is>
      </c>
      <c r="G268" s="11" t="inlineStr">
        <is>
          <t>Altres</t>
        </is>
      </c>
      <c r="H268" s="11" t="inlineStr"/>
      <c r="I268" s="11" t="inlineStr">
        <is>
          <t>1.5 Mesures de comunicació i sensibilització, educació i accés de visitants relacionades amb Natura 2000</t>
        </is>
      </c>
      <c r="J268" s="12" t="n">
        <v>0</v>
      </c>
      <c r="K268" s="13" t="n">
        <v>0.25</v>
      </c>
      <c r="L268" s="11" t="inlineStr">
        <is>
          <t>Amb mitjans propis</t>
        </is>
      </c>
      <c r="M268" s="11" t="inlineStr">
        <is>
          <t>Moises Villanueva Coello</t>
        </is>
      </c>
      <c r="N268" s="11" t="inlineStr">
        <is>
          <t>Si</t>
        </is>
      </c>
      <c r="O268" s="15">
        <f>IF(COUNTIF(Objectius!$A$2:$A$183,D268)&gt;0,"Sí","No")</f>
        <v/>
      </c>
    </row>
    <row r="269">
      <c r="A269" s="11" t="inlineStr">
        <is>
          <t>26_ED_04</t>
        </is>
      </c>
      <c r="B269" s="11" t="inlineStr"/>
      <c r="C269" s="11" t="inlineStr">
        <is>
          <t>Realització de formacions al professorat. Formació us cadira Joelette</t>
        </is>
      </c>
      <c r="D269" s="11" t="inlineStr">
        <is>
          <t>13.1.3</t>
        </is>
      </c>
      <c r="E269" s="11" t="inlineStr"/>
      <c r="F269" s="11" t="inlineStr">
        <is>
          <t>6. Educació, voluntariat i comunicació</t>
        </is>
      </c>
      <c r="G269" s="11" t="inlineStr">
        <is>
          <t>Altres</t>
        </is>
      </c>
      <c r="H269" s="11" t="inlineStr"/>
      <c r="I269" s="11" t="inlineStr">
        <is>
          <t>1.5 Mesures de comunicació i sensibilització, educació i accés de visitants relacionades amb Natura 2000</t>
        </is>
      </c>
      <c r="J269" s="12" t="n">
        <v>0</v>
      </c>
      <c r="K269" s="13" t="n">
        <v>0.25</v>
      </c>
      <c r="L269" s="11" t="inlineStr">
        <is>
          <t>Amb mitjans propis</t>
        </is>
      </c>
      <c r="M269" s="11" t="inlineStr">
        <is>
          <t>Moises Villanueva Coello</t>
        </is>
      </c>
      <c r="N269" s="11" t="inlineStr">
        <is>
          <t>No</t>
        </is>
      </c>
      <c r="O269" s="15">
        <f>IF(COUNTIF(Objectius!$A$2:$A$183,D269)&gt;0,"Sí","No")</f>
        <v/>
      </c>
    </row>
    <row r="270">
      <c r="A270" s="11" t="inlineStr">
        <is>
          <t>26_ED_05</t>
        </is>
      </c>
      <c r="B270" s="11" t="inlineStr"/>
      <c r="C270" s="11" t="inlineStr">
        <is>
          <t>Ampliar l'oferta pedagògica amb noves activitats, com el projecte “De l’estudi al Tros” de visita a les explotacions ramaderes del Parc</t>
        </is>
      </c>
      <c r="D270" s="11" t="inlineStr">
        <is>
          <t>13.2.1</t>
        </is>
      </c>
      <c r="E270" s="11" t="inlineStr"/>
      <c r="F270" s="11" t="inlineStr">
        <is>
          <t>6. Educació, voluntariat i comunicació</t>
        </is>
      </c>
      <c r="G270" s="11" t="inlineStr">
        <is>
          <t>Altres</t>
        </is>
      </c>
      <c r="H270" s="11" t="inlineStr"/>
      <c r="I270" s="11" t="inlineStr">
        <is>
          <t>1.5 Mesures de comunicació i sensibilització, educació i accés de visitants relacionades amb Natura 2000</t>
        </is>
      </c>
      <c r="J270" s="12" t="n">
        <v>0</v>
      </c>
      <c r="K270" s="13" t="n">
        <v>0.25</v>
      </c>
      <c r="L270" s="11" t="inlineStr">
        <is>
          <t>A través del contracte servei informació i educació ambiental</t>
        </is>
      </c>
      <c r="M270" s="11" t="inlineStr">
        <is>
          <t>Moises Villanueva Coello</t>
        </is>
      </c>
      <c r="N270" s="11" t="inlineStr">
        <is>
          <t>No</t>
        </is>
      </c>
      <c r="O270" s="15">
        <f>IF(COUNTIF(Objectius!$A$2:$A$183,D270)&gt;0,"Sí","No")</f>
        <v/>
      </c>
    </row>
    <row r="271">
      <c r="A271" s="11" t="inlineStr">
        <is>
          <t>26_ED_06</t>
        </is>
      </c>
      <c r="B271" s="11" t="inlineStr"/>
      <c r="C271" s="11" t="inlineStr">
        <is>
          <t>Elaboració d'una proposta de possibles temàtiques per oferir als centres educatius de projectes vinculats a l'espai natural (treball de recerca, crèdit de síntesi, servei comunitari, pràctiques, etc.).</t>
        </is>
      </c>
      <c r="D271" s="11" t="inlineStr">
        <is>
          <t>13.2.4</t>
        </is>
      </c>
      <c r="E271" s="11" t="inlineStr"/>
      <c r="F271" s="11" t="inlineStr">
        <is>
          <t>6. Educació, voluntariat i comunicació</t>
        </is>
      </c>
      <c r="G271" s="11" t="inlineStr">
        <is>
          <t>Altres</t>
        </is>
      </c>
      <c r="H271" s="11" t="inlineStr"/>
      <c r="I271" s="11" t="inlineStr">
        <is>
          <t>1.5 Mesures de comunicació i sensibilització, educació i accés de visitants relacionades amb Natura 2000</t>
        </is>
      </c>
      <c r="J271" s="12" t="n">
        <v>0</v>
      </c>
      <c r="K271" s="13" t="n">
        <v>0.25</v>
      </c>
      <c r="L271" s="11" t="inlineStr">
        <is>
          <t>Amb mitjans propis</t>
        </is>
      </c>
      <c r="M271" s="11" t="inlineStr">
        <is>
          <t>Oriol Grau Fernandez</t>
        </is>
      </c>
      <c r="N271" s="11" t="inlineStr">
        <is>
          <t>Si</t>
        </is>
      </c>
      <c r="O271" s="15">
        <f>IF(COUNTIF(Objectius!$A$2:$A$183,D271)&gt;0,"Sí","No")</f>
        <v/>
      </c>
    </row>
    <row r="272">
      <c r="A272" s="11" t="inlineStr">
        <is>
          <t>26_ED_07</t>
        </is>
      </c>
      <c r="B272" s="11" t="inlineStr"/>
      <c r="C272" s="11" t="inlineStr">
        <is>
          <t>Acompanyament de l'alumnat en la relació dels projectes.</t>
        </is>
      </c>
      <c r="D272" s="11" t="inlineStr">
        <is>
          <t>13.2.4</t>
        </is>
      </c>
      <c r="E272" s="11" t="inlineStr"/>
      <c r="F272" s="11" t="inlineStr">
        <is>
          <t>6. Educació, voluntariat i comunicació</t>
        </is>
      </c>
      <c r="G272" s="11" t="inlineStr">
        <is>
          <t>Altres</t>
        </is>
      </c>
      <c r="H272" s="11" t="inlineStr"/>
      <c r="I272" s="11" t="inlineStr">
        <is>
          <t>1.5 Mesures de comunicació i sensibilització, educació i accés de visitants relacionades amb Natura 2000</t>
        </is>
      </c>
      <c r="J272" s="12" t="n">
        <v>0</v>
      </c>
      <c r="K272" s="13" t="n">
        <v>0.25</v>
      </c>
      <c r="L272" s="11" t="inlineStr">
        <is>
          <t>Amb mitjans propis</t>
        </is>
      </c>
      <c r="M272" s="11" t="inlineStr">
        <is>
          <t>Oriol Grau Fernandez</t>
        </is>
      </c>
      <c r="N272" s="11" t="inlineStr">
        <is>
          <t>Si</t>
        </is>
      </c>
      <c r="O272" s="15">
        <f>IF(COUNTIF(Objectius!$A$2:$A$183,D272)&gt;0,"Sí","No")</f>
        <v/>
      </c>
    </row>
    <row r="273">
      <c r="A273" s="11" t="inlineStr">
        <is>
          <t>26_ED_08</t>
        </is>
      </c>
      <c r="B273" s="11" t="inlineStr"/>
      <c r="C273" s="11" t="inlineStr">
        <is>
          <t>Realitzar una trobada anual territorial amb els agents clau de l'educació ambiental</t>
        </is>
      </c>
      <c r="D273" s="11" t="inlineStr">
        <is>
          <t>13.3.1</t>
        </is>
      </c>
      <c r="E273" s="11" t="inlineStr"/>
      <c r="F273" s="11" t="inlineStr">
        <is>
          <t>6. Educació, voluntariat i comunicació</t>
        </is>
      </c>
      <c r="G273" s="11" t="inlineStr">
        <is>
          <t>Altres</t>
        </is>
      </c>
      <c r="H273" s="11" t="inlineStr"/>
      <c r="I273" s="11" t="inlineStr">
        <is>
          <t>1.5 Mesures de comunicació i sensibilització, educació i accés de visitants relacionades amb Natura 2000</t>
        </is>
      </c>
      <c r="J273" s="12" t="n">
        <v>0</v>
      </c>
      <c r="K273" s="13" t="n">
        <v>0.25</v>
      </c>
      <c r="L273" s="11" t="inlineStr">
        <is>
          <t>Amb mitjans propis</t>
        </is>
      </c>
      <c r="M273" s="11" t="inlineStr">
        <is>
          <t>Pol Alcalde Floriach</t>
        </is>
      </c>
      <c r="N273" s="11" t="inlineStr">
        <is>
          <t>No</t>
        </is>
      </c>
      <c r="O273" s="15">
        <f>IF(COUNTIF(Objectius!$A$2:$A$183,D273)&gt;0,"Sí","No")</f>
        <v/>
      </c>
    </row>
    <row r="274">
      <c r="A274" s="11" t="inlineStr">
        <is>
          <t>26_ED_09</t>
        </is>
      </c>
      <c r="B274" s="11" t="n">
        <v>154</v>
      </c>
      <c r="C274" s="11" t="inlineStr">
        <is>
          <t>Establir col·laboracions i projectes conjunts - Activitats del Festival Senderi</t>
        </is>
      </c>
      <c r="D274" s="11" t="inlineStr">
        <is>
          <t>13.3.2</t>
        </is>
      </c>
      <c r="E274" s="11" t="inlineStr"/>
      <c r="F274" s="11" t="inlineStr">
        <is>
          <t>6. Educació, voluntariat i comunicació</t>
        </is>
      </c>
      <c r="G274" s="11" t="inlineStr">
        <is>
          <t>Contracte menor a càrrec del RAE</t>
        </is>
      </c>
      <c r="H274" s="11" t="inlineStr">
        <is>
          <t>227.0089 - Altres treballs realitzats per persones físiques o jurídiques</t>
        </is>
      </c>
      <c r="I274" s="11" t="inlineStr">
        <is>
          <t>1.5 Mesures de comunicació i sensibilització, educació i accés de visitants relacionades amb Natura 2000</t>
        </is>
      </c>
      <c r="J274" s="12" t="n">
        <v>1200</v>
      </c>
      <c r="K274" s="13" t="n">
        <v>0.25</v>
      </c>
      <c r="L274" s="11" t="inlineStr"/>
      <c r="M274" s="11" t="inlineStr">
        <is>
          <t>Moises Villanueva Coello</t>
        </is>
      </c>
      <c r="N274" s="11" t="inlineStr">
        <is>
          <t>No</t>
        </is>
      </c>
      <c r="O274" s="15">
        <f>IF(COUNTIF(Objectius!$A$2:$A$183,D274)&gt;0,"Sí","No")</f>
        <v/>
      </c>
    </row>
    <row r="275">
      <c r="A275" s="11" t="inlineStr">
        <is>
          <t>26_ED_10</t>
        </is>
      </c>
      <c r="B275" s="11" t="n">
        <v>79</v>
      </c>
      <c r="C275" s="11" t="inlineStr">
        <is>
          <t>Curs d'informador de la CETS</t>
        </is>
      </c>
      <c r="D275" s="11" t="inlineStr">
        <is>
          <t>13.3.3</t>
        </is>
      </c>
      <c r="E275" s="11" t="inlineStr"/>
      <c r="F275" s="11" t="inlineStr">
        <is>
          <t>6. Educació, voluntariat i comunicació</t>
        </is>
      </c>
      <c r="G275" s="11" t="inlineStr">
        <is>
          <t>Contracte menor a càrrec del RAE</t>
        </is>
      </c>
      <c r="H275" s="11" t="inlineStr">
        <is>
          <t>227.0014 - Serveis de formació</t>
        </is>
      </c>
      <c r="I275" s="11" t="inlineStr">
        <is>
          <t>1.5 Mesures de comunicació i sensibilització, educació i accés de visitants relacionades amb Natura 2000</t>
        </is>
      </c>
      <c r="J275" s="12" t="n">
        <v>1000</v>
      </c>
      <c r="K275" s="13" t="n">
        <v>0.25</v>
      </c>
      <c r="L275" s="11" t="inlineStr"/>
      <c r="M275" s="11" t="inlineStr">
        <is>
          <t>Moises Villanueva Coello</t>
        </is>
      </c>
      <c r="N275" s="11" t="inlineStr">
        <is>
          <t>No</t>
        </is>
      </c>
      <c r="O275" s="15">
        <f>IF(COUNTIF(Objectius!$A$2:$A$183,D275)&gt;0,"Sí","No")</f>
        <v/>
      </c>
    </row>
    <row r="276">
      <c r="A276" s="11" t="inlineStr">
        <is>
          <t>26_ED_11</t>
        </is>
      </c>
      <c r="B276" s="11" t="inlineStr"/>
      <c r="C276" s="11" t="inlineStr">
        <is>
          <t>Formacions continuades en el marc del contracte del servei d'informació i educació ambiental.</t>
        </is>
      </c>
      <c r="D276" s="11" t="inlineStr">
        <is>
          <t>13.3.3</t>
        </is>
      </c>
      <c r="E276" s="11" t="inlineStr"/>
      <c r="F276" s="11" t="inlineStr">
        <is>
          <t>6. Educació, voluntariat i comunicació</t>
        </is>
      </c>
      <c r="G276" s="11" t="inlineStr">
        <is>
          <t>Altres</t>
        </is>
      </c>
      <c r="H276" s="11" t="inlineStr"/>
      <c r="I276" s="11" t="inlineStr">
        <is>
          <t>1.5 Mesures de comunicació i sensibilització, educació i accés de visitants relacionades amb Natura 2000</t>
        </is>
      </c>
      <c r="J276" s="12" t="n">
        <v>0</v>
      </c>
      <c r="K276" s="13" t="n">
        <v>0.25</v>
      </c>
      <c r="L276" s="11" t="inlineStr">
        <is>
          <t>A través del contracte servei informació i educació ambiental</t>
        </is>
      </c>
      <c r="M276" s="11" t="inlineStr">
        <is>
          <t>Moises Villanueva Coello</t>
        </is>
      </c>
      <c r="N276" s="11" t="inlineStr">
        <is>
          <t>No</t>
        </is>
      </c>
      <c r="O276" s="15">
        <f>IF(COUNTIF(Objectius!$A$2:$A$183,D276)&gt;0,"Sí","No")</f>
        <v/>
      </c>
    </row>
    <row r="277">
      <c r="A277" s="11" t="inlineStr">
        <is>
          <t>26_ED_12</t>
        </is>
      </c>
      <c r="B277" s="11" t="n">
        <v>80</v>
      </c>
      <c r="C277" s="11" t="inlineStr">
        <is>
          <t>Formació dels actors implicats en la gestió dels ENP en base a les necessitats detectades. Curs primers auxilis avançats al medi natural</t>
        </is>
      </c>
      <c r="D277" s="11" t="inlineStr">
        <is>
          <t>13.3.3</t>
        </is>
      </c>
      <c r="E277" s="11" t="inlineStr"/>
      <c r="F277" s="11" t="inlineStr">
        <is>
          <t>6. Educació, voluntariat i comunicació</t>
        </is>
      </c>
      <c r="G277" s="11" t="inlineStr">
        <is>
          <t>Contracte menor a càrrec del RAE</t>
        </is>
      </c>
      <c r="H277" s="11" t="inlineStr">
        <is>
          <t>227.0014 - Serveis de formació</t>
        </is>
      </c>
      <c r="I277" s="11" t="inlineStr">
        <is>
          <t>1.5 Mesures de comunicació i sensibilització, educació i accés de visitants relacionades amb Natura 2000</t>
        </is>
      </c>
      <c r="J277" s="12" t="n">
        <v>1500</v>
      </c>
      <c r="K277" s="13" t="n">
        <v>0.25</v>
      </c>
      <c r="L277" s="11" t="inlineStr"/>
      <c r="M277" s="11" t="inlineStr">
        <is>
          <t>Moises Villanueva Coello</t>
        </is>
      </c>
      <c r="N277" s="11" t="inlineStr">
        <is>
          <t>No</t>
        </is>
      </c>
      <c r="O277" s="15">
        <f>IF(COUNTIF(Objectius!$A$2:$A$183,D277)&gt;0,"Sí","No")</f>
        <v/>
      </c>
    </row>
    <row r="278">
      <c r="A278" s="11" t="inlineStr">
        <is>
          <t>26_ED_13</t>
        </is>
      </c>
      <c r="B278" s="11" t="inlineStr"/>
      <c r="C278" s="11" t="inlineStr">
        <is>
          <t>Participació en la concreció dels missatges i peces creatives de la campanya de la DG.</t>
        </is>
      </c>
      <c r="D278" s="11" t="inlineStr">
        <is>
          <t>13.4.1</t>
        </is>
      </c>
      <c r="E278" s="11" t="inlineStr"/>
      <c r="F278" s="11" t="inlineStr">
        <is>
          <t>6. Educació, voluntariat i comunicació</t>
        </is>
      </c>
      <c r="G278" s="11" t="inlineStr">
        <is>
          <t>Altres</t>
        </is>
      </c>
      <c r="H278" s="11" t="inlineStr"/>
      <c r="I278" s="11" t="inlineStr">
        <is>
          <t>1.5 Mesures de comunicació i sensibilització, educació i accés de visitants relacionades amb Natura 2000</t>
        </is>
      </c>
      <c r="J278" s="12" t="n">
        <v>0</v>
      </c>
      <c r="K278" s="13" t="n">
        <v>0.25</v>
      </c>
      <c r="L278" s="11" t="inlineStr">
        <is>
          <t>Amb mitjans propis</t>
        </is>
      </c>
      <c r="M278" s="11" t="inlineStr">
        <is>
          <t>Moises Villanueva Coello</t>
        </is>
      </c>
      <c r="N278" s="11" t="inlineStr">
        <is>
          <t>Si</t>
        </is>
      </c>
      <c r="O278" s="15">
        <f>IF(COUNTIF(Objectius!$A$2:$A$183,D278)&gt;0,"Sí","No")</f>
        <v/>
      </c>
    </row>
    <row r="279">
      <c r="A279" s="11" t="inlineStr">
        <is>
          <t>26_ED_14</t>
        </is>
      </c>
      <c r="B279" s="11" t="n">
        <v>38</v>
      </c>
      <c r="C279" s="11" t="inlineStr">
        <is>
          <t>Disseny d'una oferta d’activitats d’educació ambiental de lleure educatiu adreçada a famílies i altres perfils - serveis de transport bus</t>
        </is>
      </c>
      <c r="D279" s="11" t="inlineStr">
        <is>
          <t>13.4.2</t>
        </is>
      </c>
      <c r="E279" s="11" t="inlineStr"/>
      <c r="F279" s="11" t="inlineStr">
        <is>
          <t>6. Educació, voluntariat i comunicació</t>
        </is>
      </c>
      <c r="G279" s="11" t="inlineStr">
        <is>
          <t>Contracte menor a càrrec del RAE</t>
        </is>
      </c>
      <c r="H279" s="11" t="inlineStr">
        <is>
          <t>223.0001 - Transports</t>
        </is>
      </c>
      <c r="I279" s="11" t="inlineStr">
        <is>
          <t>1.5 Mesures de comunicació i sensibilització, educació i accés de visitants relacionades amb Natura 2000</t>
        </is>
      </c>
      <c r="J279" s="12" t="n">
        <v>10000</v>
      </c>
      <c r="K279" s="13" t="n">
        <v>0.25</v>
      </c>
      <c r="L279" s="11" t="inlineStr"/>
      <c r="M279" s="11" t="inlineStr">
        <is>
          <t>Moises Villanueva Coello</t>
        </is>
      </c>
      <c r="N279" s="11" t="inlineStr">
        <is>
          <t>Si</t>
        </is>
      </c>
      <c r="O279" s="15">
        <f>IF(COUNTIF(Objectius!$A$2:$A$183,D279)&gt;0,"Sí","No")</f>
        <v/>
      </c>
    </row>
    <row r="280">
      <c r="A280" s="11" t="inlineStr">
        <is>
          <t>26_ED_15</t>
        </is>
      </c>
      <c r="B280" s="11" t="n">
        <v>92</v>
      </c>
      <c r="C280" s="11" t="inlineStr">
        <is>
          <t>Realitzar activitats familiars del projecte "Explora el Parc"</t>
        </is>
      </c>
      <c r="D280" s="11" t="inlineStr">
        <is>
          <t>13.4.2</t>
        </is>
      </c>
      <c r="E280" s="11" t="inlineStr"/>
      <c r="F280" s="11" t="inlineStr">
        <is>
          <t>6. Educació, voluntariat i comunicació</t>
        </is>
      </c>
      <c r="G280" s="11" t="inlineStr">
        <is>
          <t>Contracte menor a càrrec del RAE</t>
        </is>
      </c>
      <c r="H280" s="11" t="inlineStr">
        <is>
          <t>227.0089 - Altres treballs realitzats per persones físiques o jurídiques</t>
        </is>
      </c>
      <c r="I280" s="11" t="inlineStr">
        <is>
          <t>1.5 Mesures de comunicació i sensibilització, educació i accés de visitants relacionades amb Natura 2000</t>
        </is>
      </c>
      <c r="J280" s="12" t="n">
        <v>6050</v>
      </c>
      <c r="K280" s="13" t="n">
        <v>0.25</v>
      </c>
      <c r="L280" s="11" t="inlineStr"/>
      <c r="M280" s="11" t="inlineStr">
        <is>
          <t>Pol Alcalde Floriach</t>
        </is>
      </c>
      <c r="N280" s="11" t="inlineStr">
        <is>
          <t>No</t>
        </is>
      </c>
      <c r="O280" s="15">
        <f>IF(COUNTIF(Objectius!$A$2:$A$183,D280)&gt;0,"Sí","No")</f>
        <v/>
      </c>
    </row>
    <row r="281">
      <c r="A281" s="11" t="inlineStr">
        <is>
          <t>26_ED_16</t>
        </is>
      </c>
      <c r="B281" s="11" t="n">
        <v>37</v>
      </c>
      <c r="C281" s="11" t="inlineStr">
        <is>
          <t>Realitzar activitats familiars del projecte "Explora el Parc". Subministrament de segells i material de marxandatge i promocional</t>
        </is>
      </c>
      <c r="D281" s="11" t="inlineStr">
        <is>
          <t>13.4.2</t>
        </is>
      </c>
      <c r="E281" s="11" t="inlineStr"/>
      <c r="F281" s="11" t="inlineStr">
        <is>
          <t>6. Educació, voluntariat i comunicació</t>
        </is>
      </c>
      <c r="G281" s="11" t="inlineStr">
        <is>
          <t>Contracte menor a càrrec del RAE</t>
        </is>
      </c>
      <c r="H281" s="11" t="inlineStr">
        <is>
          <t>221.0089 - Altres subministraments</t>
        </is>
      </c>
      <c r="I281" s="11" t="inlineStr">
        <is>
          <t>1.5 Mesures de comunicació i sensibilització, educació i accés de visitants relacionades amb Natura 2000</t>
        </is>
      </c>
      <c r="J281" s="12" t="n">
        <v>6050</v>
      </c>
      <c r="K281" s="13" t="n">
        <v>0.25</v>
      </c>
      <c r="L281" s="11" t="inlineStr"/>
      <c r="M281" s="11" t="inlineStr">
        <is>
          <t>Pol Alcalde Floriach</t>
        </is>
      </c>
      <c r="N281" s="11" t="inlineStr">
        <is>
          <t>No</t>
        </is>
      </c>
      <c r="O281" s="15">
        <f>IF(COUNTIF(Objectius!$A$2:$A$183,D281)&gt;0,"Sí","No")</f>
        <v/>
      </c>
    </row>
    <row r="282">
      <c r="A282" s="11" t="inlineStr">
        <is>
          <t>26_ED_17</t>
        </is>
      </c>
      <c r="B282" s="11" t="n">
        <v>93</v>
      </c>
      <c r="C282" s="11" t="inlineStr">
        <is>
          <t>Realitzar activitats accessibles del projecte "Tothom és Parc"</t>
        </is>
      </c>
      <c r="D282" s="11" t="inlineStr">
        <is>
          <t>13.4.2</t>
        </is>
      </c>
      <c r="E282" s="11" t="inlineStr"/>
      <c r="F282" s="11" t="inlineStr">
        <is>
          <t>6. Educació, voluntariat i comunicació</t>
        </is>
      </c>
      <c r="G282" s="11" t="inlineStr">
        <is>
          <t>Contracte menor a càrrec del RAE</t>
        </is>
      </c>
      <c r="H282" s="11" t="inlineStr">
        <is>
          <t>227.0089 - Altres treballs realitzats per persones físiques o jurídiques</t>
        </is>
      </c>
      <c r="I282" s="11" t="inlineStr">
        <is>
          <t>1.5 Mesures de comunicació i sensibilització, educació i accés de visitants relacionades amb Natura 2000</t>
        </is>
      </c>
      <c r="J282" s="12" t="n">
        <v>9725.57</v>
      </c>
      <c r="K282" s="13" t="n">
        <v>0.25</v>
      </c>
      <c r="L282" s="11" t="inlineStr"/>
      <c r="M282" s="11" t="inlineStr">
        <is>
          <t>Moises Villanueva Coello</t>
        </is>
      </c>
      <c r="N282" s="11" t="inlineStr">
        <is>
          <t>Si</t>
        </is>
      </c>
      <c r="O282" s="15">
        <f>IF(COUNTIF(Objectius!$A$2:$A$183,D282)&gt;0,"Sí","No")</f>
        <v/>
      </c>
    </row>
    <row r="283">
      <c r="A283" s="11" t="inlineStr">
        <is>
          <t>26_ED_18</t>
        </is>
      </c>
      <c r="B283" s="11" t="n">
        <v>143</v>
      </c>
      <c r="C283" s="11" t="inlineStr">
        <is>
          <t>Realització de Jornades Micològiques per divulgar la diversitat fúngica del Parc i les bones pautes de comportament per boletaires</t>
        </is>
      </c>
      <c r="D283" s="11" t="inlineStr">
        <is>
          <t>13.4.2</t>
        </is>
      </c>
      <c r="E283" s="11" t="inlineStr"/>
      <c r="F283" s="11" t="inlineStr">
        <is>
          <t>6. Educació, voluntariat i comunicació</t>
        </is>
      </c>
      <c r="G283" s="11" t="inlineStr">
        <is>
          <t>Contracte menor a càrrec del RAE</t>
        </is>
      </c>
      <c r="H283" s="11" t="inlineStr">
        <is>
          <t>227.0089 - Altres treballs realitzats per persones físiques o jurídiques</t>
        </is>
      </c>
      <c r="I283" s="11" t="inlineStr">
        <is>
          <t>1.5 Mesures de comunicació i sensibilització, educació i accés de visitants relacionades amb Natura 2000</t>
        </is>
      </c>
      <c r="J283" s="12" t="n">
        <v>2100</v>
      </c>
      <c r="K283" s="13" t="n">
        <v>0.25</v>
      </c>
      <c r="L283" s="11" t="inlineStr"/>
      <c r="M283" s="11" t="inlineStr">
        <is>
          <t>Marc Garriga Lujan</t>
        </is>
      </c>
      <c r="N283" s="11" t="inlineStr">
        <is>
          <t>Si</t>
        </is>
      </c>
      <c r="O283" s="15">
        <f>IF(COUNTIF(Objectius!$A$2:$A$183,D283)&gt;0,"Sí","No")</f>
        <v/>
      </c>
    </row>
    <row r="284">
      <c r="A284" s="11" t="inlineStr">
        <is>
          <t>26_ED_19</t>
        </is>
      </c>
      <c r="B284" s="11" t="inlineStr"/>
      <c r="C284" s="11" t="inlineStr">
        <is>
          <t>Realitzar càpsules informatives/divuLgatives dels valors i la normativa del Parc en actes i/o proves esportives</t>
        </is>
      </c>
      <c r="D284" s="11" t="inlineStr">
        <is>
          <t>13.5.2</t>
        </is>
      </c>
      <c r="E284" s="11" t="inlineStr"/>
      <c r="F284" s="11" t="inlineStr">
        <is>
          <t>6. Educació, voluntariat i comunicació</t>
        </is>
      </c>
      <c r="G284" s="11" t="inlineStr">
        <is>
          <t>Altres</t>
        </is>
      </c>
      <c r="H284" s="11" t="inlineStr"/>
      <c r="I284" s="11" t="inlineStr">
        <is>
          <t>1.5 Mesures de comunicació i sensibilització, educació i accés de visitants relacionades amb Natura 2000</t>
        </is>
      </c>
      <c r="J284" s="12" t="n">
        <v>0</v>
      </c>
      <c r="K284" s="13" t="n">
        <v>0.25</v>
      </c>
      <c r="L284" s="11" t="inlineStr">
        <is>
          <t>Amb mitjans propis divulgant les ja creades en anys anteriors</t>
        </is>
      </c>
      <c r="M284" s="11" t="inlineStr">
        <is>
          <t>Marc Garriga Lujan</t>
        </is>
      </c>
      <c r="N284" s="11" t="inlineStr">
        <is>
          <t>No</t>
        </is>
      </c>
      <c r="O284" s="15">
        <f>IF(COUNTIF(Objectius!$A$2:$A$183,D284)&gt;0,"Sí","No")</f>
        <v/>
      </c>
    </row>
    <row r="285">
      <c r="A285" s="11" t="inlineStr">
        <is>
          <t>26_ED_20</t>
        </is>
      </c>
      <c r="B285" s="11" t="inlineStr"/>
      <c r="C285" s="11" t="inlineStr">
        <is>
          <t>Fomentar l'acreditació de curses de muntanya amb certificació ambiental (catalana o espanyola)</t>
        </is>
      </c>
      <c r="D285" s="11" t="inlineStr">
        <is>
          <t>13.5.2</t>
        </is>
      </c>
      <c r="E285" s="11" t="inlineStr">
        <is>
          <t>11.1.4</t>
        </is>
      </c>
      <c r="F285" s="11" t="inlineStr">
        <is>
          <t>6. Educació, voluntariat i comunicació</t>
        </is>
      </c>
      <c r="G285" s="11" t="inlineStr">
        <is>
          <t>Altres</t>
        </is>
      </c>
      <c r="H285" s="11" t="inlineStr"/>
      <c r="I285" s="11" t="inlineStr">
        <is>
          <t>1.5 Mesures de comunicació i sensibilització, educació i accés de visitants relacionades amb Natura 2000</t>
        </is>
      </c>
      <c r="J285" s="12" t="n">
        <v>0</v>
      </c>
      <c r="K285" s="13" t="n">
        <v>0.25</v>
      </c>
      <c r="L285" s="11" t="inlineStr">
        <is>
          <t>Amb mitjans propis i altres contractes RAE</t>
        </is>
      </c>
      <c r="M285" s="11" t="inlineStr">
        <is>
          <t>Marc Garriga Lujan</t>
        </is>
      </c>
      <c r="N285" s="11" t="inlineStr">
        <is>
          <t>No</t>
        </is>
      </c>
      <c r="O285" s="15">
        <f>IF(COUNTIF(Objectius!$A$2:$A$183,D285)&gt;0,"Sí","No")</f>
        <v/>
      </c>
    </row>
    <row r="286">
      <c r="A286" s="11" t="inlineStr">
        <is>
          <t>26_ED_21</t>
        </is>
      </c>
      <c r="B286" s="11" t="inlineStr"/>
      <c r="C286" s="11" t="inlineStr">
        <is>
          <t>Realització de formacions de conservació dirigides al sector primari. Escola de pastors</t>
        </is>
      </c>
      <c r="D286" s="11" t="inlineStr">
        <is>
          <t>13.5.4</t>
        </is>
      </c>
      <c r="E286" s="11" t="inlineStr">
        <is>
          <t>08.1.2</t>
        </is>
      </c>
      <c r="F286" s="11" t="inlineStr">
        <is>
          <t>6. Educació, voluntariat i comunicació</t>
        </is>
      </c>
      <c r="G286" s="11" t="inlineStr">
        <is>
          <t>Altres</t>
        </is>
      </c>
      <c r="H286" s="11" t="inlineStr"/>
      <c r="I286" s="11" t="inlineStr">
        <is>
          <t>1.5 Mesures de comunicació i sensibilització, educació i accés de visitants relacionades amb Natura 2000</t>
        </is>
      </c>
      <c r="J286" s="12" t="n">
        <v>0</v>
      </c>
      <c r="K286" s="13" t="n">
        <v>0.25</v>
      </c>
      <c r="L286" s="11" t="inlineStr">
        <is>
          <t>Amb mitjans propis i altres contractes RAE</t>
        </is>
      </c>
      <c r="M286" s="11" t="inlineStr">
        <is>
          <t>Neus Artigas Piñero</t>
        </is>
      </c>
      <c r="N286" s="11" t="inlineStr">
        <is>
          <t>No</t>
        </is>
      </c>
      <c r="O286" s="15">
        <f>IF(COUNTIF(Objectius!$A$2:$A$183,D286)&gt;0,"Sí","No")</f>
        <v/>
      </c>
    </row>
    <row r="287">
      <c r="A287" s="11" t="inlineStr">
        <is>
          <t>26_ED_22</t>
        </is>
      </c>
      <c r="B287" s="11" t="inlineStr"/>
      <c r="C287" s="11" t="inlineStr">
        <is>
          <t>Promocionar els reptes de l'Agenda dels Pirineus</t>
        </is>
      </c>
      <c r="D287" s="11" t="inlineStr">
        <is>
          <t>13.5.5</t>
        </is>
      </c>
      <c r="E287" s="11" t="inlineStr"/>
      <c r="F287" s="11" t="inlineStr">
        <is>
          <t>6. Educació, voluntariat i comunicació</t>
        </is>
      </c>
      <c r="G287" s="11" t="inlineStr">
        <is>
          <t>Altres</t>
        </is>
      </c>
      <c r="H287" s="11" t="inlineStr"/>
      <c r="I287" s="11" t="inlineStr">
        <is>
          <t>1.5 Mesures de comunicació i sensibilització, educació i accés de visitants relacionades amb Natura 2000</t>
        </is>
      </c>
      <c r="J287" s="12" t="n">
        <v>0</v>
      </c>
      <c r="K287" s="13" t="n">
        <v>0.25</v>
      </c>
      <c r="L287" s="11" t="inlineStr">
        <is>
          <t>Amb mitjans propis</t>
        </is>
      </c>
      <c r="M287" s="11" t="inlineStr">
        <is>
          <t>Moises Villanueva Coello</t>
        </is>
      </c>
      <c r="N287" s="11" t="inlineStr">
        <is>
          <t>No</t>
        </is>
      </c>
      <c r="O287" s="15">
        <f>IF(COUNTIF(Objectius!$A$2:$A$183,D287)&gt;0,"Sí","No")</f>
        <v/>
      </c>
    </row>
    <row r="288">
      <c r="A288" s="11" t="inlineStr">
        <is>
          <t>26_ED_23</t>
        </is>
      </c>
      <c r="B288" s="11" t="inlineStr"/>
      <c r="C288" s="11" t="inlineStr">
        <is>
          <t>Realització i suport a activitats de la Taula de Voluntariat i altres que contribueixin a fomentar el sentiment de pertinença i la implicació en la conservació de l'ENP</t>
        </is>
      </c>
      <c r="D288" s="11" t="inlineStr">
        <is>
          <t>13.5.5</t>
        </is>
      </c>
      <c r="E288" s="11" t="inlineStr"/>
      <c r="F288" s="11" t="inlineStr">
        <is>
          <t>6. Educació, voluntariat i comunicació</t>
        </is>
      </c>
      <c r="G288" s="11" t="inlineStr">
        <is>
          <t>Altres</t>
        </is>
      </c>
      <c r="H288" s="11" t="inlineStr"/>
      <c r="I288" s="11" t="inlineStr">
        <is>
          <t>1.5 Mesures de comunicació i sensibilització, educació i accés de visitants relacionades amb Natura 2000</t>
        </is>
      </c>
      <c r="J288" s="12" t="n">
        <v>0</v>
      </c>
      <c r="K288" s="13" t="n">
        <v>0.25</v>
      </c>
      <c r="L288" s="11" t="inlineStr">
        <is>
          <t>Amb mitjans propis i a través contracte servei informació i voluntariat</t>
        </is>
      </c>
      <c r="M288" s="11" t="inlineStr">
        <is>
          <t>Moises Villanueva Coello</t>
        </is>
      </c>
      <c r="N288" s="11" t="inlineStr">
        <is>
          <t>Si</t>
        </is>
      </c>
      <c r="O288" s="15">
        <f>IF(COUNTIF(Objectius!$A$2:$A$183,D288)&gt;0,"Sí","No")</f>
        <v/>
      </c>
    </row>
    <row r="289">
      <c r="A289" s="11" t="inlineStr">
        <is>
          <t>26_ED_24</t>
        </is>
      </c>
      <c r="B289" s="11" t="n">
        <v>95</v>
      </c>
      <c r="C289" s="11" t="inlineStr">
        <is>
          <t>Donar suport a la nova Associació de persones amigues del Parc Natural de l'Alt Pirineu per a la realització d'activitats i accions</t>
        </is>
      </c>
      <c r="D289" s="11" t="inlineStr">
        <is>
          <t>13.5.5</t>
        </is>
      </c>
      <c r="E289" s="11" t="inlineStr"/>
      <c r="F289" s="11" t="inlineStr">
        <is>
          <t>6. Educació, voluntariat i comunicació</t>
        </is>
      </c>
      <c r="G289" s="11" t="inlineStr">
        <is>
          <t>Contracte menor a càrrec del RAE</t>
        </is>
      </c>
      <c r="H289" s="11" t="inlineStr">
        <is>
          <t>227.0089 - Altres treballs realitzats per persones físiques o jurídiques</t>
        </is>
      </c>
      <c r="I289" s="11" t="inlineStr">
        <is>
          <t>1.5 Mesures de comunicació i sensibilització, educació i accés de visitants relacionades amb Natura 2000</t>
        </is>
      </c>
      <c r="J289" s="12" t="n">
        <v>2000</v>
      </c>
      <c r="K289" s="13" t="n">
        <v>0.25</v>
      </c>
      <c r="L289" s="11" t="inlineStr"/>
      <c r="M289" s="11" t="inlineStr">
        <is>
          <t>Marc Garriga Lujan</t>
        </is>
      </c>
      <c r="N289" s="11" t="inlineStr">
        <is>
          <t>No</t>
        </is>
      </c>
      <c r="O289" s="15">
        <f>IF(COUNTIF(Objectius!$A$2:$A$183,D289)&gt;0,"Sí","No")</f>
        <v/>
      </c>
    </row>
    <row r="290">
      <c r="A290" s="11" t="inlineStr">
        <is>
          <t>26_ED_25</t>
        </is>
      </c>
      <c r="B290" s="11" t="n">
        <v>151</v>
      </c>
      <c r="C290" s="11" t="inlineStr">
        <is>
          <t>Realització i suport a activitats i altres que contribueixin a fomentar el sentiment de pertinença de la població local (programa Vivim al Parc) i la implicació en la conservació de l'ENP</t>
        </is>
      </c>
      <c r="D290" s="11" t="inlineStr">
        <is>
          <t>13.5.5</t>
        </is>
      </c>
      <c r="E290" s="11" t="inlineStr"/>
      <c r="F290" s="11" t="inlineStr">
        <is>
          <t>6. Educació, voluntariat i comunicació</t>
        </is>
      </c>
      <c r="G290" s="11" t="inlineStr">
        <is>
          <t>Contracte menor a càrrec del RAE</t>
        </is>
      </c>
      <c r="H290" s="11" t="inlineStr">
        <is>
          <t>227.0089 - Altres treballs realitzats per persones físiques o jurídiques</t>
        </is>
      </c>
      <c r="I290" s="11" t="inlineStr">
        <is>
          <t>1.5 Mesures de comunicació i sensibilització, educació i accés de visitants relacionades amb Natura 2000</t>
        </is>
      </c>
      <c r="J290" s="12" t="n">
        <v>2500</v>
      </c>
      <c r="K290" s="13" t="n">
        <v>0.25</v>
      </c>
      <c r="L290" s="11" t="inlineStr"/>
      <c r="M290" s="11" t="inlineStr">
        <is>
          <t>Moises Villanueva Coello</t>
        </is>
      </c>
      <c r="N290" s="11" t="inlineStr">
        <is>
          <t>No</t>
        </is>
      </c>
      <c r="O290" s="15">
        <f>IF(COUNTIF(Objectius!$A$2:$A$183,D290)&gt;0,"Sí","No")</f>
        <v/>
      </c>
    </row>
    <row r="291">
      <c r="A291" s="11" t="inlineStr">
        <is>
          <t>26_ED_26</t>
        </is>
      </c>
      <c r="B291" s="11" t="n">
        <v>94</v>
      </c>
      <c r="C291" s="11" t="inlineStr">
        <is>
          <t>Realització i suport a activitats i altres que contribueixin a fomentar el sentiment de pertinença de la població local (programa Vivim al Parc) i la implicació en la conservació de l'ENP - activitats i tallers d'educació ambiental</t>
        </is>
      </c>
      <c r="D291" s="11" t="inlineStr">
        <is>
          <t>13.5.5</t>
        </is>
      </c>
      <c r="E291" s="11" t="inlineStr"/>
      <c r="F291" s="11" t="inlineStr">
        <is>
          <t>6. Educació, voluntariat i comunicació</t>
        </is>
      </c>
      <c r="G291" s="11" t="inlineStr">
        <is>
          <t>Contracte menor a càrrec del RAE</t>
        </is>
      </c>
      <c r="H291" s="11" t="inlineStr">
        <is>
          <t>227.0089 - Altres treballs realitzats per persones físiques o jurídiques</t>
        </is>
      </c>
      <c r="I291" s="11" t="inlineStr">
        <is>
          <t>1.5 Mesures de comunicació i sensibilització, educació i accés de visitants relacionades amb Natura 2000</t>
        </is>
      </c>
      <c r="J291" s="12" t="n">
        <v>4000</v>
      </c>
      <c r="K291" s="13" t="n">
        <v>0.25</v>
      </c>
      <c r="L291" s="11" t="inlineStr"/>
      <c r="M291" s="11" t="inlineStr">
        <is>
          <t>Moises Villanueva Coello</t>
        </is>
      </c>
      <c r="N291" s="11" t="inlineStr">
        <is>
          <t>No</t>
        </is>
      </c>
      <c r="O291" s="15">
        <f>IF(COUNTIF(Objectius!$A$2:$A$183,D291)&gt;0,"Sí","No")</f>
        <v/>
      </c>
    </row>
    <row r="292">
      <c r="A292" s="11" t="inlineStr">
        <is>
          <t>26_ED_27</t>
        </is>
      </c>
      <c r="B292" s="11" t="n">
        <v>91</v>
      </c>
      <c r="C292" s="11" t="inlineStr">
        <is>
          <t>Realització i suport a activitats i altres que contribueixin a fomentar el sentiment de pertinença de la població local (programa Vivim al Parc) i la implicació en la conservació de l'ENP - Manteniment i activitats al PAS d'Embonui</t>
        </is>
      </c>
      <c r="D292" s="11" t="inlineStr">
        <is>
          <t>13.5.5</t>
        </is>
      </c>
      <c r="E292" s="11" t="inlineStr"/>
      <c r="F292" s="11" t="inlineStr">
        <is>
          <t>6. Educació, voluntariat i comunicació</t>
        </is>
      </c>
      <c r="G292" s="11" t="inlineStr">
        <is>
          <t>Contracte menor a càrrec del RAE</t>
        </is>
      </c>
      <c r="H292" s="11" t="inlineStr">
        <is>
          <t>227.0089 - Altres treballs realitzats per persones físiques o jurídiques</t>
        </is>
      </c>
      <c r="I292" s="11" t="inlineStr">
        <is>
          <t>1.5 Mesures de comunicació i sensibilització, educació i accés de visitants relacionades amb Natura 2000</t>
        </is>
      </c>
      <c r="J292" s="12" t="n">
        <v>8486.83</v>
      </c>
      <c r="K292" s="13" t="n">
        <v>0.25</v>
      </c>
      <c r="L292" s="11" t="inlineStr"/>
      <c r="M292" s="11" t="inlineStr">
        <is>
          <t>Moises Villanueva Coello</t>
        </is>
      </c>
      <c r="N292" s="11" t="inlineStr">
        <is>
          <t>Si</t>
        </is>
      </c>
      <c r="O292" s="15">
        <f>IF(COUNTIF(Objectius!$A$2:$A$183,D292)&gt;0,"Sí","No")</f>
        <v/>
      </c>
    </row>
    <row r="293">
      <c r="A293" s="11" t="inlineStr">
        <is>
          <t>26_ED_28</t>
        </is>
      </c>
      <c r="B293" s="11" t="inlineStr"/>
      <c r="C293" s="11" t="inlineStr">
        <is>
          <t>Realitzar reunions periòdiques de les entitats de voluntariat amb equip de gestió per fer les propostes de possibles accions</t>
        </is>
      </c>
      <c r="D293" s="11" t="inlineStr">
        <is>
          <t>13.6.1</t>
        </is>
      </c>
      <c r="E293" s="11" t="inlineStr"/>
      <c r="F293" s="11" t="inlineStr">
        <is>
          <t>6. Educació, voluntariat i comunicació</t>
        </is>
      </c>
      <c r="G293" s="11" t="inlineStr">
        <is>
          <t>Altres</t>
        </is>
      </c>
      <c r="H293" s="11" t="inlineStr"/>
      <c r="I293" s="11" t="inlineStr">
        <is>
          <t>1.5 Mesures de comunicació i sensibilització, educació i accés de visitants relacionades amb Natura 2000</t>
        </is>
      </c>
      <c r="J293" s="12" t="n">
        <v>0</v>
      </c>
      <c r="K293" s="13" t="n">
        <v>0.25</v>
      </c>
      <c r="L293" s="11" t="inlineStr">
        <is>
          <t>Amb mitjans propis</t>
        </is>
      </c>
      <c r="M293" s="11" t="inlineStr">
        <is>
          <t>Moises Villanueva Coello</t>
        </is>
      </c>
      <c r="N293" s="11" t="inlineStr">
        <is>
          <t>Si</t>
        </is>
      </c>
      <c r="O293" s="15">
        <f>IF(COUNTIF(Objectius!$A$2:$A$183,D293)&gt;0,"Sí","No")</f>
        <v/>
      </c>
    </row>
    <row r="294">
      <c r="A294" s="11" t="inlineStr">
        <is>
          <t>26_ED_29</t>
        </is>
      </c>
      <c r="B294" s="11" t="inlineStr"/>
      <c r="C294" s="11" t="inlineStr">
        <is>
          <t>Coordinació amb la secretaria de la Taula de Voluntariat del Pirineu Occidental</t>
        </is>
      </c>
      <c r="D294" s="11" t="inlineStr">
        <is>
          <t>13.6.1</t>
        </is>
      </c>
      <c r="E294" s="11" t="inlineStr"/>
      <c r="F294" s="11" t="inlineStr">
        <is>
          <t>6. Educació, voluntariat i comunicació</t>
        </is>
      </c>
      <c r="G294" s="11" t="inlineStr">
        <is>
          <t>Altres</t>
        </is>
      </c>
      <c r="H294" s="11" t="inlineStr"/>
      <c r="I294" s="11" t="inlineStr">
        <is>
          <t>1.5 Mesures de comunicació i sensibilització, educació i accés de visitants relacionades amb Natura 2000</t>
        </is>
      </c>
      <c r="J294" s="12" t="n">
        <v>0</v>
      </c>
      <c r="K294" s="13" t="n">
        <v>0.25</v>
      </c>
      <c r="L294" s="11" t="inlineStr">
        <is>
          <t>Amb mitjans propis i a través contracte servei informació i voluntariat</t>
        </is>
      </c>
      <c r="M294" s="11" t="inlineStr">
        <is>
          <t>Moises Villanueva Coello</t>
        </is>
      </c>
      <c r="N294" s="11" t="inlineStr">
        <is>
          <t>Si</t>
        </is>
      </c>
      <c r="O294" s="15">
        <f>IF(COUNTIF(Objectius!$A$2:$A$183,D294)&gt;0,"Sí","No")</f>
        <v/>
      </c>
    </row>
    <row r="295">
      <c r="A295" s="11" t="inlineStr">
        <is>
          <t>26_ED_30</t>
        </is>
      </c>
      <c r="B295" s="11" t="inlineStr"/>
      <c r="C295" s="11" t="inlineStr">
        <is>
          <t>Impulsar línies específiques de finançament (via subvencions, contractes públics o d’altres) per tal de finançar les iniciatives de voluntariat existents al parc (Iniciativa Rius, Mountain Calling, Projecte Boscos de Muntanya, Museu de Camins,..)</t>
        </is>
      </c>
      <c r="D295" s="11" t="inlineStr">
        <is>
          <t>13.6.1</t>
        </is>
      </c>
      <c r="E295" s="11" t="inlineStr"/>
      <c r="F295" s="11" t="inlineStr">
        <is>
          <t>6. Educació, voluntariat i comunicació</t>
        </is>
      </c>
      <c r="G295" s="11" t="inlineStr">
        <is>
          <t>Altres</t>
        </is>
      </c>
      <c r="H295" s="11" t="inlineStr"/>
      <c r="I295" s="11" t="inlineStr">
        <is>
          <t>1.5 Mesures de comunicació i sensibilització, educació i accés de visitants relacionades amb Natura 2000</t>
        </is>
      </c>
      <c r="J295" s="12" t="n">
        <v>0</v>
      </c>
      <c r="K295" s="13" t="n">
        <v>0.25</v>
      </c>
      <c r="L295" s="11" t="inlineStr">
        <is>
          <t>Amb mitjans propis</t>
        </is>
      </c>
      <c r="M295" s="11" t="inlineStr">
        <is>
          <t>Marc Garriga Lujan</t>
        </is>
      </c>
      <c r="N295" s="11" t="inlineStr">
        <is>
          <t>No</t>
        </is>
      </c>
      <c r="O295" s="15">
        <f>IF(COUNTIF(Objectius!$A$2:$A$183,D295)&gt;0,"Sí","No")</f>
        <v/>
      </c>
    </row>
    <row r="296">
      <c r="A296" s="11" t="inlineStr">
        <is>
          <t>26_ED_31</t>
        </is>
      </c>
      <c r="B296" s="11" t="inlineStr"/>
      <c r="C296" s="11" t="inlineStr">
        <is>
          <t>Reunions periòdiques amb la Taula de Voluntariat del Pirineu Occidental per establir acords i col·laboracions i projectes conjunts</t>
        </is>
      </c>
      <c r="D296" s="11" t="inlineStr">
        <is>
          <t>13.6.1</t>
        </is>
      </c>
      <c r="E296" s="11" t="inlineStr"/>
      <c r="F296" s="11" t="inlineStr">
        <is>
          <t>6. Educació, voluntariat i comunicació</t>
        </is>
      </c>
      <c r="G296" s="11" t="inlineStr">
        <is>
          <t>Altres</t>
        </is>
      </c>
      <c r="H296" s="11" t="inlineStr"/>
      <c r="I296" s="11" t="inlineStr">
        <is>
          <t>1.5 Mesures de comunicació i sensibilització, educació i accés de visitants relacionades amb Natura 2000</t>
        </is>
      </c>
      <c r="J296" s="12" t="n">
        <v>0</v>
      </c>
      <c r="K296" s="13" t="n">
        <v>0.25</v>
      </c>
      <c r="L296" s="11" t="inlineStr">
        <is>
          <t>Amb mitjans propis i a través contracte servei informació i voluntariat</t>
        </is>
      </c>
      <c r="M296" s="11" t="inlineStr">
        <is>
          <t>Moises Villanueva Coello</t>
        </is>
      </c>
      <c r="N296" s="11" t="inlineStr">
        <is>
          <t>Si</t>
        </is>
      </c>
      <c r="O296" s="15">
        <f>IF(COUNTIF(Objectius!$A$2:$A$183,D296)&gt;0,"Sí","No")</f>
        <v/>
      </c>
    </row>
    <row r="297">
      <c r="A297" s="11" t="inlineStr">
        <is>
          <t>26_ED_32</t>
        </is>
      </c>
      <c r="B297" s="11" t="inlineStr"/>
      <c r="C297" s="11" t="inlineStr">
        <is>
          <t>Vincular algunes accions de voluntariat a l'Associació de persones amigues del Parc</t>
        </is>
      </c>
      <c r="D297" s="11" t="inlineStr">
        <is>
          <t>13.6.1</t>
        </is>
      </c>
      <c r="E297" s="11" t="inlineStr"/>
      <c r="F297" s="11" t="inlineStr">
        <is>
          <t>6. Educació, voluntariat i comunicació</t>
        </is>
      </c>
      <c r="G297" s="11" t="inlineStr">
        <is>
          <t>Altres</t>
        </is>
      </c>
      <c r="H297" s="11" t="inlineStr"/>
      <c r="I297" s="11" t="inlineStr">
        <is>
          <t>1.5 Mesures de comunicació i sensibilització, educació i accés de visitants relacionades amb Natura 2000</t>
        </is>
      </c>
      <c r="J297" s="12" t="n">
        <v>0</v>
      </c>
      <c r="K297" s="13" t="n">
        <v>0.25</v>
      </c>
      <c r="L297" s="11" t="inlineStr">
        <is>
          <t>Amb mitjans propis</t>
        </is>
      </c>
      <c r="M297" s="11" t="inlineStr">
        <is>
          <t>Moises Villanueva Coello</t>
        </is>
      </c>
      <c r="N297" s="11" t="inlineStr">
        <is>
          <t>No</t>
        </is>
      </c>
      <c r="O297" s="15">
        <f>IF(COUNTIF(Objectius!$A$2:$A$183,D297)&gt;0,"Sí","No")</f>
        <v/>
      </c>
    </row>
    <row r="298">
      <c r="A298" s="11" t="inlineStr">
        <is>
          <t>26_ED_33</t>
        </is>
      </c>
      <c r="B298" s="11" t="inlineStr"/>
      <c r="C298" s="11" t="inlineStr">
        <is>
          <t>Promoure itineraris saludables</t>
        </is>
      </c>
      <c r="D298" s="11" t="inlineStr">
        <is>
          <t>13.8.1</t>
        </is>
      </c>
      <c r="E298" s="11" t="inlineStr"/>
      <c r="F298" s="11" t="inlineStr">
        <is>
          <t>6. Educació, voluntariat i comunicació</t>
        </is>
      </c>
      <c r="G298" s="11" t="inlineStr">
        <is>
          <t>Altres</t>
        </is>
      </c>
      <c r="H298" s="11" t="inlineStr"/>
      <c r="I298" s="11" t="inlineStr">
        <is>
          <t>1.5 Mesures de comunicació i sensibilització, educació i accés de visitants relacionades amb Natura 2000</t>
        </is>
      </c>
      <c r="J298" s="12" t="n">
        <v>0</v>
      </c>
      <c r="K298" s="13" t="n">
        <v>0.25</v>
      </c>
      <c r="L298" s="11" t="inlineStr">
        <is>
          <t>Amb mitjans propis</t>
        </is>
      </c>
      <c r="M298" s="11" t="inlineStr">
        <is>
          <t>Oriol Martinez Cañas</t>
        </is>
      </c>
      <c r="N298" s="11" t="inlineStr">
        <is>
          <t>Si</t>
        </is>
      </c>
      <c r="O298" s="15">
        <f>IF(COUNTIF(Objectius!$A$2:$A$183,D298)&gt;0,"Sí","No")</f>
        <v/>
      </c>
    </row>
    <row r="299">
      <c r="A299" s="11" t="inlineStr">
        <is>
          <t>26_ED_34</t>
        </is>
      </c>
      <c r="B299" s="11" t="inlineStr"/>
      <c r="C299" s="11" t="inlineStr">
        <is>
          <t>Inclusió del concepte de Salut i Natura en els missatges comunicatius de conservació i sensibilització</t>
        </is>
      </c>
      <c r="D299" s="11" t="inlineStr">
        <is>
          <t>13.8.3</t>
        </is>
      </c>
      <c r="E299" s="11" t="inlineStr"/>
      <c r="F299" s="11" t="inlineStr">
        <is>
          <t>6. Educació, voluntariat i comunicació</t>
        </is>
      </c>
      <c r="G299" s="11" t="inlineStr">
        <is>
          <t>Altres</t>
        </is>
      </c>
      <c r="H299" s="11" t="inlineStr"/>
      <c r="I299" s="11" t="inlineStr">
        <is>
          <t>1.5 Mesures de comunicació i sensibilització, educació i accés de visitants relacionades amb Natura 2000</t>
        </is>
      </c>
      <c r="J299" s="12" t="n">
        <v>0</v>
      </c>
      <c r="K299" s="13" t="n">
        <v>0.25</v>
      </c>
      <c r="L299" s="11" t="inlineStr">
        <is>
          <t>Amb mitjans propis</t>
        </is>
      </c>
      <c r="M299" s="11" t="inlineStr">
        <is>
          <t>Oriol Martinez Cañas</t>
        </is>
      </c>
      <c r="N299" s="11" t="inlineStr">
        <is>
          <t>No</t>
        </is>
      </c>
      <c r="O299" s="15">
        <f>IF(COUNTIF(Objectius!$A$2:$A$183,D299)&gt;0,"Sí","No")</f>
        <v/>
      </c>
    </row>
    <row r="300">
      <c r="A300" s="11" t="inlineStr">
        <is>
          <t>26_ED_35</t>
        </is>
      </c>
      <c r="B300" s="11" t="inlineStr"/>
      <c r="C300" s="11" t="inlineStr">
        <is>
          <t>Participació a les Taules de Salut i Natura</t>
        </is>
      </c>
      <c r="D300" s="11" t="inlineStr">
        <is>
          <t>13.8.4</t>
        </is>
      </c>
      <c r="E300" s="11" t="inlineStr"/>
      <c r="F300" s="11" t="inlineStr">
        <is>
          <t>6. Educació, voluntariat i comunicació</t>
        </is>
      </c>
      <c r="G300" s="11" t="inlineStr">
        <is>
          <t>Altres</t>
        </is>
      </c>
      <c r="H300" s="11" t="inlineStr"/>
      <c r="I300" s="11" t="inlineStr">
        <is>
          <t>1.5 Mesures de comunicació i sensibilització, educació i accés de visitants relacionades amb Natura 2000</t>
        </is>
      </c>
      <c r="J300" s="12" t="n">
        <v>0</v>
      </c>
      <c r="K300" s="13" t="n">
        <v>0.25</v>
      </c>
      <c r="L300" s="11" t="inlineStr">
        <is>
          <t>Amb mitjans propis</t>
        </is>
      </c>
      <c r="M300" s="11" t="inlineStr">
        <is>
          <t>Oriol Martinez Cañas</t>
        </is>
      </c>
      <c r="N300" s="11" t="inlineStr">
        <is>
          <t>No</t>
        </is>
      </c>
      <c r="O300" s="15">
        <f>IF(COUNTIF(Objectius!$A$2:$A$183,D300)&gt;0,"Sí","No")</f>
        <v/>
      </c>
    </row>
    <row r="301">
      <c r="A301" s="11" t="inlineStr">
        <is>
          <t>26_ED_36</t>
        </is>
      </c>
      <c r="B301" s="11" t="n">
        <v>70</v>
      </c>
      <c r="C301" s="11" t="inlineStr">
        <is>
          <t>Elaborar els productes comunicatius que es determinin conjuntament amb Serveis Centrals - Realització de càpsules de video</t>
        </is>
      </c>
      <c r="D301" s="11" t="inlineStr">
        <is>
          <t>14.1.1</t>
        </is>
      </c>
      <c r="E301" s="11" t="inlineStr"/>
      <c r="F301" s="11" t="inlineStr">
        <is>
          <t>6. Educació, voluntariat i comunicació</t>
        </is>
      </c>
      <c r="G301" s="11" t="inlineStr">
        <is>
          <t>Contracte menor a càrrec del RAE</t>
        </is>
      </c>
      <c r="H301" s="11" t="inlineStr">
        <is>
          <t>227.0013 - Treballs tècnics</t>
        </is>
      </c>
      <c r="I301" s="11" t="inlineStr">
        <is>
          <t>1.5 Mesures de comunicació i sensibilització, educació i accés de visitants relacionades amb Natura 2000</t>
        </is>
      </c>
      <c r="J301" s="12" t="n">
        <v>16000</v>
      </c>
      <c r="K301" s="13" t="n">
        <v>0.25</v>
      </c>
      <c r="L301" s="11" t="inlineStr"/>
      <c r="M301" s="11" t="inlineStr">
        <is>
          <t>Marc Garriga Lujan</t>
        </is>
      </c>
      <c r="N301" s="11" t="inlineStr">
        <is>
          <t>No</t>
        </is>
      </c>
      <c r="O301" s="15">
        <f>IF(COUNTIF(Objectius!$A$2:$A$183,D301)&gt;0,"Sí","No")</f>
        <v/>
      </c>
    </row>
    <row r="302">
      <c r="A302" s="11" t="inlineStr">
        <is>
          <t>26_ED_37</t>
        </is>
      </c>
      <c r="B302" s="11" t="n">
        <v>74</v>
      </c>
      <c r="C302" s="11" t="inlineStr">
        <is>
          <t>Elaborar els productes comunicatius que es determinin conjuntament amb Serveis Centrals - divulgació de curtmetratges de valors ambientals i culturals - Curtaneu 2026</t>
        </is>
      </c>
      <c r="D302" s="11" t="inlineStr">
        <is>
          <t>14.1.1</t>
        </is>
      </c>
      <c r="E302" s="11" t="inlineStr"/>
      <c r="F302" s="11" t="inlineStr">
        <is>
          <t>6. Educació, voluntariat i comunicació</t>
        </is>
      </c>
      <c r="G302" s="11" t="inlineStr">
        <is>
          <t>Contracte menor a càrrec del RAE</t>
        </is>
      </c>
      <c r="H302" s="11" t="inlineStr">
        <is>
          <t>227.0013 - Treballs tècnics</t>
        </is>
      </c>
      <c r="I302" s="11" t="inlineStr">
        <is>
          <t>1.5 Mesures de comunicació i sensibilització, educació i accés de visitants relacionades amb Natura 2000</t>
        </is>
      </c>
      <c r="J302" s="12" t="n">
        <v>1000</v>
      </c>
      <c r="K302" s="13" t="n">
        <v>0.25</v>
      </c>
      <c r="L302" s="11" t="inlineStr"/>
      <c r="M302" s="11" t="inlineStr">
        <is>
          <t>Moises Villanueva Coello</t>
        </is>
      </c>
      <c r="N302" s="11" t="inlineStr">
        <is>
          <t>No</t>
        </is>
      </c>
      <c r="O302" s="15">
        <f>IF(COUNTIF(Objectius!$A$2:$A$183,D302)&gt;0,"Sí","No")</f>
        <v/>
      </c>
    </row>
    <row r="303">
      <c r="A303" s="11" t="inlineStr">
        <is>
          <t>26_ED_38</t>
        </is>
      </c>
      <c r="B303" s="11" t="n">
        <v>101</v>
      </c>
      <c r="C303" s="11" t="inlineStr">
        <is>
          <t>Elaborar els productes comunicatius que es determinin conjuntament amb Serveis Centrals - maquetació conte Ivet i flor sis pètals</t>
        </is>
      </c>
      <c r="D303" s="11" t="inlineStr">
        <is>
          <t>14.1.1</t>
        </is>
      </c>
      <c r="E303" s="11" t="inlineStr"/>
      <c r="F303" s="11" t="inlineStr">
        <is>
          <t>6. Educació, voluntariat i comunicació</t>
        </is>
      </c>
      <c r="G303" s="11" t="inlineStr">
        <is>
          <t>Contracte menor a càrrec del RAE</t>
        </is>
      </c>
      <c r="H303" s="11" t="inlineStr">
        <is>
          <t>240.0001 - Despeses de publicacions</t>
        </is>
      </c>
      <c r="I303" s="11" t="inlineStr">
        <is>
          <t>1.5 Mesures de comunicació i sensibilització, educació i accés de visitants relacionades amb Natura 2000</t>
        </is>
      </c>
      <c r="J303" s="12" t="n">
        <v>3500</v>
      </c>
      <c r="K303" s="13" t="n">
        <v>0.25</v>
      </c>
      <c r="L303" s="11" t="inlineStr"/>
      <c r="M303" s="11" t="inlineStr">
        <is>
          <t>Pol Alcalde Floriach</t>
        </is>
      </c>
      <c r="N303" s="11" t="inlineStr">
        <is>
          <t>No</t>
        </is>
      </c>
      <c r="O303" s="15">
        <f>IF(COUNTIF(Objectius!$A$2:$A$183,D303)&gt;0,"Sí","No")</f>
        <v/>
      </c>
    </row>
    <row r="304">
      <c r="A304" s="11" t="inlineStr">
        <is>
          <t>26_ED_39</t>
        </is>
      </c>
      <c r="B304" s="11" t="n">
        <v>102</v>
      </c>
      <c r="C304" s="11" t="inlineStr">
        <is>
          <t>Elaborar els productes comunicatius que es determinin conjuntament amb Serveis Centrals - maquetació de publicacions del PNAP</t>
        </is>
      </c>
      <c r="D304" s="11" t="inlineStr">
        <is>
          <t>14.1.1</t>
        </is>
      </c>
      <c r="E304" s="11" t="inlineStr"/>
      <c r="F304" s="11" t="inlineStr">
        <is>
          <t>6. Educació, voluntariat i comunicació</t>
        </is>
      </c>
      <c r="G304" s="11" t="inlineStr">
        <is>
          <t>Contracte menor a càrrec del RAE</t>
        </is>
      </c>
      <c r="H304" s="11" t="inlineStr">
        <is>
          <t>240.0001 - Despeses de publicacions</t>
        </is>
      </c>
      <c r="I304" s="11" t="inlineStr">
        <is>
          <t>1.5 Mesures de comunicació i sensibilització, educació i accés de visitants relacionades amb Natura 2000</t>
        </is>
      </c>
      <c r="J304" s="12" t="n">
        <v>4500</v>
      </c>
      <c r="K304" s="13" t="n">
        <v>0.25</v>
      </c>
      <c r="L304" s="11" t="inlineStr"/>
      <c r="M304" s="11" t="inlineStr">
        <is>
          <t>Moises Villanueva Coello</t>
        </is>
      </c>
      <c r="N304" s="11" t="inlineStr">
        <is>
          <t>No</t>
        </is>
      </c>
      <c r="O304" s="15">
        <f>IF(COUNTIF(Objectius!$A$2:$A$183,D304)&gt;0,"Sí","No")</f>
        <v/>
      </c>
    </row>
    <row r="305">
      <c r="A305" s="11" t="inlineStr">
        <is>
          <t>26_ED_40</t>
        </is>
      </c>
      <c r="B305" s="11" t="n">
        <v>103</v>
      </c>
      <c r="C305" s="11" t="inlineStr">
        <is>
          <t>Elaborar els productes comunicatius que es determinin conjuntament amb Serveis Centrals - impressió de publicacions del PNAP</t>
        </is>
      </c>
      <c r="D305" s="11" t="inlineStr">
        <is>
          <t>14.1.1</t>
        </is>
      </c>
      <c r="E305" s="11" t="inlineStr"/>
      <c r="F305" s="11" t="inlineStr">
        <is>
          <t>6. Educació, voluntariat i comunicació</t>
        </is>
      </c>
      <c r="G305" s="11" t="inlineStr">
        <is>
          <t>Contracte menor a càrrec del RAE</t>
        </is>
      </c>
      <c r="H305" s="11" t="inlineStr">
        <is>
          <t>240.0001 - Despeses de publicacions</t>
        </is>
      </c>
      <c r="I305" s="11" t="inlineStr">
        <is>
          <t>1.5 Mesures de comunicació i sensibilització, educació i accés de visitants relacionades amb Natura 2000</t>
        </is>
      </c>
      <c r="J305" s="12" t="n">
        <v>13150</v>
      </c>
      <c r="K305" s="13" t="n">
        <v>0.25</v>
      </c>
      <c r="L305" s="11" t="inlineStr"/>
      <c r="M305" s="11" t="inlineStr">
        <is>
          <t>Moises Villanueva Coello</t>
        </is>
      </c>
      <c r="N305" s="11" t="inlineStr">
        <is>
          <t>No</t>
        </is>
      </c>
      <c r="O305" s="15">
        <f>IF(COUNTIF(Objectius!$A$2:$A$183,D305)&gt;0,"Sí","No")</f>
        <v/>
      </c>
    </row>
    <row r="306">
      <c r="A306" s="11" t="inlineStr">
        <is>
          <t>26_ED_41</t>
        </is>
      </c>
      <c r="B306" s="11" t="n">
        <v>107</v>
      </c>
      <c r="C306" s="11" t="inlineStr">
        <is>
          <t>Elaborar els productes comunicatius que es determinin conjuntament amb Serveis Centrals - plastificacions i serveis de repografia</t>
        </is>
      </c>
      <c r="D306" s="11" t="inlineStr">
        <is>
          <t>14.1.1</t>
        </is>
      </c>
      <c r="E306" s="11" t="inlineStr"/>
      <c r="F306" s="11" t="inlineStr">
        <is>
          <t>6. Educació, voluntariat i comunicació</t>
        </is>
      </c>
      <c r="G306" s="11" t="inlineStr">
        <is>
          <t>Contracte menor a càrrec del RAE</t>
        </is>
      </c>
      <c r="H306" s="11" t="inlineStr">
        <is>
          <t>240.0001 - Despeses de publicacions</t>
        </is>
      </c>
      <c r="I306" s="11" t="inlineStr">
        <is>
          <t>1.5 Mesures de comunicació i sensibilització, educació i accés de visitants relacionades amb Natura 2000</t>
        </is>
      </c>
      <c r="J306" s="12" t="n">
        <v>250</v>
      </c>
      <c r="K306" s="13" t="n">
        <v>0.25</v>
      </c>
      <c r="L306" s="11" t="inlineStr"/>
      <c r="M306" s="11" t="inlineStr">
        <is>
          <t>Maria de las Merce Frade Palau</t>
        </is>
      </c>
      <c r="N306" s="11" t="inlineStr">
        <is>
          <t>Si</t>
        </is>
      </c>
      <c r="O306" s="15">
        <f>IF(COUNTIF(Objectius!$A$2:$A$183,D306)&gt;0,"Sí","No")</f>
        <v/>
      </c>
    </row>
    <row r="307">
      <c r="A307" s="11" t="inlineStr">
        <is>
          <t>26_ED_42</t>
        </is>
      </c>
      <c r="B307" s="11" t="inlineStr"/>
      <c r="C307" s="11" t="inlineStr">
        <is>
          <t>Mantenir i reforçar la comunicació de les actuacions del Parc a través de les xarxes socials (facebook, X, instagram, youtube, tiktok)</t>
        </is>
      </c>
      <c r="D307" s="11" t="inlineStr">
        <is>
          <t>14.1.1</t>
        </is>
      </c>
      <c r="E307" s="11" t="inlineStr"/>
      <c r="F307" s="11" t="inlineStr">
        <is>
          <t>6. Educació, voluntariat i comunicació</t>
        </is>
      </c>
      <c r="G307" s="11" t="inlineStr">
        <is>
          <t>Altres</t>
        </is>
      </c>
      <c r="H307" s="11" t="inlineStr"/>
      <c r="I307" s="11" t="inlineStr">
        <is>
          <t>1.5 Mesures de comunicació i sensibilització, educació i accés de visitants relacionades amb Natura 2000</t>
        </is>
      </c>
      <c r="J307" s="12" t="n">
        <v>0</v>
      </c>
      <c r="K307" s="13" t="n">
        <v>0.25</v>
      </c>
      <c r="L307" s="11" t="inlineStr">
        <is>
          <t>Amb mitjans propis</t>
        </is>
      </c>
      <c r="M307" s="11" t="inlineStr">
        <is>
          <t>Marc Garriga Lujan</t>
        </is>
      </c>
      <c r="N307" s="11" t="inlineStr">
        <is>
          <t>Si</t>
        </is>
      </c>
      <c r="O307" s="15">
        <f>IF(COUNTIF(Objectius!$A$2:$A$183,D307)&gt;0,"Sí","No")</f>
        <v/>
      </c>
    </row>
    <row r="308">
      <c r="A308" s="11" t="inlineStr">
        <is>
          <t>26_ED_43</t>
        </is>
      </c>
      <c r="B308" s="11" t="inlineStr"/>
      <c r="C308" s="11" t="inlineStr">
        <is>
          <t>Donar a conèixer l'equip del Parc a través dels diferents canals comunicatius</t>
        </is>
      </c>
      <c r="D308" s="11" t="inlineStr">
        <is>
          <t>14.1.1</t>
        </is>
      </c>
      <c r="E308" s="11" t="inlineStr"/>
      <c r="F308" s="11" t="inlineStr">
        <is>
          <t>6. Educació, voluntariat i comunicació</t>
        </is>
      </c>
      <c r="G308" s="11" t="inlineStr">
        <is>
          <t>Altres</t>
        </is>
      </c>
      <c r="H308" s="11" t="inlineStr"/>
      <c r="I308" s="11" t="inlineStr">
        <is>
          <t>1.5 Mesures de comunicació i sensibilització, educació i accés de visitants relacionades amb Natura 2000</t>
        </is>
      </c>
      <c r="J308" s="12" t="n">
        <v>0</v>
      </c>
      <c r="K308" s="13" t="n">
        <v>0.25</v>
      </c>
      <c r="L308" s="11" t="inlineStr">
        <is>
          <t>Amb mitjans propis</t>
        </is>
      </c>
      <c r="M308" s="11" t="inlineStr">
        <is>
          <t>Marc Garriga Lujan</t>
        </is>
      </c>
      <c r="N308" s="11" t="inlineStr">
        <is>
          <t>Si</t>
        </is>
      </c>
      <c r="O308" s="15">
        <f>IF(COUNTIF(Objectius!$A$2:$A$183,D308)&gt;0,"Sí","No")</f>
        <v/>
      </c>
    </row>
    <row r="309">
      <c r="A309" s="11" t="inlineStr">
        <is>
          <t>26_ED_44</t>
        </is>
      </c>
      <c r="B309" s="11" t="inlineStr"/>
      <c r="C309" s="11" t="inlineStr">
        <is>
          <t>Inclusió d'aspectes de transparència informativa sobre el que s’està treballant des de l’ENP a la Junta Rectora</t>
        </is>
      </c>
      <c r="D309" s="11" t="inlineStr">
        <is>
          <t>14.1.1</t>
        </is>
      </c>
      <c r="E309" s="11" t="inlineStr"/>
      <c r="F309" s="11" t="inlineStr">
        <is>
          <t>6. Educació, voluntariat i comunicació</t>
        </is>
      </c>
      <c r="G309" s="11" t="inlineStr">
        <is>
          <t>Altres</t>
        </is>
      </c>
      <c r="H309" s="11" t="inlineStr"/>
      <c r="I309" s="11" t="inlineStr">
        <is>
          <t>1.5 Mesures de comunicació i sensibilització, educació i accés de visitants relacionades amb Natura 2000</t>
        </is>
      </c>
      <c r="J309" s="12" t="n">
        <v>0</v>
      </c>
      <c r="K309" s="13" t="n">
        <v>0.25</v>
      </c>
      <c r="L309" s="11" t="inlineStr">
        <is>
          <t>Amb mitjans propis</t>
        </is>
      </c>
      <c r="M309" s="11" t="inlineStr">
        <is>
          <t>Marc Garriga Lujan</t>
        </is>
      </c>
      <c r="N309" s="11" t="inlineStr">
        <is>
          <t>No</t>
        </is>
      </c>
      <c r="O309" s="15">
        <f>IF(COUNTIF(Objectius!$A$2:$A$183,D309)&gt;0,"Sí","No")</f>
        <v/>
      </c>
    </row>
    <row r="310">
      <c r="A310" s="11" t="inlineStr">
        <is>
          <t>26_ED_45</t>
        </is>
      </c>
      <c r="B310" s="11" t="inlineStr"/>
      <c r="C310" s="11" t="inlineStr">
        <is>
          <t>Realització de xerrades i presentacions del Parc específiques per a la població local per incrementar el sentiment de pertinença, procurant fer-ne per cada tema un mínim d’una xerrada a cada una de les dos comarques del Pallars Sobirà i Alt Urgell amb col·laboració amb entitats del territori</t>
        </is>
      </c>
      <c r="D310" s="11" t="inlineStr">
        <is>
          <t>14.1.1</t>
        </is>
      </c>
      <c r="E310" s="11" t="inlineStr"/>
      <c r="F310" s="11" t="inlineStr">
        <is>
          <t>6. Educació, voluntariat i comunicació</t>
        </is>
      </c>
      <c r="G310" s="11" t="inlineStr">
        <is>
          <t>Altres</t>
        </is>
      </c>
      <c r="H310" s="11" t="inlineStr"/>
      <c r="I310" s="11" t="inlineStr">
        <is>
          <t>1.5 Mesures de comunicació i sensibilització, educació i accés de visitants relacionades amb Natura 2000</t>
        </is>
      </c>
      <c r="J310" s="12" t="n">
        <v>0</v>
      </c>
      <c r="K310" s="13" t="n">
        <v>0.25</v>
      </c>
      <c r="L310" s="11" t="inlineStr">
        <is>
          <t>Amb mitjans propis</t>
        </is>
      </c>
      <c r="M310" s="11" t="inlineStr">
        <is>
          <t>Marc Garriga Lujan</t>
        </is>
      </c>
      <c r="N310" s="11" t="inlineStr">
        <is>
          <t>Si</t>
        </is>
      </c>
      <c r="O310" s="15">
        <f>IF(COUNTIF(Objectius!$A$2:$A$183,D310)&gt;0,"Sí","No")</f>
        <v/>
      </c>
    </row>
    <row r="311">
      <c r="A311" s="11" t="inlineStr">
        <is>
          <t>26_ED_46</t>
        </is>
      </c>
      <c r="B311" s="11" t="n">
        <v>75</v>
      </c>
      <c r="C311" s="11" t="inlineStr">
        <is>
          <t>Creació d'un banc d’imatges, vídeos, vídeos amb vols de dron</t>
        </is>
      </c>
      <c r="D311" s="11" t="inlineStr">
        <is>
          <t>14.1.1</t>
        </is>
      </c>
      <c r="E311" s="11" t="inlineStr"/>
      <c r="F311" s="11" t="inlineStr">
        <is>
          <t>6. Educació, voluntariat i comunicació</t>
        </is>
      </c>
      <c r="G311" s="11" t="inlineStr">
        <is>
          <t>Contracte menor a càrrec del RAE</t>
        </is>
      </c>
      <c r="H311" s="11" t="inlineStr">
        <is>
          <t>227.0013 - Treballs tècnics</t>
        </is>
      </c>
      <c r="I311" s="11" t="inlineStr">
        <is>
          <t>1.5 Mesures de comunicació i sensibilització, educació i accés de visitants relacionades amb Natura 2000</t>
        </is>
      </c>
      <c r="J311" s="12" t="n">
        <v>1000</v>
      </c>
      <c r="K311" s="13" t="n">
        <v>0.25</v>
      </c>
      <c r="L311" s="11" t="inlineStr"/>
      <c r="M311" s="11" t="inlineStr">
        <is>
          <t>Marc Garriga Lujan</t>
        </is>
      </c>
      <c r="N311" s="11" t="inlineStr">
        <is>
          <t>No</t>
        </is>
      </c>
      <c r="O311" s="15">
        <f>IF(COUNTIF(Objectius!$A$2:$A$183,D311)&gt;0,"Sí","No")</f>
        <v/>
      </c>
    </row>
    <row r="312">
      <c r="A312" s="11" t="inlineStr">
        <is>
          <t>26_ED_47</t>
        </is>
      </c>
      <c r="B312" s="11" t="inlineStr"/>
      <c r="C312" s="11" t="inlineStr">
        <is>
          <t>Actualització de l'apartat web i la plataforma Wikiloc amb l'oferta d'itineraris oficials (CaminaCat)</t>
        </is>
      </c>
      <c r="D312" s="11" t="inlineStr">
        <is>
          <t>14.1.1</t>
        </is>
      </c>
      <c r="E312" s="11" t="inlineStr"/>
      <c r="F312" s="11" t="inlineStr">
        <is>
          <t>6. Educació, voluntariat i comunicació</t>
        </is>
      </c>
      <c r="G312" s="11" t="inlineStr">
        <is>
          <t>Altres</t>
        </is>
      </c>
      <c r="H312" s="11" t="inlineStr"/>
      <c r="I312" s="11" t="inlineStr">
        <is>
          <t>1.5 Mesures de comunicació i sensibilització, educació i accés de visitants relacionades amb Natura 2000</t>
        </is>
      </c>
      <c r="J312" s="12" t="n">
        <v>0</v>
      </c>
      <c r="K312" s="13" t="n">
        <v>0.25</v>
      </c>
      <c r="L312" s="11" t="inlineStr">
        <is>
          <t>A través conveni Caminacat</t>
        </is>
      </c>
      <c r="M312" s="11" t="inlineStr">
        <is>
          <t>Marc Garriga Lujan</t>
        </is>
      </c>
      <c r="N312" s="11" t="inlineStr">
        <is>
          <t>No</t>
        </is>
      </c>
      <c r="O312" s="15">
        <f>IF(COUNTIF(Objectius!$A$2:$A$183,D312)&gt;0,"Sí","No")</f>
        <v/>
      </c>
    </row>
    <row r="313">
      <c r="A313" s="11" t="inlineStr">
        <is>
          <t>26_ED_48</t>
        </is>
      </c>
      <c r="B313" s="11" t="inlineStr"/>
      <c r="C313" s="11" t="inlineStr">
        <is>
          <t>Recuperar i actualitzar l’App “Deixa’t Guiar pel Parc Natural de l’Alt Pirineu” amb suport del CTTI</t>
        </is>
      </c>
      <c r="D313" s="11" t="inlineStr">
        <is>
          <t>14.1.1</t>
        </is>
      </c>
      <c r="E313" s="11" t="inlineStr"/>
      <c r="F313" s="11" t="inlineStr">
        <is>
          <t>6. Educació, voluntariat i comunicació</t>
        </is>
      </c>
      <c r="G313" s="11" t="inlineStr">
        <is>
          <t>Altres</t>
        </is>
      </c>
      <c r="H313" s="11" t="inlineStr"/>
      <c r="I313" s="11" t="inlineStr">
        <is>
          <t>1.5 Mesures de comunicació i sensibilització, educació i accés de visitants relacionades amb Natura 2000</t>
        </is>
      </c>
      <c r="J313" s="12" t="n">
        <v>0</v>
      </c>
      <c r="K313" s="13" t="n">
        <v>0.25</v>
      </c>
      <c r="L313" s="11" t="inlineStr">
        <is>
          <t>Mitajsn propis junt amb CTTI</t>
        </is>
      </c>
      <c r="M313" s="11" t="inlineStr">
        <is>
          <t>Marc Garriga Lujan</t>
        </is>
      </c>
      <c r="N313" s="11" t="inlineStr">
        <is>
          <t>No</t>
        </is>
      </c>
      <c r="O313" s="15">
        <f>IF(COUNTIF(Objectius!$A$2:$A$183,D313)&gt;0,"Sí","No")</f>
        <v/>
      </c>
    </row>
    <row r="314">
      <c r="A314" s="11" t="inlineStr">
        <is>
          <t>26_ED_49</t>
        </is>
      </c>
      <c r="B314" s="11" t="inlineStr"/>
      <c r="C314" s="11" t="inlineStr">
        <is>
          <t>Vetllar pel correcte tractament i emmagatzematge d'aquests estudis i informes (repositori al web del Parc)</t>
        </is>
      </c>
      <c r="D314" s="11" t="inlineStr">
        <is>
          <t>14.1.1</t>
        </is>
      </c>
      <c r="E314" s="11" t="inlineStr"/>
      <c r="F314" s="11" t="inlineStr">
        <is>
          <t>6. Educació, voluntariat i comunicació</t>
        </is>
      </c>
      <c r="G314" s="11" t="inlineStr">
        <is>
          <t>Altres</t>
        </is>
      </c>
      <c r="H314" s="11" t="inlineStr"/>
      <c r="I314" s="11" t="inlineStr">
        <is>
          <t>1.5 Mesures de comunicació i sensibilització, educació i accés de visitants relacionades amb Natura 2000</t>
        </is>
      </c>
      <c r="J314" s="12" t="n">
        <v>0</v>
      </c>
      <c r="K314" s="13" t="n">
        <v>0.25</v>
      </c>
      <c r="L314" s="11" t="inlineStr">
        <is>
          <t>Amb mitjans propis</t>
        </is>
      </c>
      <c r="M314" s="11" t="inlineStr">
        <is>
          <t>Oriol Martinez Cañas</t>
        </is>
      </c>
      <c r="N314" s="11" t="inlineStr">
        <is>
          <t>No</t>
        </is>
      </c>
      <c r="O314" s="15">
        <f>IF(COUNTIF(Objectius!$A$2:$A$183,D314)&gt;0,"Sí","No")</f>
        <v/>
      </c>
    </row>
    <row r="315">
      <c r="A315" s="11" t="inlineStr">
        <is>
          <t>26_ED_50</t>
        </is>
      </c>
      <c r="B315" s="11" t="inlineStr"/>
      <c r="C315" s="11" t="inlineStr">
        <is>
          <t>Creació de material divulgatiu específic i en positiu a partir de les campanyes de comunicació elaborades conjuntament amb Serveis Centrals i de les necessitats del territori del Parc (bany en estanys, acampada, gos lligat circulació motoritzada, comportament en zona d’ós bru,..)(comunicació externa)</t>
        </is>
      </c>
      <c r="D315" s="11" t="inlineStr">
        <is>
          <t>14.2.1</t>
        </is>
      </c>
      <c r="E315" s="11" t="inlineStr"/>
      <c r="F315" s="11" t="inlineStr">
        <is>
          <t>6. Educació, voluntariat i comunicació</t>
        </is>
      </c>
      <c r="G315" s="11" t="inlineStr">
        <is>
          <t>Altres</t>
        </is>
      </c>
      <c r="H315" s="11" t="inlineStr"/>
      <c r="I315" s="11" t="inlineStr">
        <is>
          <t>1.5 Mesures de comunicació i sensibilització, educació i accés de visitants relacionades amb Natura 2000</t>
        </is>
      </c>
      <c r="J315" s="12" t="n">
        <v>0</v>
      </c>
      <c r="K315" s="13" t="n">
        <v>0.25</v>
      </c>
      <c r="L315" s="11" t="inlineStr">
        <is>
          <t>Amb mitjans propis</t>
        </is>
      </c>
      <c r="M315" s="11" t="inlineStr">
        <is>
          <t>Moises Villanueva Coello</t>
        </is>
      </c>
      <c r="N315" s="11" t="inlineStr">
        <is>
          <t>No</t>
        </is>
      </c>
      <c r="O315" s="15">
        <f>IF(COUNTIF(Objectius!$A$2:$A$183,D315)&gt;0,"Sí","No")</f>
        <v/>
      </c>
    </row>
    <row r="316">
      <c r="A316" s="11" t="inlineStr">
        <is>
          <t>26_ED_51</t>
        </is>
      </c>
      <c r="B316" s="11" t="inlineStr"/>
      <c r="C316" s="11" t="inlineStr">
        <is>
          <t>Realització de sessions d'intercanvi de coneixements i projectes en marxa entre l'equip gestor (Comunicació interna)</t>
        </is>
      </c>
      <c r="D316" s="11" t="inlineStr">
        <is>
          <t>14.2.1</t>
        </is>
      </c>
      <c r="E316" s="11" t="inlineStr"/>
      <c r="F316" s="11" t="inlineStr">
        <is>
          <t>6. Educació, voluntariat i comunicació</t>
        </is>
      </c>
      <c r="G316" s="11" t="inlineStr">
        <is>
          <t>Altres</t>
        </is>
      </c>
      <c r="H316" s="11" t="inlineStr"/>
      <c r="I316" s="11" t="inlineStr">
        <is>
          <t>1.2 Administració del lloc i comunicació amb les parts interessades</t>
        </is>
      </c>
      <c r="J316" s="12" t="n">
        <v>0</v>
      </c>
      <c r="K316" s="13" t="n">
        <v>0.25</v>
      </c>
      <c r="L316" s="11" t="inlineStr">
        <is>
          <t>Amb mitjans propis</t>
        </is>
      </c>
      <c r="M316" s="11" t="inlineStr">
        <is>
          <t>Marc Garriga Lujan</t>
        </is>
      </c>
      <c r="N316" s="11" t="inlineStr">
        <is>
          <t>Si</t>
        </is>
      </c>
      <c r="O316" s="15">
        <f>IF(COUNTIF(Objectius!$A$2:$A$183,D316)&gt;0,"Sí","No")</f>
        <v/>
      </c>
    </row>
    <row r="317">
      <c r="A317" s="11" t="inlineStr">
        <is>
          <t>26_ED_52</t>
        </is>
      </c>
      <c r="B317" s="11" t="inlineStr"/>
      <c r="C317" s="11" t="inlineStr">
        <is>
          <t>Actualització del web segons el format i estàndards establerts des de Serveis Centrals</t>
        </is>
      </c>
      <c r="D317" s="11" t="inlineStr">
        <is>
          <t>14.3.1</t>
        </is>
      </c>
      <c r="E317" s="11" t="inlineStr"/>
      <c r="F317" s="11" t="inlineStr">
        <is>
          <t>6. Educació, voluntariat i comunicació</t>
        </is>
      </c>
      <c r="G317" s="11" t="inlineStr">
        <is>
          <t>Altres</t>
        </is>
      </c>
      <c r="H317" s="11" t="inlineStr"/>
      <c r="I317" s="11" t="inlineStr">
        <is>
          <t>1.2 Administració del lloc i comunicació amb les parts interessades</t>
        </is>
      </c>
      <c r="J317" s="12" t="n">
        <v>0</v>
      </c>
      <c r="K317" s="13" t="n">
        <v>1</v>
      </c>
      <c r="L317" s="11" t="inlineStr">
        <is>
          <t>Amb mitjans propis</t>
        </is>
      </c>
      <c r="M317" s="11" t="inlineStr">
        <is>
          <t>Oriol Martinez Cañas</t>
        </is>
      </c>
      <c r="N317" s="11" t="inlineStr">
        <is>
          <t>No</t>
        </is>
      </c>
      <c r="O317" s="15">
        <f>IF(COUNTIF(Objectius!$A$2:$A$183,D317)&gt;0,"Sí","No")</f>
        <v/>
      </c>
    </row>
    <row r="318">
      <c r="A318" s="11" t="inlineStr">
        <is>
          <t>26_ED_53</t>
        </is>
      </c>
      <c r="B318" s="11" t="inlineStr"/>
      <c r="C318" s="11" t="inlineStr">
        <is>
          <t>Tenir un responsable/equip de comunicació amb formació tècnica que estudi la necessitat i viabilitat d'obrir nous canals comunicatius (butlletí, xxss, revistes etc.) conjuntament amb Serveis Centrals</t>
        </is>
      </c>
      <c r="D318" s="11" t="inlineStr">
        <is>
          <t>14.3.1</t>
        </is>
      </c>
      <c r="E318" s="11" t="inlineStr"/>
      <c r="F318" s="11" t="inlineStr">
        <is>
          <t>6. Educació, voluntariat i comunicació</t>
        </is>
      </c>
      <c r="G318" s="11" t="inlineStr">
        <is>
          <t>Altres</t>
        </is>
      </c>
      <c r="H318" s="11" t="inlineStr"/>
      <c r="I318" s="11" t="inlineStr">
        <is>
          <t>1.5 Mesures de comunicació i sensibilització, educació i accés de visitants relacionades amb Natura 2000</t>
        </is>
      </c>
      <c r="J318" s="12" t="n">
        <v>0</v>
      </c>
      <c r="K318" s="13" t="n">
        <v>1</v>
      </c>
      <c r="L318" s="11" t="inlineStr">
        <is>
          <t>Amb mitjans propis</t>
        </is>
      </c>
      <c r="M318" s="11" t="inlineStr">
        <is>
          <t>Oriol Martinez Cañas</t>
        </is>
      </c>
      <c r="N318" s="11" t="inlineStr">
        <is>
          <t>No</t>
        </is>
      </c>
      <c r="O318" s="15">
        <f>IF(COUNTIF(Objectius!$A$2:$A$183,D318)&gt;0,"Sí","No")</f>
        <v/>
      </c>
    </row>
    <row r="319">
      <c r="A319" s="11" t="inlineStr">
        <is>
          <t>26_ED_54</t>
        </is>
      </c>
      <c r="B319" s="11" t="n">
        <v>53</v>
      </c>
      <c r="C319" s="11" t="inlineStr">
        <is>
          <t>Reunions d'equip periòdiques amb una freqüència no superior a 15 dies - àpats de reunions d'equip</t>
        </is>
      </c>
      <c r="D319" s="11" t="inlineStr">
        <is>
          <t>14.3.1</t>
        </is>
      </c>
      <c r="E319" s="11" t="inlineStr"/>
      <c r="F319" s="11" t="inlineStr">
        <is>
          <t>6. Educació, voluntariat i comunicació</t>
        </is>
      </c>
      <c r="G319" s="11" t="inlineStr">
        <is>
          <t>Contracte menor a càrrec del RAE</t>
        </is>
      </c>
      <c r="H319" s="11" t="inlineStr">
        <is>
          <t>226.0005 - Organització de reunions, conferències i cursos</t>
        </is>
      </c>
      <c r="I319" s="11" t="inlineStr">
        <is>
          <t>1.2 Administració del lloc i comunicació amb les parts interessades</t>
        </is>
      </c>
      <c r="J319" s="12" t="n">
        <v>400</v>
      </c>
      <c r="K319" s="13" t="n">
        <v>0.25</v>
      </c>
      <c r="L319" s="11" t="inlineStr">
        <is>
          <t>Amb mitjans propis</t>
        </is>
      </c>
      <c r="M319" s="11" t="inlineStr">
        <is>
          <t>Daniel Maresma Fernandez</t>
        </is>
      </c>
      <c r="N319" s="11" t="inlineStr">
        <is>
          <t>Si</t>
        </is>
      </c>
      <c r="O319" s="15">
        <f>IF(COUNTIF(Objectius!$A$2:$A$183,D319)&gt;0,"Sí","No")</f>
        <v/>
      </c>
    </row>
    <row r="320">
      <c r="A320" s="11" t="inlineStr">
        <is>
          <t>26_ED_55</t>
        </is>
      </c>
      <c r="B320" s="11" t="inlineStr"/>
      <c r="C320" s="11" t="inlineStr">
        <is>
          <t>Reunions bimensuals de coordinació de la Xarxa dels grups de conservació, d’ús públic i turisme, de gestió econòmica o RAE, d’educació ambiental, de centres de documentació, de millora rural, i de direcció.</t>
        </is>
      </c>
      <c r="D320" s="11" t="inlineStr">
        <is>
          <t>14.3.1</t>
        </is>
      </c>
      <c r="E320" s="11" t="inlineStr"/>
      <c r="F320" s="11" t="inlineStr">
        <is>
          <t>6. Educació, voluntariat i comunicació</t>
        </is>
      </c>
      <c r="G320" s="11" t="inlineStr">
        <is>
          <t>Altres</t>
        </is>
      </c>
      <c r="H320" s="11" t="inlineStr"/>
      <c r="I320" s="11" t="inlineStr">
        <is>
          <t>1.2 Administració del lloc i comunicació amb les parts interessades</t>
        </is>
      </c>
      <c r="J320" s="12" t="n">
        <v>0</v>
      </c>
      <c r="K320" s="13" t="n">
        <v>0.25</v>
      </c>
      <c r="L320" s="11" t="inlineStr">
        <is>
          <t>Amb mitjans propis</t>
        </is>
      </c>
      <c r="M320" s="11" t="inlineStr">
        <is>
          <t>Marc Garriga Lujan</t>
        </is>
      </c>
      <c r="N320" s="11" t="inlineStr">
        <is>
          <t>Si</t>
        </is>
      </c>
      <c r="O320" s="15">
        <f>IF(COUNTIF(Objectius!$A$2:$A$183,D320)&gt;0,"Sí","No")</f>
        <v/>
      </c>
    </row>
    <row r="321">
      <c r="A321" s="11" t="inlineStr">
        <is>
          <t>26_ED_56</t>
        </is>
      </c>
      <c r="B321" s="11" t="inlineStr"/>
      <c r="C321" s="11" t="inlineStr">
        <is>
          <t>Elaboració i aplicació del Pla de comunicació de l'ENP que inclogui: els protocols vigents d'informació i comunicació, l'aplicació dels manuals existents i vigents en quan a comunicació corporativa i el protocol comunicatiu específic per a Juntes Rectores d'ENP</t>
        </is>
      </c>
      <c r="D321" s="11" t="inlineStr">
        <is>
          <t>14.3.2</t>
        </is>
      </c>
      <c r="E321" s="11" t="inlineStr"/>
      <c r="F321" s="11" t="inlineStr">
        <is>
          <t>6. Educació, voluntariat i comunicació</t>
        </is>
      </c>
      <c r="G321" s="11" t="inlineStr">
        <is>
          <t>Altres</t>
        </is>
      </c>
      <c r="H321" s="11" t="inlineStr"/>
      <c r="I321" s="11" t="inlineStr">
        <is>
          <t>1.2 Administració del lloc i comunicació amb les parts interessades</t>
        </is>
      </c>
      <c r="J321" s="12" t="n">
        <v>0</v>
      </c>
      <c r="K321" s="13" t="n">
        <v>0.25</v>
      </c>
      <c r="L321" s="11" t="inlineStr">
        <is>
          <t>Amb mitjans propis</t>
        </is>
      </c>
      <c r="M321" s="11" t="inlineStr">
        <is>
          <t>Marc Garriga Lujan</t>
        </is>
      </c>
      <c r="N321" s="11" t="inlineStr">
        <is>
          <t>No</t>
        </is>
      </c>
      <c r="O321" s="15">
        <f>IF(COUNTIF(Objectius!$A$2:$A$183,D321)&gt;0,"Sí","No")</f>
        <v/>
      </c>
    </row>
    <row r="322">
      <c r="A322" s="11" t="inlineStr">
        <is>
          <t>26_ED_57</t>
        </is>
      </c>
      <c r="B322" s="11" t="inlineStr"/>
      <c r="C322" s="11" t="inlineStr">
        <is>
          <t>Participació en els espais d'intercanvi d'informació entre ENP</t>
        </is>
      </c>
      <c r="D322" s="11" t="inlineStr">
        <is>
          <t>14.3.2</t>
        </is>
      </c>
      <c r="E322" s="11" t="inlineStr"/>
      <c r="F322" s="11" t="inlineStr">
        <is>
          <t>6. Educació, voluntariat i comunicació</t>
        </is>
      </c>
      <c r="G322" s="11" t="inlineStr">
        <is>
          <t>Altres</t>
        </is>
      </c>
      <c r="H322" s="11" t="inlineStr"/>
      <c r="I322" s="11" t="inlineStr">
        <is>
          <t>1.2 Administració del lloc i comunicació amb les parts interessades</t>
        </is>
      </c>
      <c r="J322" s="12" t="n">
        <v>0</v>
      </c>
      <c r="K322" s="13" t="n">
        <v>0.25</v>
      </c>
      <c r="L322" s="11" t="inlineStr">
        <is>
          <t>Amb mitjans propis</t>
        </is>
      </c>
      <c r="M322" s="11" t="inlineStr">
        <is>
          <t>Marc Garriga Lujan</t>
        </is>
      </c>
      <c r="N322" s="11" t="inlineStr">
        <is>
          <t>Si</t>
        </is>
      </c>
      <c r="O322" s="15">
        <f>IF(COUNTIF(Objectius!$A$2:$A$183,D322)&gt;0,"Sí","No")</f>
        <v/>
      </c>
    </row>
    <row r="323">
      <c r="A323" s="11" t="inlineStr">
        <is>
          <t>26_GE_01</t>
        </is>
      </c>
      <c r="B323" s="11" t="inlineStr"/>
      <c r="C323" s="11" t="inlineStr">
        <is>
          <t>Creació i dinamització de la comissió ramadera del Parc</t>
        </is>
      </c>
      <c r="D323" s="11" t="inlineStr">
        <is>
          <t>15.1.1</t>
        </is>
      </c>
      <c r="E323" s="11" t="inlineStr"/>
      <c r="F323" s="11" t="inlineStr">
        <is>
          <t>7. Gestió i administració</t>
        </is>
      </c>
      <c r="G323" s="11" t="inlineStr">
        <is>
          <t>Altres</t>
        </is>
      </c>
      <c r="H323" s="11" t="inlineStr"/>
      <c r="I323" s="11" t="inlineStr">
        <is>
          <t>1.2 Administració del lloc i comunicació amb les parts interessades</t>
        </is>
      </c>
      <c r="J323" s="12" t="n">
        <v>0</v>
      </c>
      <c r="K323" s="13" t="n">
        <v>0.25</v>
      </c>
      <c r="L323" s="11" t="inlineStr">
        <is>
          <t>Amb mitjans propis</t>
        </is>
      </c>
      <c r="M323" s="11" t="inlineStr">
        <is>
          <t>Neus Artigas Piñero</t>
        </is>
      </c>
      <c r="N323" s="11" t="inlineStr">
        <is>
          <t>Si</t>
        </is>
      </c>
      <c r="O323" s="15">
        <f>IF(COUNTIF(Objectius!$A$2:$A$183,D323)&gt;0,"Sí","No")</f>
        <v/>
      </c>
    </row>
    <row r="324">
      <c r="A324" s="11" t="inlineStr">
        <is>
          <t>26_GE_02</t>
        </is>
      </c>
      <c r="B324" s="11" t="inlineStr"/>
      <c r="C324" s="11" t="inlineStr">
        <is>
          <t>Recuperar les reunions de la Comissió permanent del Parc</t>
        </is>
      </c>
      <c r="D324" s="11" t="inlineStr">
        <is>
          <t>15.1.1</t>
        </is>
      </c>
      <c r="E324" s="11" t="inlineStr"/>
      <c r="F324" s="11" t="inlineStr">
        <is>
          <t>7. Gestió i administració</t>
        </is>
      </c>
      <c r="G324" s="11" t="inlineStr">
        <is>
          <t>Altres</t>
        </is>
      </c>
      <c r="H324" s="11" t="inlineStr"/>
      <c r="I324" s="11" t="inlineStr">
        <is>
          <t>1.2 Administració del lloc i comunicació amb les parts interessades</t>
        </is>
      </c>
      <c r="J324" s="12" t="n">
        <v>0</v>
      </c>
      <c r="K324" s="13" t="n">
        <v>0.25</v>
      </c>
      <c r="L324" s="11" t="inlineStr">
        <is>
          <t>Amb mitjans propis</t>
        </is>
      </c>
      <c r="M324" s="11" t="inlineStr">
        <is>
          <t>Marc Garriga Lujan</t>
        </is>
      </c>
      <c r="N324" s="11" t="inlineStr">
        <is>
          <t>Si</t>
        </is>
      </c>
      <c r="O324" s="15">
        <f>IF(COUNTIF(Objectius!$A$2:$A$183,D324)&gt;0,"Sí","No")</f>
        <v/>
      </c>
    </row>
    <row r="325">
      <c r="A325" s="11" t="inlineStr">
        <is>
          <t>26_GE_03</t>
        </is>
      </c>
      <c r="B325" s="11" t="inlineStr"/>
      <c r="C325" s="11" t="inlineStr">
        <is>
          <t>Crear i convocar el Consell Municipal del Parc per donar més pes als ens locals, abans de cada junta rectora</t>
        </is>
      </c>
      <c r="D325" s="11" t="inlineStr">
        <is>
          <t>15.1.1</t>
        </is>
      </c>
      <c r="E325" s="11" t="inlineStr"/>
      <c r="F325" s="11" t="inlineStr">
        <is>
          <t>7. Gestió i administració</t>
        </is>
      </c>
      <c r="G325" s="11" t="inlineStr">
        <is>
          <t>Altres</t>
        </is>
      </c>
      <c r="H325" s="11" t="inlineStr"/>
      <c r="I325" s="11" t="inlineStr">
        <is>
          <t>1.2 Administració del lloc i comunicació amb les parts interessades</t>
        </is>
      </c>
      <c r="J325" s="12" t="n">
        <v>0</v>
      </c>
      <c r="K325" s="13" t="n">
        <v>0.25</v>
      </c>
      <c r="L325" s="11" t="inlineStr">
        <is>
          <t>Amb mitjans propis</t>
        </is>
      </c>
      <c r="M325" s="11" t="inlineStr">
        <is>
          <t>Marc Garriga Lujan</t>
        </is>
      </c>
      <c r="N325" s="11" t="inlineStr">
        <is>
          <t>Si</t>
        </is>
      </c>
      <c r="O325" s="15">
        <f>IF(COUNTIF(Objectius!$A$2:$A$183,D325)&gt;0,"Sí","No")</f>
        <v/>
      </c>
    </row>
    <row r="326">
      <c r="A326" s="11" t="inlineStr">
        <is>
          <t>26_GE_04</t>
        </is>
      </c>
      <c r="B326" s="11" t="inlineStr"/>
      <c r="C326" s="11" t="inlineStr">
        <is>
          <t>Creació d’una taula de treball tècnic transfronterer entre els equips de gestió del Parc Pirinenc de les Tres Nacions en el marc del POCTEFA PP3N i desenvolupar les accions previstes</t>
        </is>
      </c>
      <c r="D326" s="11" t="inlineStr">
        <is>
          <t>15.1.1</t>
        </is>
      </c>
      <c r="E326" s="11" t="inlineStr"/>
      <c r="F326" s="11" t="inlineStr">
        <is>
          <t>7. Gestió i administració</t>
        </is>
      </c>
      <c r="G326" s="11" t="inlineStr">
        <is>
          <t>Altres</t>
        </is>
      </c>
      <c r="H326" s="11" t="inlineStr"/>
      <c r="I326" s="11" t="inlineStr">
        <is>
          <t>1.2 Administració del lloc i comunicació amb les parts interessades</t>
        </is>
      </c>
      <c r="J326" s="12" t="n">
        <v>0</v>
      </c>
      <c r="K326" s="13" t="n">
        <v>0.25</v>
      </c>
      <c r="L326" s="11" t="inlineStr">
        <is>
          <t>Amb mitjans propis</t>
        </is>
      </c>
      <c r="M326" s="11" t="inlineStr">
        <is>
          <t>Marc Garriga Lujan</t>
        </is>
      </c>
      <c r="N326" s="11" t="inlineStr">
        <is>
          <t>No</t>
        </is>
      </c>
      <c r="O326" s="15">
        <f>IF(COUNTIF(Objectius!$A$2:$A$183,D326)&gt;0,"Sí","No")</f>
        <v/>
      </c>
    </row>
    <row r="327">
      <c r="A327" s="11" t="inlineStr">
        <is>
          <t>26_GE_05</t>
        </is>
      </c>
      <c r="B327" s="11" t="inlineStr"/>
      <c r="C327" s="11" t="inlineStr">
        <is>
          <t>Creació d’una taula de treball tècnic transfronterer entre els equips de gestió del Parc Pirinenc de les Tres Nacions en el marc del POCTEFA PP3N i desenvolupar les accions previstes - realització d'una maqueta 3D del PP3N</t>
        </is>
      </c>
      <c r="D327" s="11" t="inlineStr">
        <is>
          <t>15.1.1</t>
        </is>
      </c>
      <c r="E327" s="11" t="inlineStr"/>
      <c r="F327" s="11" t="inlineStr">
        <is>
          <t>7. Gestió i administració</t>
        </is>
      </c>
      <c r="G327" s="11" t="inlineStr">
        <is>
          <t>Contracte menor des de la DG</t>
        </is>
      </c>
      <c r="H327" s="11" t="inlineStr"/>
      <c r="I327" s="11" t="inlineStr">
        <is>
          <t>1.5 Mesures de comunicació i sensibilització, educació i accés de visitants relacionades amb Natura 2000</t>
        </is>
      </c>
      <c r="J327" s="12" t="n">
        <v>14520</v>
      </c>
      <c r="K327" s="13" t="n">
        <v>0.25</v>
      </c>
      <c r="L327" s="11" t="inlineStr"/>
      <c r="M327" s="11" t="inlineStr">
        <is>
          <t>Pol Alcalde Floriach</t>
        </is>
      </c>
      <c r="N327" s="11" t="inlineStr">
        <is>
          <t>No</t>
        </is>
      </c>
      <c r="O327" s="15">
        <f>IF(COUNTIF(Objectius!$A$2:$A$183,D327)&gt;0,"Sí","No")</f>
        <v/>
      </c>
    </row>
    <row r="328">
      <c r="A328" s="11" t="inlineStr">
        <is>
          <t>26_GE_06</t>
        </is>
      </c>
      <c r="B328" s="11" t="inlineStr"/>
      <c r="C328" s="11" t="inlineStr">
        <is>
          <t>Dinamització de la comissió científica del Parc ja existent</t>
        </is>
      </c>
      <c r="D328" s="11" t="inlineStr">
        <is>
          <t>15.1.2</t>
        </is>
      </c>
      <c r="E328" s="11" t="inlineStr"/>
      <c r="F328" s="11" t="inlineStr">
        <is>
          <t>7. Gestió i administració</t>
        </is>
      </c>
      <c r="G328" s="11" t="inlineStr">
        <is>
          <t>Altres</t>
        </is>
      </c>
      <c r="H328" s="11" t="inlineStr"/>
      <c r="I328" s="11" t="inlineStr">
        <is>
          <t>1.2 Administració del lloc i comunicació amb les parts interessades</t>
        </is>
      </c>
      <c r="J328" s="12" t="n">
        <v>0</v>
      </c>
      <c r="K328" s="13" t="n">
        <v>0.25</v>
      </c>
      <c r="L328" s="11" t="inlineStr">
        <is>
          <t>Amb mitjans propis</t>
        </is>
      </c>
      <c r="M328" s="11" t="inlineStr">
        <is>
          <t>Oriol Grau Fernandez</t>
        </is>
      </c>
      <c r="N328" s="11" t="inlineStr">
        <is>
          <t>Si</t>
        </is>
      </c>
      <c r="O328" s="15">
        <f>IF(COUNTIF(Objectius!$A$2:$A$183,D328)&gt;0,"Sí","No")</f>
        <v/>
      </c>
    </row>
    <row r="329">
      <c r="A329" s="11" t="inlineStr">
        <is>
          <t>26_GE_07</t>
        </is>
      </c>
      <c r="B329" s="11" t="n">
        <v>56</v>
      </c>
      <c r="C329" s="11" t="inlineStr">
        <is>
          <t>Aplicació del manual per al règim de gestió econòmica als ENP per traspassar dades al RAE - despeses de serveis bancaris</t>
        </is>
      </c>
      <c r="D329" s="11" t="inlineStr">
        <is>
          <t>16.1.1</t>
        </is>
      </c>
      <c r="E329" s="11" t="inlineStr"/>
      <c r="F329" s="11" t="inlineStr">
        <is>
          <t>7. Gestió i administració</t>
        </is>
      </c>
      <c r="G329" s="11" t="inlineStr">
        <is>
          <t>Contracte menor a càrrec del RAE</t>
        </is>
      </c>
      <c r="H329" s="11" t="inlineStr">
        <is>
          <t>226.0039 - Despeses per serveis bancàris</t>
        </is>
      </c>
      <c r="I329" s="11" t="inlineStr">
        <is>
          <t>1.2 Administració del lloc i comunicació amb les parts interessades</t>
        </is>
      </c>
      <c r="J329" s="12" t="n">
        <v>1000</v>
      </c>
      <c r="K329" s="13" t="n">
        <v>0.25</v>
      </c>
      <c r="L329" s="11" t="inlineStr"/>
      <c r="M329" s="11" t="inlineStr">
        <is>
          <t>Daniel Maresma Fernandez</t>
        </is>
      </c>
      <c r="N329" s="11" t="inlineStr">
        <is>
          <t>Si</t>
        </is>
      </c>
      <c r="O329" s="15">
        <f>IF(COUNTIF(Objectius!$A$2:$A$183,D329)&gt;0,"Sí","No")</f>
        <v/>
      </c>
    </row>
    <row r="330">
      <c r="A330" s="11" t="inlineStr">
        <is>
          <t>26_GE_08</t>
        </is>
      </c>
      <c r="B330" s="11" t="n">
        <v>96</v>
      </c>
      <c r="C330" s="11" t="inlineStr">
        <is>
          <t>Aplicació del manual per al règim de gestió econòmica als ENP per traspassar dades al RAE - serveis de gestoria</t>
        </is>
      </c>
      <c r="D330" s="11" t="inlineStr">
        <is>
          <t>16.1.1</t>
        </is>
      </c>
      <c r="E330" s="11" t="inlineStr"/>
      <c r="F330" s="11" t="inlineStr">
        <is>
          <t>7. Gestió i administració</t>
        </is>
      </c>
      <c r="G330" s="11" t="inlineStr">
        <is>
          <t>Contracte menor a càrrec del RAE</t>
        </is>
      </c>
      <c r="H330" s="11" t="inlineStr">
        <is>
          <t>227.0089 - Altres treballs realitzats per persones físiques o jurídiques</t>
        </is>
      </c>
      <c r="I330" s="11" t="inlineStr">
        <is>
          <t>1.2 Administració del lloc i comunicació amb les parts interessades</t>
        </is>
      </c>
      <c r="J330" s="12" t="n">
        <v>775</v>
      </c>
      <c r="K330" s="13" t="n">
        <v>0.25</v>
      </c>
      <c r="L330" s="11" t="inlineStr"/>
      <c r="M330" s="11" t="inlineStr">
        <is>
          <t>Daniel Maresma Fernandez</t>
        </is>
      </c>
      <c r="N330" s="11" t="inlineStr">
        <is>
          <t>Si</t>
        </is>
      </c>
      <c r="O330" s="15">
        <f>IF(COUNTIF(Objectius!$A$2:$A$183,D330)&gt;0,"Sí","No")</f>
        <v/>
      </c>
    </row>
    <row r="331">
      <c r="A331" s="11" t="inlineStr">
        <is>
          <t>26_GE_09</t>
        </is>
      </c>
      <c r="B331" s="11" t="inlineStr"/>
      <c r="C331" s="11" t="inlineStr">
        <is>
          <t>Participació dels espais de coordinació entre ENP per identificar les despeses comunes tramitables a càrrec del pressupost de la DG</t>
        </is>
      </c>
      <c r="D331" s="11" t="inlineStr">
        <is>
          <t>16.1.1</t>
        </is>
      </c>
      <c r="E331" s="11" t="inlineStr"/>
      <c r="F331" s="11" t="inlineStr">
        <is>
          <t>7. Gestió i administració</t>
        </is>
      </c>
      <c r="G331" s="11" t="inlineStr">
        <is>
          <t>Altres</t>
        </is>
      </c>
      <c r="H331" s="11" t="inlineStr"/>
      <c r="I331" s="11" t="inlineStr">
        <is>
          <t>1.2 Administració del lloc i comunicació amb les parts interessades</t>
        </is>
      </c>
      <c r="J331" s="12" t="n">
        <v>0</v>
      </c>
      <c r="K331" s="13" t="n">
        <v>0.25</v>
      </c>
      <c r="L331" s="11" t="inlineStr">
        <is>
          <t>Amb mitjans propis</t>
        </is>
      </c>
      <c r="M331" s="11" t="inlineStr">
        <is>
          <t>Marc Garriga Lujan</t>
        </is>
      </c>
      <c r="N331" s="11" t="inlineStr">
        <is>
          <t>No</t>
        </is>
      </c>
      <c r="O331" s="15">
        <f>IF(COUNTIF(Objectius!$A$2:$A$183,D331)&gt;0,"Sí","No")</f>
        <v/>
      </c>
    </row>
    <row r="332">
      <c r="A332" s="11" t="inlineStr">
        <is>
          <t>26_GE_10</t>
        </is>
      </c>
      <c r="B332" s="11" t="inlineStr"/>
      <c r="C332" s="11" t="inlineStr">
        <is>
          <t>Participar amb el SENP en la redacció de les bases reguladores dels ajuts per tal que s’ampliin els criteris dels ajuts i es pugui invertir també al sòl urbà fora del límit del Parc per accions vinculades a aquest</t>
        </is>
      </c>
      <c r="D332" s="11" t="inlineStr">
        <is>
          <t>16.2.2</t>
        </is>
      </c>
      <c r="E332" s="11" t="inlineStr"/>
      <c r="F332" s="11" t="inlineStr">
        <is>
          <t>7. Gestió i administració</t>
        </is>
      </c>
      <c r="G332" s="11" t="inlineStr">
        <is>
          <t>Altres</t>
        </is>
      </c>
      <c r="H332" s="11" t="inlineStr"/>
      <c r="I332" s="11" t="inlineStr">
        <is>
          <t>1.2 Administració del lloc i comunicació amb les parts interessades</t>
        </is>
      </c>
      <c r="J332" s="12" t="n">
        <v>0</v>
      </c>
      <c r="K332" s="13" t="n">
        <v>0.25</v>
      </c>
      <c r="L332" s="11" t="inlineStr">
        <is>
          <t>Amb mitjans propis</t>
        </is>
      </c>
      <c r="M332" s="11" t="inlineStr">
        <is>
          <t>Marc Garriga Lujan</t>
        </is>
      </c>
      <c r="N332" s="11" t="inlineStr">
        <is>
          <t>No</t>
        </is>
      </c>
      <c r="O332" s="15">
        <f>IF(COUNTIF(Objectius!$A$2:$A$183,D332)&gt;0,"Sí","No")</f>
        <v/>
      </c>
    </row>
    <row r="333">
      <c r="A333" s="11" t="inlineStr">
        <is>
          <t>26_GE_11</t>
        </is>
      </c>
      <c r="B333" s="11" t="inlineStr"/>
      <c r="C333" s="11" t="inlineStr">
        <is>
          <t>Manteniment d'una comunicació continuada amb l'UGA.</t>
        </is>
      </c>
      <c r="D333" s="11" t="inlineStr">
        <is>
          <t>16.3.1</t>
        </is>
      </c>
      <c r="E333" s="11" t="inlineStr"/>
      <c r="F333" s="11" t="inlineStr">
        <is>
          <t>7. Gestió i administració</t>
        </is>
      </c>
      <c r="G333" s="11" t="inlineStr">
        <is>
          <t>Altres</t>
        </is>
      </c>
      <c r="H333" s="11" t="inlineStr"/>
      <c r="I333" s="11" t="inlineStr">
        <is>
          <t>1.2 Administració del lloc i comunicació amb les parts interessades</t>
        </is>
      </c>
      <c r="J333" s="12" t="n">
        <v>0</v>
      </c>
      <c r="K333" s="13" t="n">
        <v>0.25</v>
      </c>
      <c r="L333" s="11" t="inlineStr">
        <is>
          <t>Amb mitjans propis</t>
        </is>
      </c>
      <c r="M333" s="11" t="inlineStr">
        <is>
          <t>Daniel Maresma Fernandez</t>
        </is>
      </c>
      <c r="N333" s="11" t="inlineStr">
        <is>
          <t>Si</t>
        </is>
      </c>
      <c r="O333" s="15">
        <f>IF(COUNTIF(Objectius!$A$2:$A$183,D333)&gt;0,"Sí","No")</f>
        <v/>
      </c>
    </row>
    <row r="334">
      <c r="A334" s="11" t="inlineStr">
        <is>
          <t>26_GE_12</t>
        </is>
      </c>
      <c r="B334" s="11" t="inlineStr"/>
      <c r="C334" s="11" t="inlineStr">
        <is>
          <t>Formació interna de l'equip administratiu de l'ENP per adquirir coneixements bàsics en temes prioritaris (comptabilitat, contractació, tramitació electrònica, accessibilitat i transparència, propietat intel·lectual) i processos de tramitació (CQS, peticions informació genèrica, sol·licituds accés informació ambiental)</t>
        </is>
      </c>
      <c r="D334" s="11" t="inlineStr">
        <is>
          <t>16.3.3</t>
        </is>
      </c>
      <c r="E334" s="11" t="inlineStr"/>
      <c r="F334" s="11" t="inlineStr">
        <is>
          <t>7. Gestió i administració</t>
        </is>
      </c>
      <c r="G334" s="11" t="inlineStr">
        <is>
          <t>Altres</t>
        </is>
      </c>
      <c r="H334" s="11" t="inlineStr"/>
      <c r="I334" s="11" t="inlineStr">
        <is>
          <t>1.2 Administració del lloc i comunicació amb les parts interessades</t>
        </is>
      </c>
      <c r="J334" s="12" t="n">
        <v>0</v>
      </c>
      <c r="K334" s="13" t="n">
        <v>0.25</v>
      </c>
      <c r="L334" s="11" t="inlineStr">
        <is>
          <t>Amb mitjans propis</t>
        </is>
      </c>
      <c r="M334" s="11" t="inlineStr">
        <is>
          <t>Marc Garriga Lujan</t>
        </is>
      </c>
      <c r="N334" s="11" t="inlineStr">
        <is>
          <t>Si</t>
        </is>
      </c>
      <c r="O334" s="15">
        <f>IF(COUNTIF(Objectius!$A$2:$A$183,D334)&gt;0,"Sí","No")</f>
        <v/>
      </c>
    </row>
    <row r="335">
      <c r="A335" s="11" t="inlineStr">
        <is>
          <t>26_GE_13</t>
        </is>
      </c>
      <c r="B335" s="11" t="inlineStr"/>
      <c r="C335" s="11" t="inlineStr">
        <is>
          <t>Atendre les sol·licituds d'informació</t>
        </is>
      </c>
      <c r="D335" s="11" t="inlineStr">
        <is>
          <t>16.3.4</t>
        </is>
      </c>
      <c r="E335" s="11" t="inlineStr"/>
      <c r="F335" s="11" t="inlineStr">
        <is>
          <t>7. Gestió i administració</t>
        </is>
      </c>
      <c r="G335" s="11" t="inlineStr">
        <is>
          <t>Altres</t>
        </is>
      </c>
      <c r="H335" s="11" t="inlineStr"/>
      <c r="I335" s="11" t="inlineStr">
        <is>
          <t>1.2 Administració del lloc i comunicació amb les parts interessades</t>
        </is>
      </c>
      <c r="J335" s="12" t="n">
        <v>0</v>
      </c>
      <c r="K335" s="13" t="n">
        <v>0.25</v>
      </c>
      <c r="L335" s="11" t="inlineStr">
        <is>
          <t>Amb mitjans propis</t>
        </is>
      </c>
      <c r="M335" s="11" t="inlineStr">
        <is>
          <t>Maria de las Merce Frade Palau</t>
        </is>
      </c>
      <c r="N335" s="11" t="inlineStr">
        <is>
          <t>No</t>
        </is>
      </c>
      <c r="O335" s="15">
        <f>IF(COUNTIF(Objectius!$A$2:$A$183,D335)&gt;0,"Sí","No")</f>
        <v/>
      </c>
    </row>
    <row r="336">
      <c r="A336" s="11" t="inlineStr">
        <is>
          <t>26_GE_14</t>
        </is>
      </c>
      <c r="B336" s="11" t="inlineStr"/>
      <c r="C336" s="11" t="inlineStr">
        <is>
          <t>Millora del material i els serveis informàtics</t>
        </is>
      </c>
      <c r="D336" s="11" t="inlineStr">
        <is>
          <t>16.3.5</t>
        </is>
      </c>
      <c r="E336" s="11" t="inlineStr"/>
      <c r="F336" s="11" t="inlineStr">
        <is>
          <t>7. Gestió i administració</t>
        </is>
      </c>
      <c r="G336" s="11" t="inlineStr">
        <is>
          <t>Altres</t>
        </is>
      </c>
      <c r="H336" s="11" t="inlineStr"/>
      <c r="I336" s="11" t="inlineStr">
        <is>
          <t>1.2 Administració del lloc i comunicació amb les parts interessades</t>
        </is>
      </c>
      <c r="J336" s="12" t="n">
        <v>0</v>
      </c>
      <c r="K336" s="13" t="n">
        <v>0.25</v>
      </c>
      <c r="L336" s="11" t="inlineStr">
        <is>
          <t>Amb mitjans propis</t>
        </is>
      </c>
      <c r="M336" s="11" t="inlineStr">
        <is>
          <t>Marc Garriga Lujan</t>
        </is>
      </c>
      <c r="N336" s="11" t="inlineStr">
        <is>
          <t>No</t>
        </is>
      </c>
      <c r="O336" s="15">
        <f>IF(COUNTIF(Objectius!$A$2:$A$183,D336)&gt;0,"Sí","No")</f>
        <v/>
      </c>
    </row>
    <row r="337">
      <c r="A337" s="11" t="inlineStr">
        <is>
          <t>26_GE_15</t>
        </is>
      </c>
      <c r="B337" s="11" t="n">
        <v>12</v>
      </c>
      <c r="C337" s="11" t="inlineStr">
        <is>
          <t>Compra de material d'oficina</t>
        </is>
      </c>
      <c r="D337" s="11" t="inlineStr">
        <is>
          <t>16.3.5</t>
        </is>
      </c>
      <c r="E337" s="11" t="inlineStr"/>
      <c r="F337" s="11" t="inlineStr">
        <is>
          <t>7. Gestió i administració</t>
        </is>
      </c>
      <c r="G337" s="11" t="inlineStr">
        <is>
          <t>Contracte menor a càrrec del RAE</t>
        </is>
      </c>
      <c r="H337" s="11" t="inlineStr">
        <is>
          <t>220.0001 - Material ordinari no inventariable</t>
        </is>
      </c>
      <c r="I337" s="11" t="inlineStr">
        <is>
          <t>1.2 Administració del lloc i comunicació amb les parts interessades</t>
        </is>
      </c>
      <c r="J337" s="12" t="n">
        <v>1000</v>
      </c>
      <c r="K337" s="13" t="n">
        <v>0.25</v>
      </c>
      <c r="L337" s="11" t="inlineStr"/>
      <c r="M337" s="11" t="inlineStr">
        <is>
          <t>Daniel Maresma Fernandez</t>
        </is>
      </c>
      <c r="N337" s="11" t="inlineStr">
        <is>
          <t>No</t>
        </is>
      </c>
      <c r="O337" s="15">
        <f>IF(COUNTIF(Objectius!$A$2:$A$183,D337)&gt;0,"Sí","No")</f>
        <v/>
      </c>
    </row>
    <row r="338">
      <c r="A338" s="11" t="inlineStr">
        <is>
          <t>26_GE_16</t>
        </is>
      </c>
      <c r="B338" s="11" t="n">
        <v>168</v>
      </c>
      <c r="C338" s="11" t="inlineStr">
        <is>
          <t>Reparació i millora del material de la brigada - Reparació de maquinària forestal</t>
        </is>
      </c>
      <c r="D338" s="11" t="inlineStr">
        <is>
          <t>16.3.5</t>
        </is>
      </c>
      <c r="E338" s="11" t="inlineStr"/>
      <c r="F338" s="11" t="inlineStr">
        <is>
          <t>7. Gestió i administració</t>
        </is>
      </c>
      <c r="G338" s="11" t="inlineStr">
        <is>
          <t>Contracte menor a càrrec del RAE</t>
        </is>
      </c>
      <c r="H338" s="11" t="inlineStr">
        <is>
          <t>213.0001 - Conservació, reparació i manteniment d'altre immobilitzat material</t>
        </is>
      </c>
      <c r="I338" s="11" t="inlineStr">
        <is>
          <t>1.2 Administració del lloc i comunicació amb les parts interessades</t>
        </is>
      </c>
      <c r="J338" s="12" t="n">
        <v>250</v>
      </c>
      <c r="K338" s="13" t="n">
        <v>0.25</v>
      </c>
      <c r="L338" s="11" t="inlineStr">
        <is>
          <t>RAE i a través contracte manteniment FC</t>
        </is>
      </c>
      <c r="M338" s="11" t="inlineStr">
        <is>
          <t>Nil Bacardit Tudela</t>
        </is>
      </c>
      <c r="N338" s="11" t="inlineStr">
        <is>
          <t>No</t>
        </is>
      </c>
      <c r="O338" s="15">
        <f>IF(COUNTIF(Objectius!$A$2:$A$183,D338)&gt;0,"Sí","No")</f>
        <v/>
      </c>
    </row>
    <row r="339">
      <c r="A339" s="11" t="inlineStr">
        <is>
          <t>26_GE_17</t>
        </is>
      </c>
      <c r="B339" s="11" t="n">
        <v>155</v>
      </c>
      <c r="C339" s="11" t="inlineStr">
        <is>
          <t>Catalogar i digitalitzar el fons documental.</t>
        </is>
      </c>
      <c r="D339" s="11" t="inlineStr">
        <is>
          <t>16.5.1</t>
        </is>
      </c>
      <c r="E339" s="11" t="inlineStr"/>
      <c r="F339" s="11" t="inlineStr">
        <is>
          <t>7. Gestió i administració</t>
        </is>
      </c>
      <c r="G339" s="11" t="inlineStr">
        <is>
          <t>Contracte menor a càrrec del RAE</t>
        </is>
      </c>
      <c r="H339" s="11" t="inlineStr">
        <is>
          <t>227.0089 - Altres treballs realitzats per persones físiques o jurídiques</t>
        </is>
      </c>
      <c r="I339" s="11" t="inlineStr">
        <is>
          <t>1.2 Administració del lloc i comunicació amb les parts interessades</t>
        </is>
      </c>
      <c r="J339" s="12" t="n">
        <v>4000</v>
      </c>
      <c r="K339" s="13" t="n">
        <v>0.25</v>
      </c>
      <c r="L339" s="11" t="inlineStr"/>
      <c r="M339" s="11" t="inlineStr">
        <is>
          <t>Marc Garriga Lujan</t>
        </is>
      </c>
      <c r="N339" s="11" t="inlineStr">
        <is>
          <t>Si</t>
        </is>
      </c>
      <c r="O339" s="15">
        <f>IF(COUNTIF(Objectius!$A$2:$A$183,D339)&gt;0,"Sí","No")</f>
        <v/>
      </c>
    </row>
    <row r="340">
      <c r="A340" s="11" t="inlineStr">
        <is>
          <t>26_GE_18</t>
        </is>
      </c>
      <c r="B340" s="11" t="inlineStr"/>
      <c r="C340" s="11" t="inlineStr">
        <is>
          <t>Redacció i difusió Plans periòdics del Servei de Manteniment</t>
        </is>
      </c>
      <c r="D340" s="11" t="inlineStr">
        <is>
          <t>16.6.1</t>
        </is>
      </c>
      <c r="E340" s="11" t="inlineStr"/>
      <c r="F340" s="11" t="inlineStr">
        <is>
          <t>7. Gestió i administració</t>
        </is>
      </c>
      <c r="G340" s="11" t="inlineStr">
        <is>
          <t>Altres</t>
        </is>
      </c>
      <c r="H340" s="11" t="inlineStr"/>
      <c r="I340" s="11" t="inlineStr">
        <is>
          <t>1.2 Administració del lloc i comunicació amb les parts interessades</t>
        </is>
      </c>
      <c r="J340" s="12" t="n">
        <v>0</v>
      </c>
      <c r="K340" s="13" t="n">
        <v>0.25</v>
      </c>
      <c r="L340" s="11" t="inlineStr">
        <is>
          <t>Amb mitjans propis</t>
        </is>
      </c>
      <c r="M340" s="11" t="inlineStr">
        <is>
          <t>Nil Bacardit Tudela</t>
        </is>
      </c>
      <c r="N340" s="11" t="inlineStr">
        <is>
          <t>Si</t>
        </is>
      </c>
      <c r="O340" s="15">
        <f>IF(COUNTIF(Objectius!$A$2:$A$183,D340)&gt;0,"Sí","No")</f>
        <v/>
      </c>
    </row>
    <row r="341">
      <c r="A341" s="11" t="inlineStr">
        <is>
          <t>26_GE_19</t>
        </is>
      </c>
      <c r="B341" s="11" t="inlineStr"/>
      <c r="C341" s="11" t="inlineStr">
        <is>
          <t>Millorar la comunicació directe amb els representants dels ens locals de les actuacions de la brigada que es duen a terme al seus municipis</t>
        </is>
      </c>
      <c r="D341" s="11" t="inlineStr">
        <is>
          <t>16.6.1</t>
        </is>
      </c>
      <c r="E341" s="11" t="inlineStr"/>
      <c r="F341" s="11" t="inlineStr">
        <is>
          <t>7. Gestió i administració</t>
        </is>
      </c>
      <c r="G341" s="11" t="inlineStr">
        <is>
          <t>Altres</t>
        </is>
      </c>
      <c r="H341" s="11" t="inlineStr"/>
      <c r="I341" s="11" t="inlineStr">
        <is>
          <t>1.2 Administració del lloc i comunicació amb les parts interessades</t>
        </is>
      </c>
      <c r="J341" s="12" t="n">
        <v>0</v>
      </c>
      <c r="K341" s="13" t="n">
        <v>0.25</v>
      </c>
      <c r="L341" s="11" t="inlineStr">
        <is>
          <t>Amb mitjans propis</t>
        </is>
      </c>
      <c r="M341" s="11" t="inlineStr">
        <is>
          <t>Marc Garriga Lujan</t>
        </is>
      </c>
      <c r="N341" s="11" t="inlineStr">
        <is>
          <t>No</t>
        </is>
      </c>
      <c r="O341" s="15">
        <f>IF(COUNTIF(Objectius!$A$2:$A$183,D341)&gt;0,"Sí","No")</f>
        <v/>
      </c>
    </row>
    <row r="342">
      <c r="A342" s="11" t="inlineStr">
        <is>
          <t>26_GE_20</t>
        </is>
      </c>
      <c r="B342" s="11" t="inlineStr"/>
      <c r="C342" s="11" t="inlineStr">
        <is>
          <t>Contractes de despesa de material pel manteniment i millora per la brigada</t>
        </is>
      </c>
      <c r="D342" s="11" t="inlineStr">
        <is>
          <t>16.6.1</t>
        </is>
      </c>
      <c r="E342" s="11" t="inlineStr"/>
      <c r="F342" s="11" t="inlineStr">
        <is>
          <t>7. Gestió i administració</t>
        </is>
      </c>
      <c r="G342" s="11" t="inlineStr">
        <is>
          <t>Altres</t>
        </is>
      </c>
      <c r="H342" s="11" t="inlineStr"/>
      <c r="I342" s="11" t="inlineStr">
        <is>
          <t>1.2 Administració del lloc i comunicació amb les parts interessades</t>
        </is>
      </c>
      <c r="J342" s="12" t="n">
        <v>0</v>
      </c>
      <c r="K342" s="13" t="n">
        <v>0.25</v>
      </c>
      <c r="L342" s="11" t="inlineStr">
        <is>
          <t>A través del contracte de mantneiment FC</t>
        </is>
      </c>
      <c r="M342" s="11" t="inlineStr">
        <is>
          <t>Nil Bacardit Tudela</t>
        </is>
      </c>
      <c r="N342" s="11" t="inlineStr">
        <is>
          <t>Si</t>
        </is>
      </c>
      <c r="O342" s="15">
        <f>IF(COUNTIF(Objectius!$A$2:$A$183,D342)&gt;0,"Sí","No")</f>
        <v/>
      </c>
    </row>
    <row r="343">
      <c r="A343" s="11" t="inlineStr">
        <is>
          <t>26_GE_21</t>
        </is>
      </c>
      <c r="B343" s="11" t="inlineStr"/>
      <c r="C343" s="11" t="inlineStr">
        <is>
          <t>Dotació de dues persones per àrea en l'organigrama del parc natural</t>
        </is>
      </c>
      <c r="D343" s="11" t="inlineStr">
        <is>
          <t>16.6.2</t>
        </is>
      </c>
      <c r="E343" s="11" t="inlineStr"/>
      <c r="F343" s="11" t="inlineStr">
        <is>
          <t>7. Gestió i administració</t>
        </is>
      </c>
      <c r="G343" s="11" t="inlineStr">
        <is>
          <t>Altres</t>
        </is>
      </c>
      <c r="H343" s="11" t="inlineStr"/>
      <c r="I343" s="11" t="inlineStr">
        <is>
          <t>1.2 Administració del lloc i comunicació amb les parts interessades</t>
        </is>
      </c>
      <c r="J343" s="12" t="n">
        <v>0</v>
      </c>
      <c r="K343" s="13" t="n">
        <v>0.25</v>
      </c>
      <c r="L343" s="11" t="inlineStr">
        <is>
          <t>Amb mitjans propis</t>
        </is>
      </c>
      <c r="M343" s="11" t="inlineStr">
        <is>
          <t>Marc Garriga Lujan</t>
        </is>
      </c>
      <c r="N343" s="11" t="inlineStr">
        <is>
          <t>No</t>
        </is>
      </c>
      <c r="O343" s="15">
        <f>IF(COUNTIF(Objectius!$A$2:$A$183,D343)&gt;0,"Sí","No")</f>
        <v/>
      </c>
    </row>
    <row r="344">
      <c r="A344" s="11" t="inlineStr">
        <is>
          <t>26_GE_22</t>
        </is>
      </c>
      <c r="B344" s="11" t="n">
        <v>17</v>
      </c>
      <c r="C344" s="11" t="inlineStr">
        <is>
          <t>Dotació i manteniment de vehicles necessaris per garantir la mobilitat i l'execució de les tasques programades del personals del parc -combustible per vehicles</t>
        </is>
      </c>
      <c r="D344" s="11" t="inlineStr">
        <is>
          <t>16.6.2</t>
        </is>
      </c>
      <c r="E344" s="11" t="inlineStr"/>
      <c r="F344" s="11" t="inlineStr">
        <is>
          <t>7. Gestió i administració</t>
        </is>
      </c>
      <c r="G344" s="11" t="inlineStr">
        <is>
          <t>Contracte menor a càrrec del RAE</t>
        </is>
      </c>
      <c r="H344" s="11" t="inlineStr">
        <is>
          <t>221.0002 - Combustible per a mitjans de transport</t>
        </is>
      </c>
      <c r="I344" s="11" t="inlineStr">
        <is>
          <t>1.2 Administració del lloc i comunicació amb les parts interessades</t>
        </is>
      </c>
      <c r="J344" s="12" t="n">
        <v>2500</v>
      </c>
      <c r="K344" s="13" t="n">
        <v>0.25</v>
      </c>
      <c r="L344" s="11" t="inlineStr"/>
      <c r="M344" s="11" t="inlineStr">
        <is>
          <t>Daniel Maresma Fernandez</t>
        </is>
      </c>
      <c r="N344" s="11" t="inlineStr">
        <is>
          <t>Si</t>
        </is>
      </c>
      <c r="O344" s="15">
        <f>IF(COUNTIF(Objectius!$A$2:$A$183,D344)&gt;0,"Sí","No")</f>
        <v/>
      </c>
    </row>
    <row r="345">
      <c r="A345" s="11" t="inlineStr">
        <is>
          <t>26_GE_23</t>
        </is>
      </c>
      <c r="B345" s="11" t="n">
        <v>59</v>
      </c>
      <c r="C345" s="11" t="inlineStr">
        <is>
          <t>Dotació i manteniment de vehicles necessaris per garantir la mobilitat i l'execució de les tasques programades del personals del parc - neteja de vehicles</t>
        </is>
      </c>
      <c r="D345" s="11" t="inlineStr">
        <is>
          <t>16.6.2</t>
        </is>
      </c>
      <c r="E345" s="11" t="inlineStr"/>
      <c r="F345" s="11" t="inlineStr">
        <is>
          <t>7. Gestió i administració</t>
        </is>
      </c>
      <c r="G345" s="11" t="inlineStr">
        <is>
          <t>Contracte menor a càrrec del RAE</t>
        </is>
      </c>
      <c r="H345" s="11" t="inlineStr">
        <is>
          <t>227.0001 - Neteja i sanejament</t>
        </is>
      </c>
      <c r="I345" s="11" t="inlineStr">
        <is>
          <t>1.2 Administració del lloc i comunicació amb les parts interessades</t>
        </is>
      </c>
      <c r="J345" s="12" t="n">
        <v>200</v>
      </c>
      <c r="K345" s="13" t="n">
        <v>0.25</v>
      </c>
      <c r="L345" s="11" t="inlineStr"/>
      <c r="M345" s="11" t="inlineStr">
        <is>
          <t>Daniel Maresma Fernandez</t>
        </is>
      </c>
      <c r="N345" s="11" t="inlineStr">
        <is>
          <t>Si</t>
        </is>
      </c>
      <c r="O345" s="15">
        <f>IF(COUNTIF(Objectius!$A$2:$A$183,D345)&gt;0,"Sí","No")</f>
        <v/>
      </c>
    </row>
    <row r="346">
      <c r="A346" s="11" t="inlineStr">
        <is>
          <t>26_GE_24</t>
        </is>
      </c>
      <c r="B346" s="11" t="n">
        <v>18</v>
      </c>
      <c r="C346" s="11" t="inlineStr">
        <is>
          <t>Dotació del personal del vestuari i EPIs reglementaris</t>
        </is>
      </c>
      <c r="D346" s="11" t="inlineStr">
        <is>
          <t>16.6.2</t>
        </is>
      </c>
      <c r="E346" s="11" t="inlineStr"/>
      <c r="F346" s="11" t="inlineStr">
        <is>
          <t>7. Gestió i administració</t>
        </is>
      </c>
      <c r="G346" s="11" t="inlineStr">
        <is>
          <t>Contracte menor a càrrec del RAE</t>
        </is>
      </c>
      <c r="H346" s="11" t="inlineStr">
        <is>
          <t>221.0003 - Vestuari</t>
        </is>
      </c>
      <c r="I346" s="11" t="inlineStr">
        <is>
          <t>1.2 Administració del lloc i comunicació amb les parts interessades</t>
        </is>
      </c>
      <c r="J346" s="12" t="n">
        <v>800</v>
      </c>
      <c r="K346" s="13" t="n">
        <v>0.25</v>
      </c>
      <c r="L346" s="11" t="inlineStr"/>
      <c r="M346" s="11" t="inlineStr">
        <is>
          <t>Daniel Maresma Fernandez</t>
        </is>
      </c>
      <c r="N346" s="11" t="inlineStr">
        <is>
          <t>No</t>
        </is>
      </c>
      <c r="O346" s="15">
        <f>IF(COUNTIF(Objectius!$A$2:$A$183,D346)&gt;0,"Sí","No")</f>
        <v/>
      </c>
    </row>
  </sheetData>
  <autoFilter ref="A4:O346"/>
  <pageMargins left="0.75" right="0.75" top="1" bottom="1" header="0.5" footer="0.5"/>
</worksheet>
</file>

<file path=xl/worksheets/sheet5.xml><?xml version="1.0" encoding="utf-8"?>
<worksheet xmlns="http://schemas.openxmlformats.org/spreadsheetml/2006/main">
  <sheetPr>
    <tabColor rgb="009E9E9E"/>
    <outlinePr summaryBelow="1" summaryRight="1"/>
    <pageSetUpPr/>
  </sheetPr>
  <dimension ref="A1:G40"/>
  <sheetViews>
    <sheetView workbookViewId="0">
      <selection activeCell="A1" sqref="A1"/>
    </sheetView>
  </sheetViews>
  <sheetFormatPr baseColWidth="8" defaultRowHeight="15"/>
  <cols>
    <col width="38" customWidth="1" min="1" max="1"/>
    <col width="70" customWidth="1" min="2" max="2"/>
    <col width="36" customWidth="1" min="3" max="3"/>
    <col width="9" customWidth="1" min="4" max="4"/>
    <col width="60" customWidth="1" min="5" max="5"/>
    <col width="18" customWidth="1" min="6" max="6"/>
    <col width="8" customWidth="1" min="7" max="7"/>
  </cols>
  <sheetData>
    <row r="1" ht="48" customHeight="1">
      <c r="A1" s="9" t="inlineStr">
        <is>
          <t>Tipus de despesa</t>
        </is>
      </c>
      <c r="B1" s="9" t="inlineStr">
        <is>
          <t>Tipologia MAP</t>
        </is>
      </c>
      <c r="C1" s="9" t="inlineStr">
        <is>
          <t>Eix</t>
        </is>
      </c>
      <c r="D1" s="9" t="inlineStr">
        <is>
          <t>Codi eix</t>
        </is>
      </c>
      <c r="E1" s="9" t="inlineStr">
        <is>
          <t>Partides RAE</t>
        </is>
      </c>
      <c r="F1" s="9" t="inlineStr">
        <is>
          <t>Naturalesa</t>
        </is>
      </c>
      <c r="G1" s="9" t="inlineStr">
        <is>
          <t>Sí/No</t>
        </is>
      </c>
    </row>
    <row r="2">
      <c r="A2" t="inlineStr">
        <is>
          <t>Contracte menor a càrrec del RAE</t>
        </is>
      </c>
      <c r="B2" t="inlineStr">
        <is>
          <t>1.1 Planificació de la gestió i designació del lloc</t>
        </is>
      </c>
      <c r="C2" t="inlineStr">
        <is>
          <t>1. Natura</t>
        </is>
      </c>
      <c r="D2" t="inlineStr">
        <is>
          <t>NA</t>
        </is>
      </c>
      <c r="E2" t="inlineStr">
        <is>
          <t>201.0001 - Lloguers i cànons de material de transport</t>
        </is>
      </c>
      <c r="F2" t="inlineStr">
        <is>
          <t>Obra</t>
        </is>
      </c>
      <c r="G2" t="inlineStr">
        <is>
          <t>Sí</t>
        </is>
      </c>
    </row>
    <row r="3">
      <c r="A3" t="inlineStr">
        <is>
          <t>Contracte menor des de la DG</t>
        </is>
      </c>
      <c r="B3" t="inlineStr">
        <is>
          <t>1.2 Administració del lloc i comunicació amb les parts interessades</t>
        </is>
      </c>
      <c r="C3" t="inlineStr">
        <is>
          <t>2. Cultura</t>
        </is>
      </c>
      <c r="D3" t="inlineStr">
        <is>
          <t>CU</t>
        </is>
      </c>
      <c r="E3" t="inlineStr">
        <is>
          <t>203.0001 - Lloguers i cànons d'altre immobilitzat material</t>
        </is>
      </c>
      <c r="F3" t="inlineStr">
        <is>
          <t>Servei</t>
        </is>
      </c>
      <c r="G3" t="inlineStr">
        <is>
          <t>No</t>
        </is>
      </c>
    </row>
    <row r="4">
      <c r="A4" t="inlineStr">
        <is>
          <t>Contracte obert (licitació des de la DG)</t>
        </is>
      </c>
      <c r="B4" t="inlineStr">
        <is>
          <t>1.3 Seguiment, vigilància i notificació</t>
        </is>
      </c>
      <c r="C4" t="inlineStr">
        <is>
          <t>3. Coneixement</t>
        </is>
      </c>
      <c r="D4" t="inlineStr">
        <is>
          <t>CO</t>
        </is>
      </c>
      <c r="E4" t="inlineStr">
        <is>
          <t>210.0001 - Conservació, reparació i manteniment de terrenys</t>
        </is>
      </c>
      <c r="F4" t="inlineStr">
        <is>
          <t>Subministrament</t>
        </is>
      </c>
    </row>
    <row r="5">
      <c r="A5" t="inlineStr">
        <is>
          <t>PEA Infraestructures</t>
        </is>
      </c>
      <c r="B5" t="inlineStr">
        <is>
          <t>1.4 Buits de coneixement i necessitats de recerca</t>
        </is>
      </c>
      <c r="C5" t="inlineStr">
        <is>
          <t>4. Desenvolupament local</t>
        </is>
      </c>
      <c r="D5" t="inlineStr">
        <is>
          <t>DE</t>
        </is>
      </c>
      <c r="E5" t="inlineStr">
        <is>
          <t>211.0001 - Conservació, reparació, manteniment de material de transport</t>
        </is>
      </c>
    </row>
    <row r="6">
      <c r="A6" t="inlineStr">
        <is>
          <t>PEA Forestal Catalana</t>
        </is>
      </c>
      <c r="B6" t="inlineStr">
        <is>
          <t>1.5 Mesures de comunicació i sensibilització, educació i accés de visitants relacionades amb Natura 2000</t>
        </is>
      </c>
      <c r="C6" t="inlineStr">
        <is>
          <t>5. Ús públic i social</t>
        </is>
      </c>
      <c r="D6" t="inlineStr">
        <is>
          <t>US</t>
        </is>
      </c>
      <c r="E6" t="inlineStr">
        <is>
          <t>213.0001 - Conservació, reparació i manteniment d'altre immobilitzat material</t>
        </is>
      </c>
    </row>
    <row r="7">
      <c r="A7" t="inlineStr">
        <is>
          <t>Encomana Forestal Catalana</t>
        </is>
      </c>
      <c r="B7" t="inlineStr">
        <is>
          <t>2.1 Mesures de manteniment i restauració d'aigües marines i costeres (inclou llacunes litorals)</t>
        </is>
      </c>
      <c r="C7" t="inlineStr">
        <is>
          <t>6. Educació, voluntariat i comunicació</t>
        </is>
      </c>
      <c r="D7" t="inlineStr">
        <is>
          <t>ED</t>
        </is>
      </c>
      <c r="E7" t="inlineStr">
        <is>
          <t>214.0001 - Altres despeses de conservació, reparació i manteniment</t>
        </is>
      </c>
    </row>
    <row r="8">
      <c r="A8" t="inlineStr">
        <is>
          <t>Encàrrec directe Infraestructures</t>
        </is>
      </c>
      <c r="B8" t="inlineStr">
        <is>
          <t>2.2 Mesures de manteniment i restauració de matollars</t>
        </is>
      </c>
      <c r="C8" t="inlineStr">
        <is>
          <t>7. Gestió i administració</t>
        </is>
      </c>
      <c r="D8" t="inlineStr">
        <is>
          <t>GE</t>
        </is>
      </c>
      <c r="E8" t="inlineStr">
        <is>
          <t>215.0001 - Farmaciola</t>
        </is>
      </c>
    </row>
    <row r="9">
      <c r="A9" t="inlineStr">
        <is>
          <t>Encàrrec directe Forestal Catalana</t>
        </is>
      </c>
      <c r="B9" t="inlineStr">
        <is>
          <t>2.3 Mesures de manteniment i restauració de torberes</t>
        </is>
      </c>
      <c r="E9" t="inlineStr">
        <is>
          <t>220.0001 - Material ordinari no inventariable</t>
        </is>
      </c>
    </row>
    <row r="10">
      <c r="A10" t="inlineStr">
        <is>
          <t>Encàrrec directe CREAF</t>
        </is>
      </c>
      <c r="B10" t="inlineStr">
        <is>
          <t>2.4 Mesures de manteniment i restauració de prats i pastures</t>
        </is>
      </c>
      <c r="E10" t="inlineStr">
        <is>
          <t>220.0002 - Premsa, revistes, llibres i altres publicacions</t>
        </is>
      </c>
    </row>
    <row r="11">
      <c r="A11" t="inlineStr">
        <is>
          <t>Encàrrec directe CTFC</t>
        </is>
      </c>
      <c r="B11" t="inlineStr">
        <is>
          <t>2.5 Mesures de manteniment i restauració d'altres agroecosistemes (inclosos els conreus)</t>
        </is>
      </c>
      <c r="E11" t="inlineStr">
        <is>
          <t>221.0001 - Aigua i energia</t>
        </is>
      </c>
    </row>
    <row r="12">
      <c r="A12" t="inlineStr">
        <is>
          <t>Encàrrec directe TRAGSA</t>
        </is>
      </c>
      <c r="B12" t="inlineStr">
        <is>
          <t>2.6 Mesures de manteniment i restauració de boscos i superfícies forestals</t>
        </is>
      </c>
      <c r="E12" t="inlineStr">
        <is>
          <t>221.0002 - Combustible per a mitjans de transport</t>
        </is>
      </c>
    </row>
    <row r="13">
      <c r="A13" t="inlineStr">
        <is>
          <t>Contracte programa CTFC</t>
        </is>
      </c>
      <c r="B13" t="inlineStr">
        <is>
          <t>2.7 Mesures de conservació i restauració d'hàbitats rocosos, dunes i terres de vegetació esparsa</t>
        </is>
      </c>
      <c r="E13" t="inlineStr">
        <is>
          <t>221.0003 - Vestuari</t>
        </is>
      </c>
    </row>
    <row r="14">
      <c r="A14" t="inlineStr">
        <is>
          <t>Contracte programa CREAF</t>
        </is>
      </c>
      <c r="B14" t="inlineStr">
        <is>
          <t>2.8 Mesures de manteniment i restauració d'hàbitats d'aigua dolça (rius, llacs i zones humides no litorals)</t>
        </is>
      </c>
      <c r="E14" t="inlineStr">
        <is>
          <t>221.0005 - Farmaciola</t>
        </is>
      </c>
    </row>
    <row r="15">
      <c r="A15" t="inlineStr">
        <is>
          <t>Mitjans propis</t>
        </is>
      </c>
      <c r="B15" t="inlineStr">
        <is>
          <t>2.9 Mesures de conservació i restauració de coves i altres no inclosos als anteriors</t>
        </is>
      </c>
      <c r="E15" t="inlineStr">
        <is>
          <t>221.0006 - Compres de mercaderies i matèries primes</t>
        </is>
      </c>
    </row>
    <row r="16">
      <c r="A16" t="inlineStr">
        <is>
          <t>Altres</t>
        </is>
      </c>
      <c r="B16" t="inlineStr">
        <is>
          <t>2.B Mesures adicionals d'«infraestructura verda» més enllà de Natura 2000</t>
        </is>
      </c>
      <c r="E16" t="inlineStr">
        <is>
          <t>221.0007 - Queviures</t>
        </is>
      </c>
    </row>
    <row r="17">
      <c r="B17" t="inlineStr">
        <is>
          <t>3.1 Mesures i programes específics de conservació d'espècies no incloses en altres apartats</t>
        </is>
      </c>
      <c r="E17" t="inlineStr">
        <is>
          <t>221.0089 - Altres subministraments</t>
        </is>
      </c>
    </row>
    <row r="18">
      <c r="B18" t="inlineStr">
        <is>
          <t>3.2 Prevenció, mitigació o compensació dels danys ocasionats per les espècies protegides</t>
        </is>
      </c>
      <c r="E18" t="inlineStr">
        <is>
          <t>222.0001 - Despeses postals, missatgeria i altres similars</t>
        </is>
      </c>
    </row>
    <row r="19">
      <c r="B19" t="inlineStr">
        <is>
          <t>Altres</t>
        </is>
      </c>
      <c r="E19" t="inlineStr">
        <is>
          <t>223.0001 - Transports</t>
        </is>
      </c>
    </row>
    <row r="20">
      <c r="E20" t="inlineStr">
        <is>
          <t>225.0001 - Tributs i taxes</t>
        </is>
      </c>
    </row>
    <row r="21">
      <c r="E21" t="inlineStr">
        <is>
          <t>226.0003 - Publicitat, difusió i campanyes institucionals</t>
        </is>
      </c>
    </row>
    <row r="22">
      <c r="E22" t="inlineStr">
        <is>
          <t>226.0005 - Organització de reunions, conferències i cursos</t>
        </is>
      </c>
    </row>
    <row r="23">
      <c r="E23" t="inlineStr">
        <is>
          <t>226.0010 - Premis</t>
        </is>
      </c>
    </row>
    <row r="24">
      <c r="E24" t="inlineStr">
        <is>
          <t>226.0011 - Formació del personal propi</t>
        </is>
      </c>
    </row>
    <row r="25">
      <c r="E25" t="inlineStr">
        <is>
          <t>226.0039 - Despeses per serveis bancàris</t>
        </is>
      </c>
    </row>
    <row r="26">
      <c r="E26" t="inlineStr">
        <is>
          <t>226.0040 - Inscripció com a soci o altra figura a organismes o a entitats de caràcter associatiu</t>
        </is>
      </c>
    </row>
    <row r="27">
      <c r="E27" t="inlineStr">
        <is>
          <t>226.0089 - Altres despeses diverses</t>
        </is>
      </c>
    </row>
    <row r="28">
      <c r="E28" t="inlineStr">
        <is>
          <t>227.0001 - Neteja i sanejament</t>
        </is>
      </c>
    </row>
    <row r="29">
      <c r="E29" t="inlineStr">
        <is>
          <t>227.0003 - Valoracions i peritatges</t>
        </is>
      </c>
    </row>
    <row r="30">
      <c r="E30" t="inlineStr">
        <is>
          <t>227.0007 - Gestió dels centres i serveis</t>
        </is>
      </c>
    </row>
    <row r="31">
      <c r="E31" t="inlineStr">
        <is>
          <t>227.0013 - Treballs tècnics</t>
        </is>
      </c>
    </row>
    <row r="32">
      <c r="E32" t="inlineStr">
        <is>
          <t>227.0089 - Altres treballs realitzats per persones físiques o jurídiques</t>
        </is>
      </c>
    </row>
    <row r="33">
      <c r="E33" t="inlineStr">
        <is>
          <t>230.0001 - Dietes, locomoció i trasllats</t>
        </is>
      </c>
    </row>
    <row r="34">
      <c r="E34" t="inlineStr">
        <is>
          <t>240.0001 - Despeses de publicacions</t>
        </is>
      </c>
    </row>
    <row r="35">
      <c r="E35" t="inlineStr">
        <is>
          <t>610.0001 - Inversions en edificis i altres construccions per compte propi</t>
        </is>
      </c>
    </row>
    <row r="36">
      <c r="E36" t="inlineStr">
        <is>
          <t>620.0001 - Inversions en maquinària, instal·lacions i utillatge</t>
        </is>
      </c>
    </row>
    <row r="37">
      <c r="E37" t="inlineStr">
        <is>
          <t>640.0001 - Inversions en mobiliari i estris</t>
        </is>
      </c>
    </row>
    <row r="38">
      <c r="E38" t="inlineStr">
        <is>
          <t>650.0002 - Inversions en telecomunicacions</t>
        </is>
      </c>
    </row>
    <row r="39">
      <c r="E39" t="inlineStr">
        <is>
          <t>660.0001 - Inversions en béns destinats a l'ús general</t>
        </is>
      </c>
    </row>
    <row r="40">
      <c r="E40" t="inlineStr">
        <is>
          <t>670.0002 - Inversions en altre immobilitzat material</t>
        </is>
      </c>
    </row>
  </sheetData>
  <pageMargins left="0.75" right="0.75" top="1" bottom="1" header="0.5" footer="0.5"/>
</worksheet>
</file>

<file path=xl/worksheets/sheet6.xml><?xml version="1.0" encoding="utf-8"?>
<worksheet xmlns="http://schemas.openxmlformats.org/spreadsheetml/2006/main">
  <sheetPr>
    <tabColor rgb="009E9E9E"/>
    <outlinePr summaryBelow="1" summaryRight="1"/>
    <pageSetUpPr/>
  </sheetPr>
  <dimension ref="A1:G183"/>
  <sheetViews>
    <sheetView workbookViewId="0">
      <selection activeCell="A1" sqref="A1"/>
    </sheetView>
  </sheetViews>
  <sheetFormatPr baseColWidth="8" defaultRowHeight="15"/>
  <cols>
    <col width="10" customWidth="1" min="1" max="1"/>
    <col width="50" customWidth="1" min="2" max="2"/>
    <col width="50" customWidth="1" min="3" max="3"/>
    <col width="28" customWidth="1" min="4" max="4"/>
    <col width="9" customWidth="1" min="5" max="5"/>
    <col width="40" customWidth="1" min="6" max="6"/>
    <col width="40" customWidth="1" min="7" max="7"/>
  </cols>
  <sheetData>
    <row r="1" ht="48" customHeight="1">
      <c r="A1" s="9" t="inlineStr">
        <is>
          <t>Codi</t>
        </is>
      </c>
      <c r="B1" s="9" t="inlineStr">
        <is>
          <t>Objectiu operatiu (estàndard)</t>
        </is>
      </c>
      <c r="C1" s="9" t="inlineStr">
        <is>
          <t>Objectiu concret a l'espai</t>
        </is>
      </c>
      <c r="D1" s="9" t="inlineStr">
        <is>
          <t>Eix</t>
        </is>
      </c>
      <c r="E1" s="9" t="inlineStr">
        <is>
          <t>Codi eix</t>
        </is>
      </c>
      <c r="F1" s="9" t="inlineStr">
        <is>
          <t>Objectiu general</t>
        </is>
      </c>
      <c r="G1" s="9" t="inlineStr">
        <is>
          <t>Objectiu estratègic</t>
        </is>
      </c>
    </row>
    <row r="2">
      <c r="A2" t="inlineStr">
        <is>
          <t>01.1.1</t>
        </is>
      </c>
      <c r="B2" t="inlineStr">
        <is>
          <t>Implementar i executar plans de gestió específics per a hàbitats i espècies de conservació prioritària dins l'ENP</t>
        </is>
      </c>
      <c r="C2" t="inlineStr">
        <is>
          <t>Implementar i executar plans de gestió específics per a hàbitats i espècies de conservació prioritària dins l'ENP</t>
        </is>
      </c>
      <c r="D2" t="inlineStr">
        <is>
          <t>1. Natura</t>
        </is>
      </c>
      <c r="E2" t="inlineStr">
        <is>
          <t>NA</t>
        </is>
      </c>
      <c r="F2" t="inlineStr">
        <is>
          <t>CONSERVAR LA NATURA i restaurar els ecosistemes, els processos naturals i seminaturals, la biodiversitat i la geodiversitat associada.</t>
        </is>
      </c>
      <c r="G2" t="inlineStr">
        <is>
          <t>Adequar i fer eficient la conservació dels elements objecte de gestió prioritària marcats per la DG a l'ENP</t>
        </is>
      </c>
    </row>
    <row r="3">
      <c r="A3" t="inlineStr">
        <is>
          <t>01.1.2</t>
        </is>
      </c>
      <c r="B3" t="inlineStr">
        <is>
          <t>Adaptar i executar plans de gestió específics per a elements geològics de conservació prioritària dins l'ENP</t>
        </is>
      </c>
      <c r="C3" t="inlineStr">
        <is>
          <t>Adaptar i executar plans de gestió específics per a elements geològics de conservació prioritària dins l'ENP</t>
        </is>
      </c>
      <c r="D3" t="inlineStr">
        <is>
          <t>1. Natura</t>
        </is>
      </c>
      <c r="E3" t="inlineStr">
        <is>
          <t>NA</t>
        </is>
      </c>
      <c r="F3" t="inlineStr">
        <is>
          <t>CONSERVAR LA NATURA i restaurar els ecosistemes, els processos naturals i seminaturals, la biodiversitat i la geodiversitat associada.</t>
        </is>
      </c>
      <c r="G3" t="inlineStr">
        <is>
          <t>Executar les mesures de gestió directa previstes en els intruments de planificació per la conservació i la gestió adaptativa dels elements clau de l'ENP</t>
        </is>
      </c>
    </row>
    <row r="4">
      <c r="A4" t="inlineStr">
        <is>
          <t>01.2.1</t>
        </is>
      </c>
      <c r="B4" t="inlineStr">
        <is>
          <t>Implementar la metodologia de gestió adaptativa (Estàndards Oberts de Gestió Adaptativa a Catalunya) en tots els processos de l'ENP</t>
        </is>
      </c>
      <c r="C4" t="inlineStr">
        <is>
          <t>Implementar la metodologia de gestió adaptativa (Estàndards Oberts de Gestió Adaptativa a Catalunya) en tots els processos de l'ENP</t>
        </is>
      </c>
      <c r="D4" t="inlineStr">
        <is>
          <t>1. Natura</t>
        </is>
      </c>
      <c r="E4" t="inlineStr">
        <is>
          <t>NA</t>
        </is>
      </c>
      <c r="F4" t="inlineStr">
        <is>
          <t>CONSERVAR LA NATURA i restaurar els ecosistemes, els processos naturals i seminaturals, la biodiversitat i la geodiversitat associada.</t>
        </is>
      </c>
      <c r="G4" t="inlineStr">
        <is>
          <t>Executar les mesures de gestió directa previstes en els intruments de planificació per la conservació i la gestió adaptativa dels elements clau de l'ENP</t>
        </is>
      </c>
    </row>
    <row r="5">
      <c r="A5" t="inlineStr">
        <is>
          <t>01.2.2</t>
        </is>
      </c>
      <c r="B5" t="inlineStr">
        <is>
          <t>Executar les mesures previstes en els plans de conservació o recuperació d'espècies amenaçades de forma coordinada amb el Servei de Flora i Fauna en l'àmbit de l'ENP</t>
        </is>
      </c>
      <c r="C5" t="inlineStr">
        <is>
          <t>Executar les mesures previstes en els plans de conservació o recuperació d'espècies amenaçades de forma coordinada amb el Servei de Flora i Fauna en l'àmbit de l'ENP</t>
        </is>
      </c>
      <c r="D5" t="inlineStr">
        <is>
          <t>1. Natura</t>
        </is>
      </c>
      <c r="E5" t="inlineStr">
        <is>
          <t>NA</t>
        </is>
      </c>
      <c r="F5" t="inlineStr">
        <is>
          <t>CONSERVAR LA NATURA i restaurar els ecosistemes, els processos naturals i seminaturals, la biodiversitat i la geodiversitat associada.</t>
        </is>
      </c>
      <c r="G5" t="inlineStr">
        <is>
          <t>Executar les mesures de gestió directa previstes en els intruments de planificació per la conservació i la gestió adaptativa dels elements clau de l'ENP</t>
        </is>
      </c>
    </row>
    <row r="6">
      <c r="A6" t="inlineStr">
        <is>
          <t>01.2.3</t>
        </is>
      </c>
      <c r="B6" t="inlineStr">
        <is>
          <t>Executar les mesures de gestió previstes en els plans de control i erradicació d'espècies exòtiques de forma coordinada amb el Servei de Flora i Fauna en l'àmbit de l'ENP</t>
        </is>
      </c>
      <c r="C6" t="inlineStr">
        <is>
          <t>Executar les mesures de gestió previstes en els plans de control i erradicació d'espècies exòtiques de forma coordinada amb el Servei de Flora i Fauna en l'àmbit de l'ENP</t>
        </is>
      </c>
      <c r="D6" t="inlineStr">
        <is>
          <t>1. Natura</t>
        </is>
      </c>
      <c r="E6" t="inlineStr">
        <is>
          <t>NA</t>
        </is>
      </c>
      <c r="F6" t="inlineStr">
        <is>
          <t>CONSERVAR LA NATURA i restaurar els ecosistemes, els processos naturals i seminaturals, la biodiversitat i la geodiversitat associada.</t>
        </is>
      </c>
      <c r="G6" t="inlineStr">
        <is>
          <t>Executar les mesures de gestió directa previstes en els intruments de planificació per la conservació i la gestió adaptativa dels elements clau de l'ENP</t>
        </is>
      </c>
    </row>
    <row r="7">
      <c r="A7" t="inlineStr">
        <is>
          <t>01.2.4</t>
        </is>
      </c>
      <c r="B7" t="inlineStr">
        <is>
          <t>Desplegar els objectius i tasques recollits en els instruments de referència i compromisos internacionals</t>
        </is>
      </c>
      <c r="C7" t="inlineStr">
        <is>
          <t>Desplegar els objectius i tasques recollits en els instruments de referència i compromisos internacionals</t>
        </is>
      </c>
      <c r="D7" t="inlineStr">
        <is>
          <t>1. Natura</t>
        </is>
      </c>
      <c r="E7" t="inlineStr">
        <is>
          <t>NA</t>
        </is>
      </c>
      <c r="F7" t="inlineStr">
        <is>
          <t>CONSERVAR LA NATURA i restaurar els ecosistemes, els processos naturals i seminaturals, la biodiversitat i la geodiversitat associada.</t>
        </is>
      </c>
      <c r="G7" t="inlineStr">
        <is>
          <t>Executar les mesures de gestió directa previstes en els intruments de planificació per la conservació i la gestió adaptativa dels elements clau de l'ENP</t>
        </is>
      </c>
    </row>
    <row r="8">
      <c r="A8" t="inlineStr">
        <is>
          <t>01.3.1</t>
        </is>
      </c>
      <c r="B8" t="inlineStr">
        <is>
          <t>Identificar espais pel foment de la dinàmica natural i l'aprofitament no extractiu</t>
        </is>
      </c>
      <c r="C8" t="inlineStr">
        <is>
          <t>Identificar espais pel foment de la dinàmica natural i l'aprofitament no extractiu</t>
        </is>
      </c>
      <c r="D8" t="inlineStr">
        <is>
          <t>1. Natura</t>
        </is>
      </c>
      <c r="E8" t="inlineStr">
        <is>
          <t>NA</t>
        </is>
      </c>
      <c r="F8" t="inlineStr">
        <is>
          <t>CONSERVAR LA NATURA i restaurar els ecosistemes, els processos naturals i seminaturals, la biodiversitat i la geodiversitat associada.</t>
        </is>
      </c>
      <c r="G8" t="inlineStr">
        <is>
          <t>Afavorir ecosistemes complexes, resilients, i d'alta biodiversitat per garantir la recuperació dels processos ecosistèmics</t>
        </is>
      </c>
    </row>
    <row r="9">
      <c r="A9" t="inlineStr">
        <is>
          <t>01.3.2</t>
        </is>
      </c>
      <c r="B9" t="inlineStr">
        <is>
          <t>Afavorir la maduresa dels sistemes forestals</t>
        </is>
      </c>
      <c r="C9" t="inlineStr">
        <is>
          <t>Afavorir la maduresa dels sistemes forestals</t>
        </is>
      </c>
      <c r="D9" t="inlineStr">
        <is>
          <t>1. Natura</t>
        </is>
      </c>
      <c r="E9" t="inlineStr">
        <is>
          <t>NA</t>
        </is>
      </c>
      <c r="F9" t="inlineStr">
        <is>
          <t>CONSERVAR LA NATURA i restaurar els ecosistemes, els processos naturals i seminaturals, la biodiversitat i la geodiversitat associada.</t>
        </is>
      </c>
      <c r="G9" t="inlineStr">
        <is>
          <t>Afavorir ecosistemes complexes, resilients, i d'alta biodiversitat per garantir la recuperació dels processos ecosistèmics</t>
        </is>
      </c>
    </row>
    <row r="10">
      <c r="A10" t="inlineStr">
        <is>
          <t>01.3.3</t>
        </is>
      </c>
      <c r="B10" t="inlineStr">
        <is>
          <t>Procurar un règim de pertorbacions que afavoreixi l'ús sostenible dels recursos, la biodiversitat i el funcionament del ecosistemes</t>
        </is>
      </c>
      <c r="C10" t="inlineStr">
        <is>
          <t>Procurar un règim de pertorbacions que afavoreixi l'ús sostenible dels recursos, la biodiversitat i el funcionament del ecosistemes</t>
        </is>
      </c>
      <c r="D10" t="inlineStr">
        <is>
          <t>1. Natura</t>
        </is>
      </c>
      <c r="E10" t="inlineStr">
        <is>
          <t>NA</t>
        </is>
      </c>
      <c r="F10" t="inlineStr">
        <is>
          <t>CONSERVAR LA NATURA i restaurar els ecosistemes, els processos naturals i seminaturals, la biodiversitat i la geodiversitat associada.</t>
        </is>
      </c>
      <c r="G10" t="inlineStr">
        <is>
          <t>Afavorir ecosistemes complexes, resilients, i d'alta biodiversitat per garantir la recuperació dels processos ecosistèmics</t>
        </is>
      </c>
    </row>
    <row r="11">
      <c r="A11" t="inlineStr">
        <is>
          <t>01.3.4</t>
        </is>
      </c>
      <c r="B11" t="inlineStr">
        <is>
          <t>Restaurar la dinàmica natural dels rius i altres ecosistemes aquàtics que estiguin dregradats</t>
        </is>
      </c>
      <c r="C11" t="inlineStr">
        <is>
          <t>Restaurar la dinàmica natural dels rius i altres ecosistemes aquàtics que estiguin dregradats</t>
        </is>
      </c>
      <c r="D11" t="inlineStr">
        <is>
          <t>1. Natura</t>
        </is>
      </c>
      <c r="E11" t="inlineStr">
        <is>
          <t>NA</t>
        </is>
      </c>
      <c r="F11" t="inlineStr">
        <is>
          <t>CONSERVAR LA NATURA i restaurar els ecosistemes, els processos naturals i seminaturals, la biodiversitat i la geodiversitat associada.</t>
        </is>
      </c>
      <c r="G11" t="inlineStr">
        <is>
          <t>Afavorir ecosistemes complexes, resilients, i d'alta biodiversitat per garantir la recuperació dels processos ecosistèmics</t>
        </is>
      </c>
    </row>
    <row r="12">
      <c r="A12" t="inlineStr">
        <is>
          <t>01.3.5</t>
        </is>
      </c>
      <c r="B12" t="inlineStr">
        <is>
          <t>Fomentar mosaics de paisatges resilients i diversos</t>
        </is>
      </c>
      <c r="C12" t="inlineStr">
        <is>
          <t>Fomentar mosaics de paisatges resilients i diversos</t>
        </is>
      </c>
      <c r="D12" t="inlineStr">
        <is>
          <t>1. Natura</t>
        </is>
      </c>
      <c r="E12" t="inlineStr">
        <is>
          <t>NA</t>
        </is>
      </c>
      <c r="F12" t="inlineStr">
        <is>
          <t>CONSERVAR LA NATURA i restaurar els ecosistemes, els processos naturals i seminaturals, la biodiversitat i la geodiversitat associada.</t>
        </is>
      </c>
      <c r="G12" t="inlineStr">
        <is>
          <t>Afavorir ecosistemes complexes, resilients, i d'alta biodiversitat per garantir la recuperació dels processos ecosistèmics</t>
        </is>
      </c>
    </row>
    <row r="13">
      <c r="A13" t="inlineStr">
        <is>
          <t>01.3.6</t>
        </is>
      </c>
      <c r="B13" t="inlineStr">
        <is>
          <t>Gestionar i intervenir en la dinàmica de poblacions de fauna que no tenen depredador natural</t>
        </is>
      </c>
      <c r="C13" t="inlineStr">
        <is>
          <t>Gestionar i intervenir en la dinàmica de poblacions de fauna que no tenen depredador natural</t>
        </is>
      </c>
      <c r="D13" t="inlineStr">
        <is>
          <t>1. Natura</t>
        </is>
      </c>
      <c r="E13" t="inlineStr">
        <is>
          <t>NA</t>
        </is>
      </c>
      <c r="F13" t="inlineStr">
        <is>
          <t>CONSERVAR LA NATURA i restaurar els ecosistemes, els processos naturals i seminaturals, la biodiversitat i la geodiversitat associada.</t>
        </is>
      </c>
      <c r="G13" t="inlineStr">
        <is>
          <t>Afavorir ecosistemes complexes, resilients, i d'alta biodiversitat per garantir la recuperació dels processos ecosistèmics</t>
        </is>
      </c>
    </row>
    <row r="14">
      <c r="A14" t="inlineStr">
        <is>
          <t>01.4.1</t>
        </is>
      </c>
      <c r="B14" t="inlineStr">
        <is>
          <t>Fomentar acords de custòdia en espais d'alt valor dins l'ENP per a la gestió dels elements prioritaris</t>
        </is>
      </c>
      <c r="C14" t="inlineStr">
        <is>
          <t>Fomentar acords de custòdia en espais d'alt valor dins l'ENP per a la gestió dels elements prioritaris</t>
        </is>
      </c>
      <c r="D14" t="inlineStr">
        <is>
          <t>1. Natura</t>
        </is>
      </c>
      <c r="E14" t="inlineStr">
        <is>
          <t>NA</t>
        </is>
      </c>
      <c r="F14" t="inlineStr">
        <is>
          <t>CONSERVAR LA NATURA i restaurar els ecosistemes, els processos naturals i seminaturals, la biodiversitat i la geodiversitat associada.</t>
        </is>
      </c>
      <c r="G14" t="inlineStr">
        <is>
          <t>Planificar l'adaptació dels sistemes naturals al canvi climàtic</t>
        </is>
      </c>
    </row>
    <row r="15">
      <c r="A15" t="inlineStr">
        <is>
          <t>01.4.2</t>
        </is>
      </c>
      <c r="B15" t="inlineStr">
        <is>
          <t>Fomentar bones pràctiques entre els col·lectius de propietaris i gestors del territori</t>
        </is>
      </c>
      <c r="C15" t="inlineStr">
        <is>
          <t>Fomentar bones pràctiques entre els col·lectius de propietaris i gestors del territori</t>
        </is>
      </c>
      <c r="D15" t="inlineStr">
        <is>
          <t>1. Natura</t>
        </is>
      </c>
      <c r="E15" t="inlineStr">
        <is>
          <t>NA</t>
        </is>
      </c>
      <c r="F15" t="inlineStr">
        <is>
          <t>CONSERVAR LA NATURA i restaurar els ecosistemes, els processos naturals i seminaturals, la biodiversitat i la geodiversitat associada.</t>
        </is>
      </c>
      <c r="G15" t="inlineStr">
        <is>
          <t>Planificar l'adaptació dels sistemes naturals al canvi climàtic</t>
        </is>
      </c>
    </row>
    <row r="16">
      <c r="A16" t="inlineStr">
        <is>
          <t>01.4.3</t>
        </is>
      </c>
      <c r="B16" t="inlineStr">
        <is>
          <t>Impulsar la coordinació amb els ens locals i entitats del tercer sector en la gestió finques públiques situades dins d’ENP</t>
        </is>
      </c>
      <c r="C16" t="inlineStr">
        <is>
          <t>Impulsar la coordinació amb els ens locals i entitats del tercer sector en la gestió finques públiques situades dins d’ENP</t>
        </is>
      </c>
      <c r="D16" t="inlineStr">
        <is>
          <t>1. Natura</t>
        </is>
      </c>
      <c r="E16" t="inlineStr">
        <is>
          <t>NA</t>
        </is>
      </c>
      <c r="F16" t="inlineStr">
        <is>
          <t>CONSERVAR LA NATURA i restaurar els ecosistemes, els processos naturals i seminaturals, la biodiversitat i la geodiversitat associada.</t>
        </is>
      </c>
      <c r="G16" t="inlineStr">
        <is>
          <t>Planificar l'adaptació dels sistemes naturals al canvi climàtic</t>
        </is>
      </c>
    </row>
    <row r="17">
      <c r="A17" t="inlineStr">
        <is>
          <t>02.1.1</t>
        </is>
      </c>
      <c r="B17" t="inlineStr">
        <is>
          <t>Adaptar i implementar el Pla d'adaptació de l'ENP al canvi climàtic</t>
        </is>
      </c>
      <c r="C17" t="inlineStr">
        <is>
          <t>Adaptar i implementar el Pla d'adaptació de l'ENP al canvi climàtic</t>
        </is>
      </c>
      <c r="D17" t="inlineStr">
        <is>
          <t>1. Natura</t>
        </is>
      </c>
      <c r="E17" t="inlineStr">
        <is>
          <t>NA</t>
        </is>
      </c>
      <c r="F17" t="inlineStr">
        <is>
          <t>ADAPTAR ELS ECOSISTEMES AL CANVI CLIMÀTIC i millorar-ne la resiliència en front dels riscos associats.</t>
        </is>
      </c>
      <c r="G17" t="inlineStr">
        <is>
          <t>Alinear l'activitat de propietaris i gestors del territori amb la conservació, millora i restauració dels valors de l'ENP</t>
        </is>
      </c>
    </row>
    <row r="18">
      <c r="A18" t="inlineStr">
        <is>
          <t>02.1.2</t>
        </is>
      </c>
      <c r="B18" t="inlineStr">
        <is>
          <t>Gestionar i planificar els recursos hídrics de l'ENP</t>
        </is>
      </c>
      <c r="C18" t="inlineStr">
        <is>
          <t>Gestionar i planificar els recursos hídrics de l'ENP</t>
        </is>
      </c>
      <c r="D18" t="inlineStr">
        <is>
          <t>1. Natura</t>
        </is>
      </c>
      <c r="E18" t="inlineStr">
        <is>
          <t>NA</t>
        </is>
      </c>
      <c r="F18" t="inlineStr">
        <is>
          <t>ADAPTAR ELS ECOSISTEMES AL CANVI CLIMÀTIC i millorar-ne la resiliència en front dels riscos associats.</t>
        </is>
      </c>
      <c r="G18" t="inlineStr">
        <is>
          <t>Alinear l'activitat de propietaris i gestors del territori amb la conservació, millora i restauració dels valors de l'ENP</t>
        </is>
      </c>
    </row>
    <row r="19">
      <c r="A19" t="inlineStr">
        <is>
          <t>02.1.3</t>
        </is>
      </c>
      <c r="B19" t="inlineStr">
        <is>
          <t>Participar en la redacció i execució dels instruments d'ordenació forestal sostenible i per la conservació en finques públiques</t>
        </is>
      </c>
      <c r="C19" t="inlineStr">
        <is>
          <t>Participar en la redacció i execució dels instruments d'ordenació forestal sostenible i per la conservació en finques públiques</t>
        </is>
      </c>
      <c r="D19" t="inlineStr">
        <is>
          <t>1. Natura</t>
        </is>
      </c>
      <c r="E19" t="inlineStr">
        <is>
          <t>NA</t>
        </is>
      </c>
      <c r="F19" t="inlineStr">
        <is>
          <t>ADAPTAR ELS ECOSISTEMES AL CANVI CLIMÀTIC i millorar-ne la resiliència en front dels riscos associats.</t>
        </is>
      </c>
      <c r="G19" t="inlineStr">
        <is>
          <t>Alinear l'activitat de propietaris i gestors del territori amb la conservació, millora i restauració dels valors de l'ENP</t>
        </is>
      </c>
    </row>
    <row r="20">
      <c r="A20" t="inlineStr">
        <is>
          <t>02.1.4</t>
        </is>
      </c>
      <c r="B20" t="inlineStr">
        <is>
          <t>Promoure la redacció d'instruments d'ordenació forestal per reduir la sensibilitat i vulnerabilitat dels boscos al canvi climàtic en finques privades</t>
        </is>
      </c>
      <c r="C20" t="inlineStr">
        <is>
          <t>Promoure la redacció d'instruments d'ordenació forestal per reduir la sensibilitat i vulnerabilitat dels boscos al canvi climàtic en finques privades</t>
        </is>
      </c>
      <c r="D20" t="inlineStr">
        <is>
          <t>1. Natura</t>
        </is>
      </c>
      <c r="E20" t="inlineStr">
        <is>
          <t>NA</t>
        </is>
      </c>
      <c r="F20" t="inlineStr">
        <is>
          <t>ADAPTAR ELS ECOSISTEMES AL CANVI CLIMÀTIC i millorar-ne la resiliència en front dels riscos associats.</t>
        </is>
      </c>
      <c r="G20" t="inlineStr">
        <is>
          <t>Alinear l'activitat de propietaris i gestors del territori amb la conservació, millora i restauració dels valors de l'ENP</t>
        </is>
      </c>
    </row>
    <row r="21">
      <c r="A21" t="inlineStr">
        <is>
          <t>02.2.1</t>
        </is>
      </c>
      <c r="B21" t="inlineStr">
        <is>
          <t>Redactar i implementar el Pla de Prevenció d'Incendis</t>
        </is>
      </c>
      <c r="C21" t="inlineStr">
        <is>
          <t>Redactar i implementar el Pla de Prevenció d'Incendis</t>
        </is>
      </c>
      <c r="D21" t="inlineStr">
        <is>
          <t>1. Natura</t>
        </is>
      </c>
      <c r="E21" t="inlineStr">
        <is>
          <t>NA</t>
        </is>
      </c>
      <c r="F21" t="inlineStr">
        <is>
          <t>ADAPTAR ELS ECOSISTEMES AL CANVI CLIMÀTIC i millorar-ne la resiliència en front dels riscos associats.</t>
        </is>
      </c>
      <c r="G21" t="inlineStr">
        <is>
          <t>Planificar la prevenció i extinció d’incendis forestals i la gestió del foc de forma coordinada amb els diferents agents del territori</t>
        </is>
      </c>
    </row>
    <row r="22">
      <c r="A22" t="inlineStr">
        <is>
          <t>02.2.2</t>
        </is>
      </c>
      <c r="B22" t="inlineStr">
        <is>
          <t>Definir i planificar la gestió del foc per a la millora de l'ENP</t>
        </is>
      </c>
      <c r="C22" t="inlineStr">
        <is>
          <t>Definir i planificar la gestió del foc per a la millora de l'ENP</t>
        </is>
      </c>
      <c r="D22" t="inlineStr">
        <is>
          <t>1. Natura</t>
        </is>
      </c>
      <c r="E22" t="inlineStr">
        <is>
          <t>NA</t>
        </is>
      </c>
      <c r="F22" t="inlineStr">
        <is>
          <t>ADAPTAR ELS ECOSISTEMES AL CANVI CLIMÀTIC i millorar-ne la resiliència en front dels riscos associats.</t>
        </is>
      </c>
      <c r="G22" t="inlineStr">
        <is>
          <t>Planificar la prevenció i extinció d’incendis forestals i la gestió del foc de forma coordinada amb els diferents agents del territori</t>
        </is>
      </c>
    </row>
    <row r="23">
      <c r="A23" t="inlineStr">
        <is>
          <t>02.2.3</t>
        </is>
      </c>
      <c r="B23" t="inlineStr">
        <is>
          <t>Treballar per a la prevenció d'incendis juntament amb els propietaris, ajuntaments, protecció civil, ADF i bombers.</t>
        </is>
      </c>
      <c r="C23" t="inlineStr">
        <is>
          <t>Treballar per a la prevenció d'incendis juntament amb els propietaris, ajuntaments, protecció civil, ADF i bombers.</t>
        </is>
      </c>
      <c r="D23" t="inlineStr">
        <is>
          <t>1. Natura</t>
        </is>
      </c>
      <c r="E23" t="inlineStr">
        <is>
          <t>NA</t>
        </is>
      </c>
      <c r="F23" t="inlineStr">
        <is>
          <t>ADAPTAR ELS ECOSISTEMES AL CANVI CLIMÀTIC i millorar-ne la resiliència en front dels riscos associats.</t>
        </is>
      </c>
      <c r="G23" t="inlineStr">
        <is>
          <t>Planificar la prevenció i extinció d’incendis forestals i la gestió del foc de forma coordinada amb els diferents agents del territori</t>
        </is>
      </c>
    </row>
    <row r="24">
      <c r="A24" t="inlineStr">
        <is>
          <t>03.1.1</t>
        </is>
      </c>
      <c r="B24" t="inlineStr">
        <is>
          <t>Participar en les consultes dels procesos d'Avaluació Ambiental que afectin directament o indirectament l’espai del ENP</t>
        </is>
      </c>
      <c r="C24" t="inlineStr">
        <is>
          <t>Participar en les consultes dels procesos d'Avaluació Ambiental que afectin directament o indirectament l’espai del ENP</t>
        </is>
      </c>
      <c r="D24" t="inlineStr">
        <is>
          <t>1. Natura</t>
        </is>
      </c>
      <c r="E24" t="inlineStr">
        <is>
          <t>NA</t>
        </is>
      </c>
      <c r="F24" t="inlineStr">
        <is>
          <t>PROTEGIR LA BIODIVERSITAT, i especialment els elements fràgils i amenaçats, d’interès comunitari o de major interès natural.</t>
        </is>
      </c>
      <c r="G24" t="inlineStr">
        <is>
          <t>Prevenir, minimitzar i compensar els impactes ambientals dels usos i activitats que es desenvolupin en l'àmbit de l'ENP</t>
        </is>
      </c>
    </row>
    <row r="25">
      <c r="A25" t="inlineStr">
        <is>
          <t>03.1.2</t>
        </is>
      </c>
      <c r="B25" t="inlineStr">
        <is>
          <t>Exercir un seguiment efectiu de les obres al Parc juntament amb les Oficines Territorials d'Acció i Avaluació Ambiental als efectes d'assegurar la correcta translació de la tutela administrativa.</t>
        </is>
      </c>
      <c r="C25" t="inlineStr">
        <is>
          <t>Exercir un seguiment efectiu de les obres al Parc juntament amb les Oficines Territorials d'Acció i Avaluació Ambiental als efectes d'assegurar la correcta translació de la tutela administrativa.</t>
        </is>
      </c>
      <c r="D25" t="inlineStr">
        <is>
          <t>1. Natura</t>
        </is>
      </c>
      <c r="E25" t="inlineStr">
        <is>
          <t>NA</t>
        </is>
      </c>
      <c r="F25" t="inlineStr">
        <is>
          <t>PROTEGIR LA BIODIVERSITAT, i especialment els elements fràgils i amenaçats, d’interès comunitari o de major interès natural.</t>
        </is>
      </c>
      <c r="G25" t="inlineStr">
        <is>
          <t>Prevenir, minimitzar i compensar els impactes ambientals dels usos i activitats que es desenvolupin en l'àmbit de l'ENP</t>
        </is>
      </c>
    </row>
    <row r="26">
      <c r="A26" t="inlineStr">
        <is>
          <t>03.1.3</t>
        </is>
      </c>
      <c r="B26" t="inlineStr">
        <is>
          <t>Participar en la compensació d'impactes residuals durant els processos d'avaluació ambiental mitjançant la identificació de necessitats d'actuació prioritària dins i fora dels límits de l’ENP</t>
        </is>
      </c>
      <c r="C26" t="inlineStr">
        <is>
          <t>Participar en la compensació d'impactes residuals durant els processos d'avaluació ambiental mitjançant la identificació de necessitats d'actuació prioritària dins i fora dels límits de l’ENP</t>
        </is>
      </c>
      <c r="D26" t="inlineStr">
        <is>
          <t>1. Natura</t>
        </is>
      </c>
      <c r="E26" t="inlineStr">
        <is>
          <t>NA</t>
        </is>
      </c>
      <c r="F26" t="inlineStr">
        <is>
          <t>PROTEGIR LA BIODIVERSITAT, i especialment els elements fràgils i amenaçats, d’interès comunitari o de major interès natural.</t>
        </is>
      </c>
      <c r="G26" t="inlineStr">
        <is>
          <t>Prevenir, minimitzar i compensar els impactes ambientals dels usos i activitats que es desenvolupin en l'àmbit de l'ENP</t>
        </is>
      </c>
    </row>
    <row r="27">
      <c r="A27" t="inlineStr">
        <is>
          <t>03.2.1</t>
        </is>
      </c>
      <c r="B27" t="inlineStr">
        <is>
          <t>Participar en l'elaboració dels instruments de planificació de l'ENP</t>
        </is>
      </c>
      <c r="C27" t="inlineStr">
        <is>
          <t>Participar en l'elaboració dels instruments de planificació de l'ENP</t>
        </is>
      </c>
      <c r="D27" t="inlineStr">
        <is>
          <t>1. Natura</t>
        </is>
      </c>
      <c r="E27" t="inlineStr">
        <is>
          <t>NA</t>
        </is>
      </c>
      <c r="F27" t="inlineStr">
        <is>
          <t>PROTEGIR LA BIODIVERSITAT, i especialment els elements fràgils i amenaçats, d’interès comunitari o de major interès natural.</t>
        </is>
      </c>
      <c r="G27" t="inlineStr">
        <is>
          <t>Garantir el compliment dels objectius de conservació dotant l'ENP de la planificació adequada segons estableix la normativa vigent (Pla de Protecció, PRUG, plans específics...)</t>
        </is>
      </c>
    </row>
    <row r="28">
      <c r="A28" t="inlineStr">
        <is>
          <t>03.3.1</t>
        </is>
      </c>
      <c r="B28" t="inlineStr">
        <is>
          <t>Vetllar pel manteniment del cabal ecològic dels rius definit al Pla sectorial corresponent</t>
        </is>
      </c>
      <c r="C28" t="inlineStr">
        <is>
          <t>Vetllar pel manteniment del cabal ecològic dels rius definit al Pla sectorial corresponent</t>
        </is>
      </c>
      <c r="D28" t="inlineStr">
        <is>
          <t>1. Natura</t>
        </is>
      </c>
      <c r="E28" t="inlineStr">
        <is>
          <t>NA</t>
        </is>
      </c>
      <c r="F28" t="inlineStr">
        <is>
          <t>PROTEGIR LA BIODIVERSITAT, i especialment els elements fràgils i amenaçats, d’interès comunitari o de major interès natural.</t>
        </is>
      </c>
      <c r="G28" t="inlineStr">
        <is>
          <t>Vetllar pel manteniment dels cabals ecològics i la bona qualitat dels cursos fluvials de l'ENP de forma coordinada amb l'administració competent</t>
        </is>
      </c>
    </row>
    <row r="29">
      <c r="A29" t="inlineStr">
        <is>
          <t>03.3.2</t>
        </is>
      </c>
      <c r="B29" t="inlineStr">
        <is>
          <t>Vetllar per la regulació dels dragatges, canalitzacions o implantació d'activitats extractives que puguin modificar la llera i el cabal dels rius</t>
        </is>
      </c>
      <c r="C29" t="inlineStr">
        <is>
          <t>Vetllar per la regulació dels dragatges, canalitzacions o implantació d'activitats extractives que puguin modificar la llera i el cabal dels rius</t>
        </is>
      </c>
      <c r="D29" t="inlineStr">
        <is>
          <t>1. Natura</t>
        </is>
      </c>
      <c r="E29" t="inlineStr">
        <is>
          <t>NA</t>
        </is>
      </c>
      <c r="F29" t="inlineStr">
        <is>
          <t>PROTEGIR LA BIODIVERSITAT, i especialment els elements fràgils i amenaçats, d’interès comunitari o de major interès natural.</t>
        </is>
      </c>
      <c r="G29" t="inlineStr">
        <is>
          <t>Vetllar pel manteniment dels cabals ecològics i la bona qualitat dels cursos fluvials de l'ENP de forma coordinada amb l'administració competent</t>
        </is>
      </c>
    </row>
    <row r="30">
      <c r="A30" t="inlineStr">
        <is>
          <t>03.3.3</t>
        </is>
      </c>
      <c r="B30" t="inlineStr">
        <is>
          <t>Avaluar i controlar les actuacions que produeixin drenatges, captacions o que puguin impedir l’arribada d’aigua tant superficial com freàtica</t>
        </is>
      </c>
      <c r="C30" t="inlineStr">
        <is>
          <t>Avaluar i controlar les actuacions que produeixin drenatges, captacions o que puguin impedir l’arribada d’aigua tant superficial com freàtica</t>
        </is>
      </c>
      <c r="D30" t="inlineStr">
        <is>
          <t>1. Natura</t>
        </is>
      </c>
      <c r="E30" t="inlineStr">
        <is>
          <t>NA</t>
        </is>
      </c>
      <c r="F30" t="inlineStr">
        <is>
          <t>PROTEGIR LA BIODIVERSITAT, i especialment els elements fràgils i amenaçats, d’interès comunitari o de major interès natural.</t>
        </is>
      </c>
      <c r="G30" t="inlineStr">
        <is>
          <t>Vetllar pel manteniment dels cabals ecològics i la bona qualitat dels cursos fluvials de l'ENP de forma coordinada amb l'administració competent</t>
        </is>
      </c>
    </row>
    <row r="31">
      <c r="A31" t="inlineStr">
        <is>
          <t>03.3.4</t>
        </is>
      </c>
      <c r="B31" t="inlineStr">
        <is>
          <t>Vetllar pel compliment de la normativa de depuració dels efluents agroramaders, urbans i industrials que s'aboquen als cursos fluvials</t>
        </is>
      </c>
      <c r="C31" t="inlineStr">
        <is>
          <t>Vetllar pel compliment de la normativa de depuració dels efluents agroramaders, urbans i industrials que s'aboquen als cursos fluvials</t>
        </is>
      </c>
      <c r="D31" t="inlineStr">
        <is>
          <t>1. Natura</t>
        </is>
      </c>
      <c r="E31" t="inlineStr">
        <is>
          <t>NA</t>
        </is>
      </c>
      <c r="F31" t="inlineStr">
        <is>
          <t>PROTEGIR LA BIODIVERSITAT, i especialment els elements fràgils i amenaçats, d’interès comunitari o de major interès natural.</t>
        </is>
      </c>
      <c r="G31" t="inlineStr">
        <is>
          <t>Vetllar pel manteniment dels cabals ecològics i la bona qualitat dels cursos fluvials de l'ENP de forma coordinada amb l'administració competent</t>
        </is>
      </c>
    </row>
    <row r="32">
      <c r="A32" t="inlineStr">
        <is>
          <t>03.4.1</t>
        </is>
      </c>
      <c r="B32" t="inlineStr">
        <is>
          <t>Identificar espais prioritaris per a la compra de terrenys de més valor dins l'ENP</t>
        </is>
      </c>
      <c r="C32" t="inlineStr">
        <is>
          <t>Identificar espais prioritaris per a la compra de terrenys de més valor dins l'ENP</t>
        </is>
      </c>
      <c r="D32" t="inlineStr">
        <is>
          <t>1. Natura</t>
        </is>
      </c>
      <c r="E32" t="inlineStr">
        <is>
          <t>NA</t>
        </is>
      </c>
      <c r="F32" t="inlineStr">
        <is>
          <t>PROTEGIR LA BIODIVERSITAT, i especialment els elements fràgils i amenaçats, d’interès comunitari o de major interès natural.</t>
        </is>
      </c>
      <c r="G32" t="inlineStr">
        <is>
          <t>Incrementar el patrimoni públic destinat a la conservació i millora del patrimoni natural</t>
        </is>
      </c>
    </row>
    <row r="33">
      <c r="A33" t="inlineStr">
        <is>
          <t>03.4.2</t>
        </is>
      </c>
      <c r="B33" t="inlineStr">
        <is>
          <t>Identificar espais prioritaris per a la gestió directa</t>
        </is>
      </c>
      <c r="C33" t="inlineStr">
        <is>
          <t>Identificar espais prioritaris per a la gestió directa</t>
        </is>
      </c>
      <c r="D33" t="inlineStr">
        <is>
          <t>1. Natura</t>
        </is>
      </c>
      <c r="E33" t="inlineStr">
        <is>
          <t>NA</t>
        </is>
      </c>
      <c r="F33" t="inlineStr">
        <is>
          <t>PROTEGIR LA BIODIVERSITAT, i especialment els elements fràgils i amenaçats, d’interès comunitari o de major interès natural.</t>
        </is>
      </c>
      <c r="G33" t="inlineStr">
        <is>
          <t>Incrementar el patrimoni públic destinat a la conservació i millora del patrimoni natural</t>
        </is>
      </c>
    </row>
    <row r="34">
      <c r="A34" t="inlineStr">
        <is>
          <t>04.1.1</t>
        </is>
      </c>
      <c r="B34" t="inlineStr">
        <is>
          <t>Elaborar l'inventari i cartografia de patrimoni cultural de l'ENP, que també inclogui el patrimoni etnològic i immaterial</t>
        </is>
      </c>
      <c r="C34" t="inlineStr">
        <is>
          <t>Elaborar l'inventari i cartografia de patrimoni cultural de l'ENP, que també inclogui el patrimoni etnològic i immaterial</t>
        </is>
      </c>
      <c r="D34" t="inlineStr">
        <is>
          <t>2. Cultura</t>
        </is>
      </c>
      <c r="E34" t="inlineStr">
        <is>
          <t>CU</t>
        </is>
      </c>
      <c r="F34" t="inlineStr">
        <is>
          <t>CONSERVAR ELS ELEMENTS CULTURALS materials i immaterials vinculats a la natura</t>
        </is>
      </c>
      <c r="G34" t="inlineStr">
        <is>
          <t>Millorar el coneixement disponible sobre el patrimoni arquitectònic i cultural (material i immaterial) vinculat al patrimoni natural, el seu estat de conservació i els estils propis dels territoris de l'ENP</t>
        </is>
      </c>
    </row>
    <row r="35">
      <c r="A35" t="inlineStr">
        <is>
          <t>04.1.2</t>
        </is>
      </c>
      <c r="B35" t="inlineStr">
        <is>
          <t>Elaborar el catàleg lingüístic (localismes) de patrimoni natural, geografia popular, festes i activitats tradicionals de l'ENP</t>
        </is>
      </c>
      <c r="C35" t="inlineStr">
        <is>
          <t>Elaborar el catàleg lingüístic (localismes) de patrimoni natural, geografia popular, festes i activitats tradicionals de l'ENP</t>
        </is>
      </c>
      <c r="D35" t="inlineStr">
        <is>
          <t>2. Cultura</t>
        </is>
      </c>
      <c r="E35" t="inlineStr">
        <is>
          <t>CU</t>
        </is>
      </c>
      <c r="F35" t="inlineStr">
        <is>
          <t>CONSERVAR ELS ELEMENTS CULTURALS materials i immaterials vinculats a la natura</t>
        </is>
      </c>
      <c r="G35" t="inlineStr">
        <is>
          <t>Millorar el coneixement disponible sobre el patrimoni arquitectònic i cultural (material i immaterial) vinculat al patrimoni natural, el seu estat de conservació i els estils propis dels territoris de l'ENP</t>
        </is>
      </c>
    </row>
    <row r="36">
      <c r="A36" t="inlineStr">
        <is>
          <t>04.1.3</t>
        </is>
      </c>
      <c r="B36" t="inlineStr">
        <is>
          <t>Elaborar la cartografia de la xarxa de camins ramaders i senders tradicionals de l'ENP</t>
        </is>
      </c>
      <c r="C36" t="inlineStr">
        <is>
          <t>Elaborar la cartografia de la xarxa de camins ramaders i senders tradicionals de l'ENP</t>
        </is>
      </c>
      <c r="D36" t="inlineStr">
        <is>
          <t>2. Cultura</t>
        </is>
      </c>
      <c r="E36" t="inlineStr">
        <is>
          <t>CU</t>
        </is>
      </c>
      <c r="F36" t="inlineStr">
        <is>
          <t>CONSERVAR ELS ELEMENTS CULTURALS materials i immaterials vinculats a la natura</t>
        </is>
      </c>
      <c r="G36" t="inlineStr">
        <is>
          <t>Millorar el coneixement disponible sobre el patrimoni arquitectònic i cultural (material i immaterial) vinculat al patrimoni natural, el seu estat de conservació i els estils propis dels territoris de l'ENP</t>
        </is>
      </c>
    </row>
    <row r="37">
      <c r="A37" t="inlineStr">
        <is>
          <t>04.2.1</t>
        </is>
      </c>
      <c r="B37" t="inlineStr">
        <is>
          <t>Identificar els ens de referència en patrimoni cultural (entitats, associacions, museus i ecomuseus, etc.) en l'àmbit de l'ENP</t>
        </is>
      </c>
      <c r="C37" t="inlineStr">
        <is>
          <t>Identificar els ens de referència en patrimoni cultural (entitats, associacions, museus i ecomuseus, etc.) en l'àmbit de l'ENP</t>
        </is>
      </c>
      <c r="D37" t="inlineStr">
        <is>
          <t>2. Cultura</t>
        </is>
      </c>
      <c r="E37" t="inlineStr">
        <is>
          <t>CU</t>
        </is>
      </c>
      <c r="F37" t="inlineStr">
        <is>
          <t>CONSERVAR ELS ELEMENTS CULTURALS materials i immaterials vinculats a la natura</t>
        </is>
      </c>
      <c r="G37" t="inlineStr">
        <is>
          <t>Conservar i gestionar el patrimoni cultural de l'ENP de forma coordinada amb els agents responsables i entitats de referència</t>
        </is>
      </c>
    </row>
    <row r="38">
      <c r="A38" t="inlineStr">
        <is>
          <t>04.2.2</t>
        </is>
      </c>
      <c r="B38" t="inlineStr">
        <is>
          <t>Articular treballs conjunts entre l'ENP i representants, gestors o custodis del patrimoni cultural per a la seva protecció i millora</t>
        </is>
      </c>
      <c r="C38" t="inlineStr">
        <is>
          <t>Articular treballs conjunts entre l'ENP i representants, gestors o custodis del patrimoni cultural per a la seva protecció i millora</t>
        </is>
      </c>
      <c r="D38" t="inlineStr">
        <is>
          <t>2. Cultura</t>
        </is>
      </c>
      <c r="E38" t="inlineStr">
        <is>
          <t>CU</t>
        </is>
      </c>
      <c r="F38" t="inlineStr">
        <is>
          <t>CONSERVAR ELS ELEMENTS CULTURALS materials i immaterials vinculats a la natura</t>
        </is>
      </c>
      <c r="G38" t="inlineStr">
        <is>
          <t>Conservar i gestionar el patrimoni cultural de l'ENP de forma coordinada amb els agents responsables i entitats de referència</t>
        </is>
      </c>
    </row>
    <row r="39">
      <c r="A39" t="inlineStr">
        <is>
          <t>04.2.3</t>
        </is>
      </c>
      <c r="B39" t="inlineStr">
        <is>
          <t>Coordinar i participar dels treballs de restauració arquitectònica i del patrimoni cultural</t>
        </is>
      </c>
      <c r="C39" t="inlineStr">
        <is>
          <t>Coordinar i participar dels treballs de restauració arquitectònica i del patrimoni cultural</t>
        </is>
      </c>
      <c r="D39" t="inlineStr">
        <is>
          <t>2. Cultura</t>
        </is>
      </c>
      <c r="E39" t="inlineStr">
        <is>
          <t>CU</t>
        </is>
      </c>
      <c r="F39" t="inlineStr">
        <is>
          <t>CONSERVAR ELS ELEMENTS CULTURALS materials i immaterials vinculats a la natura</t>
        </is>
      </c>
      <c r="G39" t="inlineStr">
        <is>
          <t>Conservar i gestionar el patrimoni cultural de l'ENP de forma coordinada amb els agents responsables i entitats de referència</t>
        </is>
      </c>
    </row>
    <row r="40">
      <c r="A40" t="inlineStr">
        <is>
          <t>04.2.4</t>
        </is>
      </c>
      <c r="B40" t="inlineStr">
        <is>
          <t>Disposar de personal especialitzat en patrimoni cultural</t>
        </is>
      </c>
      <c r="C40" t="inlineStr">
        <is>
          <t>Disposar de personal especialitzat en patrimoni cultural</t>
        </is>
      </c>
      <c r="D40" t="inlineStr">
        <is>
          <t>2. Cultura</t>
        </is>
      </c>
      <c r="E40" t="inlineStr">
        <is>
          <t>CU</t>
        </is>
      </c>
      <c r="F40" t="inlineStr">
        <is>
          <t>CONSERVAR ELS ELEMENTS CULTURALS materials i immaterials vinculats a la natura</t>
        </is>
      </c>
      <c r="G40" t="inlineStr">
        <is>
          <t>Conservar i gestionar el patrimoni cultural de l'ENP de forma coordinada amb els agents responsables i entitats de referència</t>
        </is>
      </c>
    </row>
    <row r="41">
      <c r="A41" t="inlineStr">
        <is>
          <t>04.3.1</t>
        </is>
      </c>
      <c r="B41" t="inlineStr">
        <is>
          <t>Recuperar i conservar el patrimoni cultural rural immaterial associat a les activitats i aprofitaments tradicionals</t>
        </is>
      </c>
      <c r="C41" t="inlineStr">
        <is>
          <t>Recuperar i conservar el patrimoni cultural rural immaterial associat a les activitats i aprofitaments tradicionals</t>
        </is>
      </c>
      <c r="D41" t="inlineStr">
        <is>
          <t>2. Cultura</t>
        </is>
      </c>
      <c r="E41" t="inlineStr">
        <is>
          <t>CU</t>
        </is>
      </c>
      <c r="F41" t="inlineStr">
        <is>
          <t>CONSERVAR ELS ELEMENTS CULTURALS materials i immaterials vinculats a la natura</t>
        </is>
      </c>
      <c r="G41" t="inlineStr">
        <is>
          <t>Potenciar la conservació i recuperació del patrimoni cultural material i immaterial de l'ENP</t>
        </is>
      </c>
    </row>
    <row r="42">
      <c r="A42" t="inlineStr">
        <is>
          <t>04.3.2</t>
        </is>
      </c>
      <c r="B42" t="inlineStr">
        <is>
          <t>Recuperar i conservar el patrimoni cultural rural vinculat específicament a construccions de pedra en sec</t>
        </is>
      </c>
      <c r="C42" t="inlineStr">
        <is>
          <t>Recuperar i conservar el patrimoni cultural rural vinculat específicament a construccions de pedra en sec</t>
        </is>
      </c>
      <c r="D42" t="inlineStr">
        <is>
          <t>2. Cultura</t>
        </is>
      </c>
      <c r="E42" t="inlineStr">
        <is>
          <t>CU</t>
        </is>
      </c>
      <c r="F42" t="inlineStr">
        <is>
          <t>CONSERVAR ELS ELEMENTS CULTURALS materials i immaterials vinculats a la natura</t>
        </is>
      </c>
      <c r="G42" t="inlineStr">
        <is>
          <t>Potenciar la conservació i recuperació del patrimoni cultural material i immaterial de l'ENP</t>
        </is>
      </c>
    </row>
    <row r="43">
      <c r="A43" t="inlineStr">
        <is>
          <t>04.3.3</t>
        </is>
      </c>
      <c r="B43" t="inlineStr">
        <is>
          <t>Fomentar la recuperació i conservació de l'arquitectura tradicional d'intrès de les edificacions i construccions</t>
        </is>
      </c>
      <c r="C43" t="inlineStr">
        <is>
          <t>Fomentar la recuperació i conservació de l'arquitectura tradicional d'intrès de les edificacions i construccions</t>
        </is>
      </c>
      <c r="D43" t="inlineStr">
        <is>
          <t>2. Cultura</t>
        </is>
      </c>
      <c r="E43" t="inlineStr">
        <is>
          <t>CU</t>
        </is>
      </c>
      <c r="F43" t="inlineStr">
        <is>
          <t>CONSERVAR ELS ELEMENTS CULTURALS materials i immaterials vinculats a la natura</t>
        </is>
      </c>
      <c r="G43" t="inlineStr">
        <is>
          <t>Potenciar la conservació i recuperació del patrimoni cultural material i immaterial de l'ENP</t>
        </is>
      </c>
    </row>
    <row r="44">
      <c r="A44" t="inlineStr">
        <is>
          <t>04.3.4</t>
        </is>
      </c>
      <c r="B44" t="inlineStr">
        <is>
          <t>Identificar i conservar la diversitat domesticada de varietats agrícoles i ramaderes locals</t>
        </is>
      </c>
      <c r="C44" t="inlineStr">
        <is>
          <t>Identificar i conservar la diversitat domesticada de varietats agrícoles i ramaderes locals</t>
        </is>
      </c>
      <c r="D44" t="inlineStr">
        <is>
          <t>2. Cultura</t>
        </is>
      </c>
      <c r="E44" t="inlineStr">
        <is>
          <t>CU</t>
        </is>
      </c>
      <c r="F44" t="inlineStr">
        <is>
          <t>CONSERVAR ELS ELEMENTS CULTURALS materials i immaterials vinculats a la natura</t>
        </is>
      </c>
      <c r="G44" t="inlineStr">
        <is>
          <t>Donar a conèixer els elements culturals com a valors del paisatge de l'ENP en les activitats d'ús públic</t>
        </is>
      </c>
    </row>
    <row r="45">
      <c r="A45" t="inlineStr">
        <is>
          <t>04.4.1</t>
        </is>
      </c>
      <c r="B45" t="inlineStr">
        <is>
          <t>Integrar el patrimoni cultural als itineraris i cartelleria de l'ENP.</t>
        </is>
      </c>
      <c r="C45" t="inlineStr">
        <is>
          <t>Integrar el patrimoni cultural als itineraris, cartelleria i exposicions itinerants de l'ENP</t>
        </is>
      </c>
      <c r="D45" t="inlineStr">
        <is>
          <t>2. Cultura</t>
        </is>
      </c>
      <c r="E45" t="inlineStr">
        <is>
          <t>CU</t>
        </is>
      </c>
      <c r="F45" t="inlineStr">
        <is>
          <t>CONSERVAR ELS ELEMENTS CULTURALS materials i immaterials vinculats a la natura</t>
        </is>
      </c>
      <c r="G45" t="inlineStr">
        <is>
          <t>Donar a conèixer els elements culturals com a valors del paisatge de l'ENP en les activitats d'ús públic</t>
        </is>
      </c>
    </row>
    <row r="46">
      <c r="A46" t="inlineStr">
        <is>
          <t>04.4.2</t>
        </is>
      </c>
      <c r="B46" t="inlineStr">
        <is>
          <t>Incorporar el patrimoni cultural en els plans d’ús públic i educació ambiental per fomentar-ne la seva conservació i divulgació.</t>
        </is>
      </c>
      <c r="C46" t="inlineStr">
        <is>
          <t>Incorporar el patrimoni cultural en els plans d’ús públic i educació ambiental per fomentar-ne la seva conservació i divulgació.</t>
        </is>
      </c>
      <c r="D46" t="inlineStr">
        <is>
          <t>2. Cultura</t>
        </is>
      </c>
      <c r="E46" t="inlineStr">
        <is>
          <t>CU</t>
        </is>
      </c>
      <c r="F46" t="inlineStr">
        <is>
          <t>CONSERVAR ELS ELEMENTS CULTURALS materials i immaterials vinculats a la natura</t>
        </is>
      </c>
      <c r="G46" t="inlineStr">
        <is>
          <t>Donar a conèixer els elements culturals com a valors del paisatge de l'ENP en les activitats d'ús públic</t>
        </is>
      </c>
    </row>
    <row r="47">
      <c r="A47" t="inlineStr">
        <is>
          <t>04.4.3</t>
        </is>
      </c>
      <c r="B47" t="inlineStr">
        <is>
          <t>Formar el personal dels punts d’informació en els valors culturals de l'ENP</t>
        </is>
      </c>
      <c r="C47" t="inlineStr">
        <is>
          <t>Formar el personal dels punts d’informació en els valors culturals de l'ENP</t>
        </is>
      </c>
      <c r="D47" t="inlineStr">
        <is>
          <t>2. Cultura</t>
        </is>
      </c>
      <c r="E47" t="inlineStr">
        <is>
          <t>CU</t>
        </is>
      </c>
      <c r="F47" t="inlineStr">
        <is>
          <t>CONSERVAR ELS ELEMENTS CULTURALS materials i immaterials vinculats a la natura</t>
        </is>
      </c>
      <c r="G47" t="inlineStr">
        <is>
          <t>Donar a conèixer els elements culturals com a valors del paisatge de l'ENP en les activitats d'ús públic</t>
        </is>
      </c>
    </row>
    <row r="48">
      <c r="A48" t="inlineStr">
        <is>
          <t>05.1.1</t>
        </is>
      </c>
      <c r="B48" t="inlineStr">
        <is>
          <t>Elaborar un inventari d'elements d'interès paisatgístic de l'ENP d'acord amb el Catàleg de paisatge de la zona</t>
        </is>
      </c>
      <c r="C48" t="inlineStr">
        <is>
          <t>Elaborar un inventari d'elements d'interès paisatgístic de l'ENP d'acord amb el Catàleg de paisatge de la zona</t>
        </is>
      </c>
      <c r="D48" t="inlineStr">
        <is>
          <t>2. Cultura</t>
        </is>
      </c>
      <c r="E48" t="inlineStr">
        <is>
          <t>CU</t>
        </is>
      </c>
      <c r="F48" t="inlineStr">
        <is>
          <t>PROTEGIR EL PAISATGE i la qualitat de l'ambient visual, sonor i lumínic.</t>
        </is>
      </c>
      <c r="G48" t="inlineStr">
        <is>
          <t>Identificar els elements d'interès paisatgístic de l'espai</t>
        </is>
      </c>
    </row>
    <row r="49">
      <c r="A49" t="inlineStr">
        <is>
          <t>05.2.1</t>
        </is>
      </c>
      <c r="B49" t="inlineStr">
        <is>
          <t>Desplegar actuacions de restauració dels elements d'interès paisatgístic degradats</t>
        </is>
      </c>
      <c r="C49" t="inlineStr">
        <is>
          <t>Desplegar actuacions de restauració dels elements d'interès paisatgístic degradats</t>
        </is>
      </c>
      <c r="D49" t="inlineStr">
        <is>
          <t>2. Cultura</t>
        </is>
      </c>
      <c r="E49" t="inlineStr">
        <is>
          <t>CU</t>
        </is>
      </c>
      <c r="F49" t="inlineStr">
        <is>
          <t>PROTEGIR EL PAISATGE i la qualitat de l'ambient visual, sonor i lumínic.</t>
        </is>
      </c>
      <c r="G49" t="inlineStr">
        <is>
          <t>Millorar la qualitat paisatgística</t>
        </is>
      </c>
    </row>
    <row r="50">
      <c r="A50" t="inlineStr">
        <is>
          <t>05.2.2</t>
        </is>
      </c>
      <c r="B50" t="inlineStr">
        <is>
          <t>Gestionar l'abandonament i eventual desmantellament d'infraestructures i instal·lacions amb impactes sobre els valors de l'espai</t>
        </is>
      </c>
      <c r="C50" t="inlineStr">
        <is>
          <t>Gestionar l'abandonament i eventual desmantellament d'infraestructures i instal·lacions amb impactes sobre els valors de l'espai</t>
        </is>
      </c>
      <c r="D50" t="inlineStr">
        <is>
          <t>2. Cultura</t>
        </is>
      </c>
      <c r="E50" t="inlineStr">
        <is>
          <t>CU</t>
        </is>
      </c>
      <c r="F50" t="inlineStr">
        <is>
          <t>PROTEGIR EL PAISATGE i la qualitat de l'ambient visual, sonor i lumínic.</t>
        </is>
      </c>
      <c r="G50" t="inlineStr">
        <is>
          <t>Millorar la qualitat paisatgística</t>
        </is>
      </c>
    </row>
    <row r="51">
      <c r="A51" t="inlineStr">
        <is>
          <t>05.2.3</t>
        </is>
      </c>
      <c r="B51" t="inlineStr">
        <is>
          <t>Minimitzar la brutícia, deixalles, vandalisme i males praxis dins l'ENP</t>
        </is>
      </c>
      <c r="C51" t="inlineStr">
        <is>
          <t>Minimitzar la brutícia, deixalles, vandalisme i males praxis dins l'ENP</t>
        </is>
      </c>
      <c r="D51" t="inlineStr">
        <is>
          <t>2. Cultura</t>
        </is>
      </c>
      <c r="E51" t="inlineStr">
        <is>
          <t>CU</t>
        </is>
      </c>
      <c r="F51" t="inlineStr">
        <is>
          <t>PROTEGIR EL PAISATGE i la qualitat de l'ambient visual, sonor i lumínic.</t>
        </is>
      </c>
      <c r="G51" t="inlineStr">
        <is>
          <t>Protegir la qualitat acústica i lumínica de l'ENP</t>
        </is>
      </c>
    </row>
    <row r="52">
      <c r="A52" t="inlineStr">
        <is>
          <t>05.3.1</t>
        </is>
      </c>
      <c r="B52" t="inlineStr">
        <is>
          <t>Promoure la certificació de qualitat del cel nocturn</t>
        </is>
      </c>
      <c r="C52" t="inlineStr">
        <is>
          <t>Promoure la certificació de qualitat del cel nocturn</t>
        </is>
      </c>
      <c r="D52" t="inlineStr">
        <is>
          <t>2. Cultura</t>
        </is>
      </c>
      <c r="E52" t="inlineStr">
        <is>
          <t>CU</t>
        </is>
      </c>
      <c r="F52" t="inlineStr">
        <is>
          <t>PROTEGIR EL PAISATGE i la qualitat de l'ambient visual, sonor i lumínic.</t>
        </is>
      </c>
      <c r="G52" t="inlineStr">
        <is>
          <t>Protegir la qualitat acústica i lumínica de l'ENP</t>
        </is>
      </c>
    </row>
    <row r="53">
      <c r="A53" t="inlineStr">
        <is>
          <t>05.3.2</t>
        </is>
      </c>
      <c r="B53" t="inlineStr">
        <is>
          <t>Promoure la certificació de zones d'especial protecció de la qualitat acústica</t>
        </is>
      </c>
      <c r="C53" t="inlineStr">
        <is>
          <t>Promoure la certificació de zones d'especial protecció de la qualitat acústica</t>
        </is>
      </c>
      <c r="D53" t="inlineStr">
        <is>
          <t>2. Cultura</t>
        </is>
      </c>
      <c r="E53" t="inlineStr">
        <is>
          <t>CU</t>
        </is>
      </c>
      <c r="F53" t="inlineStr">
        <is>
          <t>PROTEGIR EL PAISATGE i la qualitat de l'ambient visual, sonor i lumínic.</t>
        </is>
      </c>
      <c r="G53" t="inlineStr">
        <is>
          <t>Protegir la qualitat acústica i lumínica de l'ENP</t>
        </is>
      </c>
    </row>
    <row r="54">
      <c r="A54" t="inlineStr">
        <is>
          <t>06.1.1</t>
        </is>
      </c>
      <c r="B54" t="inlineStr">
        <is>
          <t>Identificar i prioritzar els elements clau i d'interès per la gestió de la biodiversitat i geodiversitat de Catalunya es troben dins l'ENP (especies amenaçades, espècies clau, espècies típiques, espècies exòtiques invasores,.. )</t>
        </is>
      </c>
      <c r="C54" t="inlineStr">
        <is>
          <t>Identificar i prioritzar els elements clau i d'interès per la gestió de la biodiversitat i geodiversitat de Catalunya es troben dins l'ENP (especies amenaçades, espècies clau, espècies típiques, espècies exòtiques invasores,.. )</t>
        </is>
      </c>
      <c r="D54" t="inlineStr">
        <is>
          <t>3. Coneixement</t>
        </is>
      </c>
      <c r="E54" t="inlineStr">
        <is>
          <t>CO</t>
        </is>
      </c>
      <c r="F54" t="inlineStr">
        <is>
          <t>MILLORAR EL CONEIXEMENT DE L'ENTORN, del patrimoni natural, cultural i social.</t>
        </is>
      </c>
      <c r="G54" t="inlineStr">
        <is>
          <t>Identificar els objectes de gestió prioritària de l'ENP en el marc dels objectius de govern</t>
        </is>
      </c>
    </row>
    <row r="55">
      <c r="A55" t="inlineStr">
        <is>
          <t>06.1.2</t>
        </is>
      </c>
      <c r="B55" t="inlineStr">
        <is>
          <t>Definir espais fràgils i zones d'especial atenció</t>
        </is>
      </c>
      <c r="C55" t="inlineStr">
        <is>
          <t>Definir espais fràgils i zones d'especial atenció</t>
        </is>
      </c>
      <c r="D55" t="inlineStr">
        <is>
          <t>3. Coneixement</t>
        </is>
      </c>
      <c r="E55" t="inlineStr">
        <is>
          <t>CO</t>
        </is>
      </c>
      <c r="F55" t="inlineStr">
        <is>
          <t>MILLORAR EL CONEIXEMENT DE L'ENTORN, del patrimoni natural, cultural i social.</t>
        </is>
      </c>
      <c r="G55" t="inlineStr">
        <is>
          <t>Identificar els objectes de gestió prioritària de l'ENP en el marc dels objectius de govern</t>
        </is>
      </c>
    </row>
    <row r="56">
      <c r="A56" t="inlineStr">
        <is>
          <t>06.2.1</t>
        </is>
      </c>
      <c r="B56" t="inlineStr">
        <is>
          <t>Participar en l'elaboració de la cartografia ambiental que elabora la UIC</t>
        </is>
      </c>
      <c r="C56" t="inlineStr">
        <is>
          <t>Participar en l'elaboració de la cartografia ambiental que elabora la UIC</t>
        </is>
      </c>
      <c r="D56" t="inlineStr">
        <is>
          <t>3. Coneixement</t>
        </is>
      </c>
      <c r="E56" t="inlineStr">
        <is>
          <t>CO</t>
        </is>
      </c>
      <c r="F56" t="inlineStr">
        <is>
          <t>MILLORAR EL CONEIXEMENT DE L'ENTORN, del patrimoni natural, cultural i social.</t>
        </is>
      </c>
      <c r="G56" t="inlineStr">
        <is>
          <t>Conèixer l'estat de conservació i la seva tendència dels hàbitats, les espècies els elements de la gea i els processos ecològics com a eina per avaluar i optimitzar la gestió</t>
        </is>
      </c>
    </row>
    <row r="57">
      <c r="A57" t="inlineStr">
        <is>
          <t>06.2.2</t>
        </is>
      </c>
      <c r="B57" t="inlineStr">
        <is>
          <t>Conèixer i estudiar els processos naturals propis de l’espai, la seva funcionalitat, i ecologia en referència als ecosistemes</t>
        </is>
      </c>
      <c r="C57" t="inlineStr">
        <is>
          <t>Conèixer i estudiar els processos naturals propis de l’espai, la seva funcionalitat, i ecologia en referència als ecosistemes</t>
        </is>
      </c>
      <c r="D57" t="inlineStr">
        <is>
          <t>3. Coneixement</t>
        </is>
      </c>
      <c r="E57" t="inlineStr">
        <is>
          <t>CO</t>
        </is>
      </c>
      <c r="F57" t="inlineStr">
        <is>
          <t>MILLORAR EL CONEIXEMENT DE L'ENTORN, del patrimoni natural, cultural i social.</t>
        </is>
      </c>
      <c r="G57" t="inlineStr">
        <is>
          <t>Conèixer l'estat de conservació i la seva tendència dels hàbitats, les espècies els elements de la gea i els processos ecològics com a eina per avaluar i optimitzar la gestió</t>
        </is>
      </c>
    </row>
    <row r="58">
      <c r="A58" t="inlineStr">
        <is>
          <t>06.2.3</t>
        </is>
      </c>
      <c r="B58" t="inlineStr">
        <is>
          <t>Conèixer els usos i factors de canvi rellevants en l'evolució dels elements de conservació, i avaluar els efectes que generen en l’espai (pressions i amenaces)</t>
        </is>
      </c>
      <c r="C58" t="inlineStr">
        <is>
          <t>Conèixer els usos i factors de canvi rellevants en l'evolució dels elements de conservació, i avaluar els efectes que generen en l’espai (pressions i amenaces)</t>
        </is>
      </c>
      <c r="D58" t="inlineStr">
        <is>
          <t>3. Coneixement</t>
        </is>
      </c>
      <c r="E58" t="inlineStr">
        <is>
          <t>CO</t>
        </is>
      </c>
      <c r="F58" t="inlineStr">
        <is>
          <t>MILLORAR EL CONEIXEMENT DE L'ENTORN, del patrimoni natural, cultural i social.</t>
        </is>
      </c>
      <c r="G58" t="inlineStr">
        <is>
          <t>Conèixer l'estat de conservació i la seva tendència dels hàbitats, les espècies els elements de la gea i els processos ecològics com a eina per avaluar i optimitzar la gestió</t>
        </is>
      </c>
    </row>
    <row r="59">
      <c r="A59" t="inlineStr">
        <is>
          <t>06.2.4</t>
        </is>
      </c>
      <c r="B59" t="inlineStr">
        <is>
          <t>Conèixer l'impacte de les gestió de l'aigua, sobre la biodiversitat.</t>
        </is>
      </c>
      <c r="C59" t="inlineStr">
        <is>
          <t>Conèixer l'impacte de les gestió de l'aigua, sobre la biodiversitat.</t>
        </is>
      </c>
      <c r="D59" t="inlineStr">
        <is>
          <t>3. Coneixement</t>
        </is>
      </c>
      <c r="E59" t="inlineStr">
        <is>
          <t>CO</t>
        </is>
      </c>
      <c r="F59" t="inlineStr">
        <is>
          <t>MILLORAR EL CONEIXEMENT DE L'ENTORN, del patrimoni natural, cultural i social.</t>
        </is>
      </c>
      <c r="G59" t="inlineStr">
        <is>
          <t>Conèixer l'estat de conservació i la seva tendència dels hàbitats, les espècies els elements de la gea i els processos ecològics com a eina per avaluar i optimitzar la gestió</t>
        </is>
      </c>
    </row>
    <row r="60">
      <c r="A60" t="inlineStr">
        <is>
          <t>06.2.5</t>
        </is>
      </c>
      <c r="B60" t="inlineStr">
        <is>
          <t>Participar en el coneixement de la tendència d'espècies plaga amb afectacions sobre ecosistemes o activitats econòmiques dins l'ENP</t>
        </is>
      </c>
      <c r="C60" t="inlineStr">
        <is>
          <t>Participar en el coneixement de la tendència d'espècies plaga amb afectacions sobre ecosistemes o activitats econòmiques dins l'ENP</t>
        </is>
      </c>
      <c r="D60" t="inlineStr">
        <is>
          <t>3. Coneixement</t>
        </is>
      </c>
      <c r="E60" t="inlineStr">
        <is>
          <t>CO</t>
        </is>
      </c>
      <c r="F60" t="inlineStr">
        <is>
          <t>MILLORAR EL CONEIXEMENT DE L'ENTORN, del patrimoni natural, cultural i social.</t>
        </is>
      </c>
      <c r="G60" t="inlineStr">
        <is>
          <t>Estandaritzar els seguiments periòdics dels grups clau</t>
        </is>
      </c>
    </row>
    <row r="61">
      <c r="A61" t="inlineStr">
        <is>
          <t>06.2.6</t>
        </is>
      </c>
      <c r="B61" t="inlineStr">
        <is>
          <t>Conèixer la tendència d'espècies exòtiques invasores amb afectacions sobre ecosistemes o activitats econòmiques dins l'ENP</t>
        </is>
      </c>
      <c r="C61" t="inlineStr">
        <is>
          <t>Conèixer la tendència d'espècies exòtiques invasores amb afectacions sobre ecosistemes o activitats econòmiques dins l'ENP</t>
        </is>
      </c>
      <c r="D61" t="inlineStr">
        <is>
          <t>3. Coneixement</t>
        </is>
      </c>
      <c r="E61" t="inlineStr">
        <is>
          <t>CO</t>
        </is>
      </c>
      <c r="F61" t="inlineStr">
        <is>
          <t>MILLORAR EL CONEIXEMENT DE L'ENTORN, del patrimoni natural, cultural i social.</t>
        </is>
      </c>
      <c r="G61" t="inlineStr">
        <is>
          <t>Estandaritzar els seguiments periòdics dels grups clau</t>
        </is>
      </c>
    </row>
    <row r="62">
      <c r="A62" t="inlineStr">
        <is>
          <t>06.2.7</t>
        </is>
      </c>
      <c r="B62" t="inlineStr">
        <is>
          <t>Coneixer com millorar la connectivitat de forma coordinada amb altres ENP</t>
        </is>
      </c>
      <c r="C62" t="inlineStr">
        <is>
          <t>Coneixer com millorar la connectivitat de forma coordinada amb altres ENP</t>
        </is>
      </c>
      <c r="D62" t="inlineStr">
        <is>
          <t>3. Coneixement</t>
        </is>
      </c>
      <c r="E62" t="inlineStr">
        <is>
          <t>CO</t>
        </is>
      </c>
      <c r="F62" t="inlineStr">
        <is>
          <t>MILLORAR EL CONEIXEMENT DE L'ENTORN, del patrimoni natural, cultural i social.</t>
        </is>
      </c>
      <c r="G62" t="inlineStr">
        <is>
          <t>Estandaritzar els seguiments periòdics dels grups clau</t>
        </is>
      </c>
    </row>
    <row r="63">
      <c r="A63" t="inlineStr">
        <is>
          <t>06.3.1</t>
        </is>
      </c>
      <c r="B63" t="inlineStr">
        <is>
          <t>Participar en la definició del sistema estàndard de seguiment de flora, fauna i hàbitats de la DG</t>
        </is>
      </c>
      <c r="C63" t="inlineStr">
        <is>
          <t>Participar en la definició del sistema estàndard de seguiment de flora, fauna i hàbitats de la DG</t>
        </is>
      </c>
      <c r="D63" t="inlineStr">
        <is>
          <t>3. Coneixement</t>
        </is>
      </c>
      <c r="E63" t="inlineStr">
        <is>
          <t>CO</t>
        </is>
      </c>
      <c r="F63" t="inlineStr">
        <is>
          <t>MILLORAR EL CONEIXEMENT DE L'ENTORN, del patrimoni natural, cultural i social.</t>
        </is>
      </c>
      <c r="G63" t="inlineStr">
        <is>
          <t>Estandaritzar els seguiments periòdics dels grups clau</t>
        </is>
      </c>
    </row>
    <row r="64">
      <c r="A64" t="inlineStr">
        <is>
          <t>06.3.2</t>
        </is>
      </c>
      <c r="B64" t="inlineStr">
        <is>
          <t>Adequar i executar el sistema de seguiment periòdic dels grups clau de l'ENP al sistema estàndard de seguiment</t>
        </is>
      </c>
      <c r="C64" t="inlineStr">
        <is>
          <t>Adequar i executar el Programa de Seguiment de la Biodiversitat (PSB) de seguiment periòdic dels grups clau de l'ENP al sistema estàndard de seguiment</t>
        </is>
      </c>
      <c r="D64" t="inlineStr">
        <is>
          <t>3. Coneixement</t>
        </is>
      </c>
      <c r="E64" t="inlineStr">
        <is>
          <t>CO</t>
        </is>
      </c>
      <c r="F64" t="inlineStr">
        <is>
          <t>MILLORAR EL CONEIXEMENT DE L'ENTORN, del patrimoni natural, cultural i social.</t>
        </is>
      </c>
      <c r="G64" t="inlineStr">
        <is>
          <t>Estandaritzar els seguiments periòdics dels grups clau</t>
        </is>
      </c>
    </row>
    <row r="65">
      <c r="A65" t="inlineStr">
        <is>
          <t>06.3.3</t>
        </is>
      </c>
      <c r="B65" t="inlineStr">
        <is>
          <t>Mantenir una base de dades de seguiment de patrimoni natural de l'ENP actualitzada i ordenada</t>
        </is>
      </c>
      <c r="C65" t="inlineStr">
        <is>
          <t>Mantenir la base de dades del programa de seguiment de la biodiversitat (PSB) del Parc actualitzada i ordenada</t>
        </is>
      </c>
      <c r="D65" t="inlineStr">
        <is>
          <t>3. Coneixement</t>
        </is>
      </c>
      <c r="E65" t="inlineStr">
        <is>
          <t>CO</t>
        </is>
      </c>
      <c r="F65" t="inlineStr">
        <is>
          <t>MILLORAR EL CONEIXEMENT DE L'ENTORN, del patrimoni natural, cultural i social.</t>
        </is>
      </c>
      <c r="G65" t="inlineStr">
        <is>
          <t>Incrementar el coneixement de qualitat mitjançant l’establiment de marcs de col·laboració, assessorament i suport amb centres de recerca, museus i entitats naturalistes per al desenvolupament de part de la seva activitat en l’ENP</t>
        </is>
      </c>
    </row>
    <row r="66">
      <c r="A66" t="inlineStr">
        <is>
          <t>06.3.4</t>
        </is>
      </c>
      <c r="B66" t="inlineStr">
        <is>
          <t>Participar en el grups de treball per a la definició i organització del SINATCAT</t>
        </is>
      </c>
      <c r="C66" t="inlineStr">
        <is>
          <t>Participar en el grups de treball per a la definició i organització del SINATCAT</t>
        </is>
      </c>
      <c r="D66" t="inlineStr">
        <is>
          <t>3. Coneixement</t>
        </is>
      </c>
      <c r="E66" t="inlineStr">
        <is>
          <t>CO</t>
        </is>
      </c>
      <c r="F66" t="inlineStr">
        <is>
          <t>MILLORAR EL CONEIXEMENT DE L'ENTORN, del patrimoni natural, cultural i social.</t>
        </is>
      </c>
      <c r="G66" t="inlineStr">
        <is>
          <t>Incrementar el coneixement de qualitat mitjançant l’establiment de marcs de col·laboració, assessorament i suport amb centres de recerca, museus i entitats naturalistes per al desenvolupament de part de la seva activitat en l’ENP</t>
        </is>
      </c>
    </row>
    <row r="67">
      <c r="A67" t="inlineStr">
        <is>
          <t>06.4.1</t>
        </is>
      </c>
      <c r="B67" t="inlineStr">
        <is>
          <t>Crear sinèrgies i col·laborar amb museus i equipaments de referència per definir línies d'actuació conjunta entre patrimoni cultural i natural</t>
        </is>
      </c>
      <c r="C67" t="inlineStr">
        <is>
          <t>Crear sinèrgies i col·laborar amb museus i equipaments de referència per definir línies d'actuació conjunta entre patrimoni cultural i natural</t>
        </is>
      </c>
      <c r="D67" t="inlineStr">
        <is>
          <t>3. Coneixement</t>
        </is>
      </c>
      <c r="E67" t="inlineStr">
        <is>
          <t>CO</t>
        </is>
      </c>
      <c r="F67" t="inlineStr">
        <is>
          <t>MILLORAR EL CONEIXEMENT DE L'ENTORN, del patrimoni natural, cultural i social.</t>
        </is>
      </c>
      <c r="G67" t="inlineStr">
        <is>
          <t>Incrementar el coneixement de qualitat mitjançant l’establiment de marcs de col·laboració, assessorament i suport amb centres de recerca, museus i entitats naturalistes per al desenvolupament de part de la seva activitat en l’ENP</t>
        </is>
      </c>
    </row>
    <row r="68">
      <c r="A68" t="inlineStr">
        <is>
          <t>06.4.2</t>
        </is>
      </c>
      <c r="B68" t="inlineStr">
        <is>
          <t>Establir acords amb les institucions de recerca i naturalistes per al desenvolupament d'estudis i inventaris dins l'ENP en el marc de les seves línies de recerca</t>
        </is>
      </c>
      <c r="C68" t="inlineStr">
        <is>
          <t>Establir acords amb les institucions de recerca i naturalistes per al desenvolupament d'estudis i inventaris dins l'ENP en el marc de les seves línies de recerca</t>
        </is>
      </c>
      <c r="D68" t="inlineStr">
        <is>
          <t>3. Coneixement</t>
        </is>
      </c>
      <c r="E68" t="inlineStr">
        <is>
          <t>CO</t>
        </is>
      </c>
      <c r="F68" t="inlineStr">
        <is>
          <t>MILLORAR EL CONEIXEMENT DE L'ENTORN, del patrimoni natural, cultural i social.</t>
        </is>
      </c>
      <c r="G68" t="inlineStr">
        <is>
          <t>Incrementar el coneixement de qualitat mitjançant l’establiment de marcs de col·laboració, assessorament i suport amb centres de recerca, museus i entitats naturalistes per al desenvolupament de part de la seva activitat en l’ENP</t>
        </is>
      </c>
    </row>
    <row r="69">
      <c r="A69" t="inlineStr">
        <is>
          <t>06.4.3</t>
        </is>
      </c>
      <c r="B69" t="inlineStr">
        <is>
          <t>Potenciar la ciència ciutadana en l’ENP com a eina per generar coneixement</t>
        </is>
      </c>
      <c r="C69" t="inlineStr">
        <is>
          <t>Potenciar la ciència ciutadana en l’ENP com a eina per generar coneixement</t>
        </is>
      </c>
      <c r="D69" t="inlineStr">
        <is>
          <t>3. Coneixement</t>
        </is>
      </c>
      <c r="E69" t="inlineStr">
        <is>
          <t>CO</t>
        </is>
      </c>
      <c r="F69" t="inlineStr">
        <is>
          <t>MILLORAR EL CONEIXEMENT DE L'ENTORN, del patrimoni natural, cultural i social.</t>
        </is>
      </c>
      <c r="G69" t="inlineStr">
        <is>
          <t>Incrementar el coneixement de qualitat mitjançant l’establiment de marcs de col·laboració, assessorament i suport amb centres de recerca, museus i entitats naturalistes per al desenvolupament de part de la seva activitat en l’ENP</t>
        </is>
      </c>
    </row>
    <row r="70">
      <c r="A70" t="inlineStr">
        <is>
          <t>06.4.4</t>
        </is>
      </c>
      <c r="B70" t="inlineStr">
        <is>
          <t>Crear i desenvolupar jornades de recerca de l'ENP de forma anual on els diferents centres mostrin els estudis realizats en l'ENP</t>
        </is>
      </c>
      <c r="C70" t="inlineStr">
        <is>
          <t>Crear i desenvolupar jornades de recerca de l'ENP de forma anual on els diferents centres mostrin els estudis realizats en l'ENP</t>
        </is>
      </c>
      <c r="D70" t="inlineStr">
        <is>
          <t>3. Coneixement</t>
        </is>
      </c>
      <c r="E70" t="inlineStr">
        <is>
          <t>CO</t>
        </is>
      </c>
      <c r="F70" t="inlineStr">
        <is>
          <t>MILLORAR EL CONEIXEMENT DE L'ENTORN, del patrimoni natural, cultural i social.</t>
        </is>
      </c>
      <c r="G70" t="inlineStr">
        <is>
          <t>Incrementar el coneixement de qualitat mitjançant l’establiment de marcs de col·laboració, assessorament i suport amb centres de recerca, museus i entitats naturalistes per al desenvolupament de part de la seva activitat en l’ENP</t>
        </is>
      </c>
    </row>
    <row r="71">
      <c r="A71" t="inlineStr">
        <is>
          <t>06.4.5</t>
        </is>
      </c>
      <c r="B71" t="inlineStr">
        <is>
          <t>Posar a disposició de la recerca, equipaments i serveis de l'ENP</t>
        </is>
      </c>
      <c r="C71" t="inlineStr">
        <is>
          <t>Posar a disposició de la recerca, equipaments i serveis de l'ENP</t>
        </is>
      </c>
      <c r="D71" t="inlineStr">
        <is>
          <t>3. Coneixement</t>
        </is>
      </c>
      <c r="E71" t="inlineStr">
        <is>
          <t>CO</t>
        </is>
      </c>
      <c r="F71" t="inlineStr">
        <is>
          <t>MILLORAR EL CONEIXEMENT DE L'ENTORN, del patrimoni natural, cultural i social.</t>
        </is>
      </c>
      <c r="G71" t="inlineStr">
        <is>
          <t>Incrementar el coneixement de qualitat mitjançant l’establiment de marcs de col·laboració, assessorament i suport amb centres de recerca, museus i entitats naturalistes per al desenvolupament de part de la seva activitat en l’ENP</t>
        </is>
      </c>
    </row>
    <row r="72">
      <c r="A72" t="inlineStr">
        <is>
          <t>06.4.6</t>
        </is>
      </c>
      <c r="B72" t="inlineStr">
        <is>
          <t>Crear l'Observatori de recerca de l'ENP vinculat a l'Observatori del Patrimoni natural i la biodiversitat</t>
        </is>
      </c>
      <c r="C72" t="inlineStr">
        <is>
          <t>Impulsar l'Observatori de recerca de l'ENP, vinculat a l'Observatori del Patrimoni natural i la biodiversitat, i la Comissió Científica del Parc</t>
        </is>
      </c>
      <c r="D72" t="inlineStr">
        <is>
          <t>3. Coneixement</t>
        </is>
      </c>
      <c r="E72" t="inlineStr">
        <is>
          <t>CO</t>
        </is>
      </c>
      <c r="F72" t="inlineStr">
        <is>
          <t>MILLORAR EL CONEIXEMENT DE L'ENTORN, del patrimoni natural, cultural i social.</t>
        </is>
      </c>
      <c r="G72" t="inlineStr">
        <is>
          <t>Incrementar el coneixement de qualitat mitjançant l’establiment de marcs de col·laboració, assessorament i suport amb centres de recerca, museus i entitats naturalistes per al desenvolupament de part de la seva activitat en l’ENP</t>
        </is>
      </c>
    </row>
    <row r="73">
      <c r="A73" t="inlineStr">
        <is>
          <t>06.5.1</t>
        </is>
      </c>
      <c r="B73" t="inlineStr">
        <is>
          <t>Participar en la definició del sistema estàndard de seguiment de l'ús públic amb el SENP</t>
        </is>
      </c>
      <c r="C73" t="inlineStr">
        <is>
          <t>Participar en la definició del sistema estàndard de seguiment de l'ús públic amb el SENP</t>
        </is>
      </c>
      <c r="D73" t="inlineStr">
        <is>
          <t>3. Coneixement</t>
        </is>
      </c>
      <c r="E73" t="inlineStr">
        <is>
          <t>CO</t>
        </is>
      </c>
      <c r="F73" t="inlineStr">
        <is>
          <t>MILLORAR EL CONEIXEMENT DE L'ENTORN, del patrimoni natural, cultural i social.</t>
        </is>
      </c>
      <c r="G73" t="inlineStr">
        <is>
          <t>Millorar el coneixement global de les dinàmiques d'usos antròpics de l’ENP</t>
        </is>
      </c>
    </row>
    <row r="74">
      <c r="A74" t="inlineStr">
        <is>
          <t>06.5.2</t>
        </is>
      </c>
      <c r="B74" t="inlineStr">
        <is>
          <t>Disposar de dades de freqüentació i perfil d'usuari en l'ENP i en especial en equipaments i en zones d'alta freqüentació segons el model de DG</t>
        </is>
      </c>
      <c r="C74" t="inlineStr">
        <is>
          <t>Disposar de dades de freqüentació i perfil d'usuari en l'ENP i en especial en equipaments i en zones d'alta freqüentació segons el model de DG</t>
        </is>
      </c>
      <c r="D74" t="inlineStr">
        <is>
          <t>3. Coneixement</t>
        </is>
      </c>
      <c r="E74" t="inlineStr">
        <is>
          <t>CO</t>
        </is>
      </c>
      <c r="F74" t="inlineStr">
        <is>
          <t>MILLORAR EL CONEIXEMENT DE L'ENTORN, del patrimoni natural, cultural i social.</t>
        </is>
      </c>
      <c r="G74" t="inlineStr">
        <is>
          <t>Millorar el coneixement global de les dinàmiques d'usos antròpics de l’ENP</t>
        </is>
      </c>
    </row>
    <row r="75">
      <c r="A75" t="inlineStr">
        <is>
          <t>06.5.3</t>
        </is>
      </c>
      <c r="B75" t="inlineStr">
        <is>
          <t>Identificar les activitats i actors de l’espai.</t>
        </is>
      </c>
      <c r="C75" t="inlineStr">
        <is>
          <t>Identificar les activitats i actors de l’espai.</t>
        </is>
      </c>
      <c r="D75" t="inlineStr">
        <is>
          <t>3. Coneixement</t>
        </is>
      </c>
      <c r="E75" t="inlineStr">
        <is>
          <t>CO</t>
        </is>
      </c>
      <c r="F75" t="inlineStr">
        <is>
          <t>MILLORAR EL CONEIXEMENT DE L'ENTORN, del patrimoni natural, cultural i social.</t>
        </is>
      </c>
      <c r="G75" t="inlineStr">
        <is>
          <t>Millorar el coneixement global de les dinàmiques d'usos antròpics de l’ENP</t>
        </is>
      </c>
    </row>
    <row r="76">
      <c r="A76" t="inlineStr">
        <is>
          <t>06.5.4</t>
        </is>
      </c>
      <c r="B76" t="inlineStr">
        <is>
          <t>Identificar en cartografia les males praxis i punts de massificació</t>
        </is>
      </c>
      <c r="C76" t="inlineStr">
        <is>
          <t>Identificar en cartografia les males praxis i punts de massificació</t>
        </is>
      </c>
      <c r="D76" t="inlineStr">
        <is>
          <t>3. Coneixement</t>
        </is>
      </c>
      <c r="E76" t="inlineStr">
        <is>
          <t>CO</t>
        </is>
      </c>
      <c r="F76" t="inlineStr">
        <is>
          <t>MILLORAR EL CONEIXEMENT DE L'ENTORN, del patrimoni natural, cultural i social.</t>
        </is>
      </c>
      <c r="G76" t="inlineStr">
        <is>
          <t>Millorar el coneixement global de les dinàmiques d'usos antròpics de l’ENP</t>
        </is>
      </c>
    </row>
    <row r="77">
      <c r="A77" t="inlineStr">
        <is>
          <t>06.5.5</t>
        </is>
      </c>
      <c r="B77" t="inlineStr">
        <is>
          <t>Adaptar i mantenir un registre d'activitats, actors i inciències en ús públic (curses, conflictes, queixes, etc)</t>
        </is>
      </c>
      <c r="C77" t="inlineStr">
        <is>
          <t>Adaptar i mantenir un registre d'activitats, actors i inciències en ús públic (curses, conflictes, queixes, etc)</t>
        </is>
      </c>
      <c r="D77" t="inlineStr">
        <is>
          <t>3. Coneixement</t>
        </is>
      </c>
      <c r="E77" t="inlineStr">
        <is>
          <t>CO</t>
        </is>
      </c>
      <c r="F77" t="inlineStr">
        <is>
          <t>MILLORAR EL CONEIXEMENT DE L'ENTORN, del patrimoni natural, cultural i social.</t>
        </is>
      </c>
      <c r="G77" t="inlineStr">
        <is>
          <t>Millorar el coneixement global de les dinàmiques d'usos antròpics de l’ENP</t>
        </is>
      </c>
    </row>
    <row r="78">
      <c r="A78" t="inlineStr">
        <is>
          <t>06.5.6</t>
        </is>
      </c>
      <c r="B78" t="inlineStr">
        <is>
          <t>Identificar els impactes (positius i negatius) que generen les activitats d'ús públic dins l'ENP</t>
        </is>
      </c>
      <c r="C78" t="inlineStr">
        <is>
          <t>Identificar els impactes (positius i negatius) que generen les activitats d'ús públic dins l'ENP</t>
        </is>
      </c>
      <c r="D78" t="inlineStr">
        <is>
          <t>3. Coneixement</t>
        </is>
      </c>
      <c r="E78" t="inlineStr">
        <is>
          <t>CO</t>
        </is>
      </c>
      <c r="F78" t="inlineStr">
        <is>
          <t>MILLORAR EL CONEIXEMENT DE L'ENTORN, del patrimoni natural, cultural i social.</t>
        </is>
      </c>
      <c r="G78" t="inlineStr">
        <is>
          <t>Millorar el coneixement global de les dinàmiques d'usos antròpics de l’ENP</t>
        </is>
      </c>
    </row>
    <row r="79">
      <c r="A79" t="inlineStr">
        <is>
          <t>07.1.1</t>
        </is>
      </c>
      <c r="B79" t="inlineStr">
        <is>
          <t>Promoure i col·laborar en l'aplicació de Plans de Desenvolupament Local Sostenible</t>
        </is>
      </c>
      <c r="C79" t="inlineStr">
        <is>
          <t>Promoure i col·laborar en l'aplicació de Plans de Desenvolupament Local Sostenible</t>
        </is>
      </c>
      <c r="D79" t="inlineStr">
        <is>
          <t>4. Desenvolupament local</t>
        </is>
      </c>
      <c r="E79" t="inlineStr">
        <is>
          <t>DE</t>
        </is>
      </c>
      <c r="F79" t="inlineStr">
        <is>
          <t>FIXAR LA POBLACIÓ AL TERRITORI d'acord amb les oportunitats que generen els objectius de l'espai.</t>
        </is>
      </c>
      <c r="G79" t="inlineStr">
        <is>
          <t>Fomentar i donar suport tècnic als Plans de desenvolupament socioecomònic local sostenible dels municipis</t>
        </is>
      </c>
    </row>
    <row r="80">
      <c r="A80" t="inlineStr">
        <is>
          <t>08.1.1</t>
        </is>
      </c>
      <c r="B80" t="inlineStr">
        <is>
          <t>Acompanyar i assessorar els productors agraris i forestals per millorar les tècniques productives agràries i forestals i afavorir la conservació dels hàbitats i paisatges</t>
        </is>
      </c>
      <c r="C80" t="inlineStr">
        <is>
          <t>Acompanyar i assessorar els productors agraris i forestals per millorar les tècniques productives agràries i forestals i afavorir la conservació dels hàbitats i paisatges</t>
        </is>
      </c>
      <c r="D80" t="inlineStr">
        <is>
          <t>4. Desenvolupament local</t>
        </is>
      </c>
      <c r="E80" t="inlineStr">
        <is>
          <t>DE</t>
        </is>
      </c>
      <c r="F80" t="inlineStr">
        <is>
          <t>APROFITAR ELS RECURSOS NATURALS DE FORMA SOSTENIBLE mitjançant desenvolupament dels aprofitaments tradicionals de forma compatible amb la conservació de l'espai</t>
        </is>
      </c>
      <c r="G80" t="inlineStr">
        <is>
          <t>Impulsar models productius agraris i forestals per tal d'afavorir la conservació dels hàbitats i els paisatges modelats per aquestes, i contribuir a la millora socioeconòmica de les persones que la fan possible</t>
        </is>
      </c>
    </row>
    <row r="81">
      <c r="A81" t="inlineStr">
        <is>
          <t>08.1.2</t>
        </is>
      </c>
      <c r="B81" t="inlineStr">
        <is>
          <t>Oferir formació als productors agraris per millorar el seu coneixement sobre tècniques eficients i respectuoses amb la conservació del patrimoni natural i cultural</t>
        </is>
      </c>
      <c r="C81" t="inlineStr">
        <is>
          <t>Oferir formació als productors agraris per millorar el seu coneixement sobre tècniques eficients i respectuoses amb la conservació del patrimoni natural i cultural</t>
        </is>
      </c>
      <c r="D81" t="inlineStr">
        <is>
          <t>4. Desenvolupament local</t>
        </is>
      </c>
      <c r="E81" t="inlineStr">
        <is>
          <t>DE</t>
        </is>
      </c>
      <c r="F81" t="inlineStr">
        <is>
          <t>APROFITAR ELS RECURSOS NATURALS DE FORMA SOSTENIBLE mitjançant desenvolupament dels aprofitaments tradicionals de forma compatible amb la conservació de l'espai</t>
        </is>
      </c>
      <c r="G81" t="inlineStr">
        <is>
          <t>Impulsar models productius agraris i forestals per tal d'afavorir la conservació dels hàbitats i els paisatges modelats per aquestes, i contribuir a la millora socioeconòmica de les persones que la fan possible</t>
        </is>
      </c>
    </row>
    <row r="82">
      <c r="A82" t="inlineStr">
        <is>
          <t>08.1.3</t>
        </is>
      </c>
      <c r="B82" t="inlineStr">
        <is>
          <t>Promoure la recuperació i conservació de marges i punts d'aigua associats a la ramaderia i l'agricultura i d'interès per la biodiversitat</t>
        </is>
      </c>
      <c r="C82" t="inlineStr">
        <is>
          <t>Promoure la recuperació i conservació de marges, punts d'aigua i altres infraestructures associats a l'activitat agroramadera i d'interès per la biodiversitat</t>
        </is>
      </c>
      <c r="D82" t="inlineStr">
        <is>
          <t>4. Desenvolupament local</t>
        </is>
      </c>
      <c r="E82" t="inlineStr">
        <is>
          <t>DE</t>
        </is>
      </c>
      <c r="F82" t="inlineStr">
        <is>
          <t>APROFITAR ELS RECURSOS NATURALS DE FORMA SOSTENIBLE mitjançant desenvolupament dels aprofitaments tradicionals de forma compatible amb la conservació de l'espai</t>
        </is>
      </c>
      <c r="G82" t="inlineStr">
        <is>
          <t>Impulsar models productius agraris i forestals per tal d'afavorir la conservació dels hàbitats i els paisatges modelats per aquestes, i contribuir a la millora socioeconòmica de les persones que la fan possible</t>
        </is>
      </c>
    </row>
    <row r="83">
      <c r="A83" t="inlineStr">
        <is>
          <t>08.2.1</t>
        </is>
      </c>
      <c r="B83" t="inlineStr">
        <is>
          <t>Establir una relació contínua amb agents socioeconòmics del territori, i si s'escau, crear una Taula de desenvolupament local</t>
        </is>
      </c>
      <c r="C83" t="inlineStr">
        <is>
          <t>Establir una relació contínua amb agents socioeconòmics del territori a través de l'Associacio de Productors i Elaboradors Agroalimentaris del Parc "del Parc al Plat", la Comissió Ramadera (de nova creació) i per la resta amb taules específiques (artesans, sector forestal,...)</t>
        </is>
      </c>
      <c r="D83" t="inlineStr">
        <is>
          <t>4. Desenvolupament local</t>
        </is>
      </c>
      <c r="E83" t="inlineStr">
        <is>
          <t>DE</t>
        </is>
      </c>
      <c r="F83" t="inlineStr">
        <is>
          <t>APROFITAR ELS RECURSOS NATURALS DE FORMA SOSTENIBLE mitjançant desenvolupament dels aprofitaments tradicionals de forma compatible amb la conservació de l'espai</t>
        </is>
      </c>
      <c r="G83" t="inlineStr">
        <is>
          <t>Promoure la coordinació amb els agents socioeconòmics del territori pel foment del desenvolupament sostenible de l'espai (sector primari i secundari)</t>
        </is>
      </c>
    </row>
    <row r="84">
      <c r="A84" t="inlineStr">
        <is>
          <t>08.3.1</t>
        </is>
      </c>
      <c r="B84" t="inlineStr">
        <is>
          <t>Implantar un distintiu de qualitat i compatibilitat amb la conservació dels productes de la Xarxa d'ENP o criteris de qualitat propis de l'ENP</t>
        </is>
      </c>
      <c r="C84" t="inlineStr">
        <is>
          <t>Implantar un distintiu de qualitat i compatibilitat amb la conservació dels productes de la Xarxa d'ENP o criteris de qualitat propis de l'ENP</t>
        </is>
      </c>
      <c r="D84" t="inlineStr">
        <is>
          <t>4. Desenvolupament local</t>
        </is>
      </c>
      <c r="E84" t="inlineStr">
        <is>
          <t>DE</t>
        </is>
      </c>
      <c r="F84" t="inlineStr">
        <is>
          <t>APROFITAR ELS RECURSOS NATURALS DE FORMA SOSTENIBLE mitjançant desenvolupament dels aprofitaments tradicionals de forma compatible amb la conservació de l'espai</t>
        </is>
      </c>
      <c r="G84" t="inlineStr">
        <is>
          <t>Millorar la valorització i comercialització dels productes generats a l'ENP que contribueixen al desenvolupament socioeconòmic i la conservació del patrimoni de l'ENP</t>
        </is>
      </c>
    </row>
    <row r="85">
      <c r="A85" t="inlineStr">
        <is>
          <t>08.3.2</t>
        </is>
      </c>
      <c r="B85" t="inlineStr">
        <is>
          <t>Integrar els productes i activitats locals de qualitat en l'oferta d'activitats d'informació i turístiques de l'ENP</t>
        </is>
      </c>
      <c r="C85" t="inlineStr">
        <is>
          <t>Integrar els productes i activitats locals de qualitat en l'oferta d'activitats d'informació i turístiques de l'ENP</t>
        </is>
      </c>
      <c r="D85" t="inlineStr">
        <is>
          <t>4. Desenvolupament local</t>
        </is>
      </c>
      <c r="E85" t="inlineStr">
        <is>
          <t>DE</t>
        </is>
      </c>
      <c r="F85" t="inlineStr">
        <is>
          <t>APROFITAR ELS RECURSOS NATURALS DE FORMA SOSTENIBLE mitjançant desenvolupament dels aprofitaments tradicionals de forma compatible amb la conservació de l'espai</t>
        </is>
      </c>
      <c r="G85" t="inlineStr">
        <is>
          <t>Millorar la valorització i comercialització dels productes generats a l'ENP que contribueixen al desenvolupament socioeconòmic i la conservació del patrimoni de l'ENP</t>
        </is>
      </c>
    </row>
    <row r="86">
      <c r="A86" t="inlineStr">
        <is>
          <t>08.3.3</t>
        </is>
      </c>
      <c r="B86" t="inlineStr">
        <is>
          <t>Promoure fires d'artesania i productes locals de l'ENP</t>
        </is>
      </c>
      <c r="C86" t="inlineStr">
        <is>
          <t>Promoure fires d'artesania i productes locals de l'ENP</t>
        </is>
      </c>
      <c r="D86" t="inlineStr">
        <is>
          <t>4. Desenvolupament local</t>
        </is>
      </c>
      <c r="E86" t="inlineStr">
        <is>
          <t>DE</t>
        </is>
      </c>
      <c r="F86" t="inlineStr">
        <is>
          <t>APROFITAR ELS RECURSOS NATURALS DE FORMA SOSTENIBLE mitjançant desenvolupament dels aprofitaments tradicionals de forma compatible amb la conservació de l'espai</t>
        </is>
      </c>
      <c r="G86" t="inlineStr">
        <is>
          <t>Millorar la valorització i comercialització dels productes generats a l'ENP que contribueixen al desenvolupament socioeconòmic i la conservació del patrimoni de l'ENP</t>
        </is>
      </c>
    </row>
    <row r="87">
      <c r="A87" t="inlineStr">
        <is>
          <t>08.3.4</t>
        </is>
      </c>
      <c r="B87" t="inlineStr">
        <is>
          <t>Generar aliances entre el sector primari, el turisme, la restauració i altres per fomentar la gastronomia local</t>
        </is>
      </c>
      <c r="C87" t="inlineStr">
        <is>
          <t>Generar aliances entre el sector primari, el turisme, la restauració i altres per fomentar la gastronomia local</t>
        </is>
      </c>
      <c r="D87" t="inlineStr">
        <is>
          <t>4. Desenvolupament local</t>
        </is>
      </c>
      <c r="E87" t="inlineStr">
        <is>
          <t>DE</t>
        </is>
      </c>
      <c r="F87" t="inlineStr">
        <is>
          <t>APROFITAR ELS RECURSOS NATURALS DE FORMA SOSTENIBLE mitjançant desenvolupament dels aprofitaments tradicionals de forma compatible amb la conservació de l'espai</t>
        </is>
      </c>
      <c r="G87" t="inlineStr">
        <is>
          <t>Millorar la valorització i comercialització dels productes generats a l'ENP que contribueixen al desenvolupament socioeconòmic i la conservació del patrimoni de l'ENP</t>
        </is>
      </c>
    </row>
    <row r="88">
      <c r="A88" t="inlineStr">
        <is>
          <t>08.3.5</t>
        </is>
      </c>
      <c r="B88" t="inlineStr">
        <is>
          <t>Elaborar una diagnòsi del teixit productiu local i un pla d’acció amb línies de treball i actuacions concretes per donar-li suport</t>
        </is>
      </c>
      <c r="C88" t="inlineStr">
        <is>
          <t>Elaborar una diagnòsi del teixit productiu local i un pla d’acció amb línies de treball i actuacions concretes per donar-li suport</t>
        </is>
      </c>
      <c r="D88" t="inlineStr">
        <is>
          <t>4. Desenvolupament local</t>
        </is>
      </c>
      <c r="E88" t="inlineStr">
        <is>
          <t>DE</t>
        </is>
      </c>
      <c r="F88" t="inlineStr">
        <is>
          <t>APROFITAR ELS RECURSOS NATURALS DE FORMA SOSTENIBLE mitjançant desenvolupament dels aprofitaments tradicionals de forma compatible amb la conservació de l'espai</t>
        </is>
      </c>
      <c r="G88" t="inlineStr">
        <is>
          <t>Millorar la valorització i comercialització dels productes generats a l'ENP que contribueixen al desenvolupament socioeconòmic i la conservació del patrimoni de l'ENP</t>
        </is>
      </c>
    </row>
    <row r="89">
      <c r="A89" t="inlineStr">
        <is>
          <t>08.3.6</t>
        </is>
      </c>
      <c r="B89" t="inlineStr">
        <is>
          <t>Elaborar una guia per promocionar els agents del territori que potencien i difonen els productes alimentaris locals i de qualitat (allotjaments, restaurants, cellers, establiments, elaboradors i productors)</t>
        </is>
      </c>
      <c r="C89" t="inlineStr">
        <is>
          <t>Elaborar una guia per promocionar els agents del territori que potencien i difonen els productes alimentaris locals i de qualitat (allotjaments, restaurants, cellers, establiments, elaboradors i productors)</t>
        </is>
      </c>
      <c r="D89" t="inlineStr">
        <is>
          <t>4. Desenvolupament local</t>
        </is>
      </c>
      <c r="E89" t="inlineStr">
        <is>
          <t>DE</t>
        </is>
      </c>
      <c r="F89" t="inlineStr">
        <is>
          <t>APROFITAR ELS RECURSOS NATURALS DE FORMA SOSTENIBLE mitjançant desenvolupament dels aprofitaments tradicionals de forma compatible amb la conservació de l'espai</t>
        </is>
      </c>
      <c r="G89" t="inlineStr">
        <is>
          <t>Millorar la valorització i comercialització dels productes generats a l'ENP que contribueixen al desenvolupament socioeconòmic i la conservació del patrimoni de l'ENP</t>
        </is>
      </c>
    </row>
    <row r="90">
      <c r="A90" t="inlineStr">
        <is>
          <t>08.4.1</t>
        </is>
      </c>
      <c r="B90" t="inlineStr">
        <is>
          <t>Treballar amb l'autoritat competent per garantir objectius de conservació d’espècies i hàbitats en la revisió dels Plans de Gestió Cinegètica</t>
        </is>
      </c>
      <c r="C90" t="inlineStr">
        <is>
          <t>Treballar amb l'autoritat competent per garantir objectius de conservació d’espècies i hàbitats en la revisió dels Plans de Gestió Cinegètica</t>
        </is>
      </c>
      <c r="D90" t="inlineStr">
        <is>
          <t>4. Desenvolupament local</t>
        </is>
      </c>
      <c r="E90" t="inlineStr">
        <is>
          <t>DE</t>
        </is>
      </c>
      <c r="F90" t="inlineStr">
        <is>
          <t>APROFITAR ELS RECURSOS NATURALS DE FORMA SOSTENIBLE mitjançant desenvolupament dels aprofitaments tradicionals de forma compatible amb la conservació de l'espai</t>
        </is>
      </c>
      <c r="G90" t="inlineStr">
        <is>
          <t>Contribuir a una correcta planificació i gestió dels recursos cinegètics i piscícoles de forma compatible amb els valors de l'ENP</t>
        </is>
      </c>
    </row>
    <row r="91">
      <c r="A91" t="inlineStr">
        <is>
          <t>08.4.2</t>
        </is>
      </c>
      <c r="B91" t="inlineStr">
        <is>
          <t>Col·laborar en la regulació i ordenació de la caça i la pesca en zones sensibles o amb risc d'afectació d'elements clau objecte de conservació</t>
        </is>
      </c>
      <c r="C91" t="inlineStr">
        <is>
          <t>Col·laborar en la regulació i ordenació de la caça i la pesca en zones sensibles o amb risc d'afectació d'elements clau objecte de conservació</t>
        </is>
      </c>
      <c r="D91" t="inlineStr">
        <is>
          <t>4. Desenvolupament local</t>
        </is>
      </c>
      <c r="E91" t="inlineStr">
        <is>
          <t>DE</t>
        </is>
      </c>
      <c r="F91" t="inlineStr">
        <is>
          <t>APROFITAR ELS RECURSOS NATURALS DE FORMA SOSTENIBLE mitjançant desenvolupament dels aprofitaments tradicionals de forma compatible amb la conservació de l'espai</t>
        </is>
      </c>
      <c r="G91" t="inlineStr">
        <is>
          <t>Contribuir a una correcta planificació i gestió dels recursos cinegètics i piscícoles de forma compatible amb els valors de l'ENP</t>
        </is>
      </c>
    </row>
    <row r="92">
      <c r="A92" t="inlineStr">
        <is>
          <t>08.4.3</t>
        </is>
      </c>
      <c r="B92" t="inlineStr">
        <is>
          <t>Donar suport en la gestió de poblacions que generen danys a les activitats econòmiques de l'ENP</t>
        </is>
      </c>
      <c r="C92" t="inlineStr">
        <is>
          <t>Donar suport en la gestió de poblacions que generen danys a les activitats econòmiques de l'ENP</t>
        </is>
      </c>
      <c r="D92" t="inlineStr">
        <is>
          <t>4. Desenvolupament local</t>
        </is>
      </c>
      <c r="E92" t="inlineStr">
        <is>
          <t>DE</t>
        </is>
      </c>
      <c r="F92" t="inlineStr">
        <is>
          <t>APROFITAR ELS RECURSOS NATURALS DE FORMA SOSTENIBLE mitjançant desenvolupament dels aprofitaments tradicionals de forma compatible amb la conservació de l'espai</t>
        </is>
      </c>
      <c r="G92" t="inlineStr">
        <is>
          <t>Contribuir a una correcta planificació i gestió dels recursos cinegètics i piscícoles de forma compatible amb els valors de l'ENP</t>
        </is>
      </c>
    </row>
    <row r="93">
      <c r="A93" t="inlineStr">
        <is>
          <t>09.1.1</t>
        </is>
      </c>
      <c r="B93" t="inlineStr">
        <is>
          <t>Desplegar la Carta Europea de Turisme Sostenible (CETS)</t>
        </is>
      </c>
      <c r="C93" t="inlineStr">
        <is>
          <t>Desplegar la Carta Europea de Turisme Sostenible (CETS)</t>
        </is>
      </c>
      <c r="D93" t="inlineStr">
        <is>
          <t>4. Desenvolupament local</t>
        </is>
      </c>
      <c r="E93" t="inlineStr">
        <is>
          <t>DE</t>
        </is>
      </c>
      <c r="F93" t="inlineStr">
        <is>
          <t>FOMENTAR UN TURISME SOSTENIBLE compatible amb la conservació de l'espai</t>
        </is>
      </c>
      <c r="G93" t="inlineStr">
        <is>
          <t>Fomentar un model de turisme que promogui els valors dels espais naturals protegits d'acord amb els agents turístics del territori</t>
        </is>
      </c>
    </row>
    <row r="94">
      <c r="A94" t="inlineStr">
        <is>
          <t>09.1.2</t>
        </is>
      </c>
      <c r="B94" t="inlineStr">
        <is>
          <t>Tramitar la certificació Biosphere</t>
        </is>
      </c>
      <c r="C94" t="inlineStr">
        <is>
          <t>Tramitar la certificació Wild Rivers</t>
        </is>
      </c>
      <c r="D94" t="inlineStr">
        <is>
          <t>4. Desenvolupament local</t>
        </is>
      </c>
      <c r="E94" t="inlineStr">
        <is>
          <t>DE</t>
        </is>
      </c>
      <c r="F94" t="inlineStr">
        <is>
          <t>FOMENTAR UN TURISME SOSTENIBLE compatible amb la conservació de l'espai</t>
        </is>
      </c>
      <c r="G94" t="inlineStr">
        <is>
          <t>Fomentar un model de turisme que promogui els valors dels espais naturals protegits d'acord amb els agents turístics del territori</t>
        </is>
      </c>
    </row>
    <row r="95">
      <c r="A95" t="inlineStr">
        <is>
          <t>09.1.3</t>
        </is>
      </c>
      <c r="B95" t="inlineStr">
        <is>
          <t>Fomentar el guiatge interpretatiu al Parc Natural</t>
        </is>
      </c>
      <c r="C95" t="inlineStr">
        <is>
          <t>Fomentar el guiatge interpretatiu al Parc Natural</t>
        </is>
      </c>
      <c r="D95" t="inlineStr">
        <is>
          <t>4. Desenvolupament local</t>
        </is>
      </c>
      <c r="E95" t="inlineStr">
        <is>
          <t>DE</t>
        </is>
      </c>
      <c r="F95" t="inlineStr">
        <is>
          <t>FOMENTAR UN TURISME SOSTENIBLE compatible amb la conservació de l'espai</t>
        </is>
      </c>
      <c r="G95" t="inlineStr">
        <is>
          <t>Fomentar un model de turisme que promogui els valors dels espais naturals protegits d'acord amb els agents turístics del territori</t>
        </is>
      </c>
    </row>
    <row r="96">
      <c r="A96" t="inlineStr">
        <is>
          <t>09.2.1</t>
        </is>
      </c>
      <c r="B96" t="inlineStr">
        <is>
          <t>Treballar amb les empreses turístiques per trobar eines de canvi cap a un model de turisme sostenible i de qualitat</t>
        </is>
      </c>
      <c r="C96" t="inlineStr">
        <is>
          <t>Treballar amb les empreses turístiques per trobar eines de canvi cap a un model de turisme regeneratiu</t>
        </is>
      </c>
      <c r="D96" t="inlineStr">
        <is>
          <t>4. Desenvolupament local</t>
        </is>
      </c>
      <c r="E96" t="inlineStr">
        <is>
          <t>DE</t>
        </is>
      </c>
      <c r="F96" t="inlineStr">
        <is>
          <t>FOMENTAR UN TURISME SOSTENIBLE compatible amb la conservació de l'espai</t>
        </is>
      </c>
      <c r="G96" t="inlineStr">
        <is>
          <t>Promoure la coordinació amb els agents turístics del territori (empreses, industries, administració).</t>
        </is>
      </c>
    </row>
    <row r="97">
      <c r="A97" t="inlineStr">
        <is>
          <t>09.2.2</t>
        </is>
      </c>
      <c r="B97" t="inlineStr">
        <is>
          <t>Crear productes i paquets turístics amb associacions d’empreses turístiques i operadors turístics</t>
        </is>
      </c>
      <c r="C97" t="inlineStr">
        <is>
          <t>Promoure grups de treball específics en els diferetns àmbits del sector turístic</t>
        </is>
      </c>
      <c r="D97" t="inlineStr">
        <is>
          <t>4. Desenvolupament local</t>
        </is>
      </c>
      <c r="E97" t="inlineStr">
        <is>
          <t>DE</t>
        </is>
      </c>
      <c r="F97" t="inlineStr">
        <is>
          <t>FOMENTAR UN TURISME SOSTENIBLE compatible amb la conservació de l'espai</t>
        </is>
      </c>
      <c r="G97" t="inlineStr">
        <is>
          <t>Promoure la coordinació amb els agents turístics del territori (empreses, industries, administració).</t>
        </is>
      </c>
    </row>
    <row r="98">
      <c r="A98" t="inlineStr">
        <is>
          <t>10.1.1</t>
        </is>
      </c>
      <c r="B98" t="inlineStr">
        <is>
          <t>Establir un model de construcció a l'ENP en base al model de Pla de protecció</t>
        </is>
      </c>
      <c r="C98" t="inlineStr">
        <is>
          <t>Establir un model arquitectònic de construcció a l'ENP adaptat als seus valors naturals i culturals</t>
        </is>
      </c>
      <c r="D98" t="inlineStr">
        <is>
          <t>5. Ús públic i social</t>
        </is>
      </c>
      <c r="E98" t="inlineStr">
        <is>
          <t>US</t>
        </is>
      </c>
      <c r="F98" t="inlineStr">
        <is>
          <t>ORDENAR ELS USOS I APROFITAMENTS per garantir l'equilibri de les activitats humanes amb la conservació de la biodiversitat</t>
        </is>
      </c>
      <c r="G98" t="inlineStr">
        <is>
          <t>Estandarditzar de regulació d'usos i aprofitaments en base al model de Pla de protecció</t>
        </is>
      </c>
    </row>
    <row r="99">
      <c r="A99" t="inlineStr">
        <is>
          <t>11.1.1</t>
        </is>
      </c>
      <c r="B99" t="inlineStr">
        <is>
          <t>Regular l'acampada i pernoctació en base al model de Pla de protecció</t>
        </is>
      </c>
      <c r="C99" t="inlineStr">
        <is>
          <t>Regular l'acampada i pernoctació</t>
        </is>
      </c>
      <c r="D99" t="inlineStr">
        <is>
          <t>5. Ús públic i social</t>
        </is>
      </c>
      <c r="E99" t="inlineStr">
        <is>
          <t>US</t>
        </is>
      </c>
      <c r="F99" t="inlineStr">
        <is>
          <t>ORDENAR L'ÚS PÚBLIC I SOCIAL per a la protecció dels hàbitats, espècies i elements geològics</t>
        </is>
      </c>
      <c r="G99" t="inlineStr">
        <is>
          <t>Estandaritzar regulació de l’ús públic i social en base al model acordat per govern</t>
        </is>
      </c>
    </row>
    <row r="100">
      <c r="A100" t="inlineStr">
        <is>
          <t>11.1.2</t>
        </is>
      </c>
      <c r="B100" t="inlineStr">
        <is>
          <t>Regular la circulació rodada no motoritzada en base al model de Pla de protecció</t>
        </is>
      </c>
      <c r="C100" t="inlineStr">
        <is>
          <t>Regular la circulació rodada no motoritzada (BTT)</t>
        </is>
      </c>
      <c r="D100" t="inlineStr">
        <is>
          <t>5. Ús públic i social</t>
        </is>
      </c>
      <c r="E100" t="inlineStr">
        <is>
          <t>US</t>
        </is>
      </c>
      <c r="F100" t="inlineStr">
        <is>
          <t>ORDENAR L'ÚS PÚBLIC I SOCIAL per a la protecció dels hàbitats, espècies i elements geològics</t>
        </is>
      </c>
      <c r="G100" t="inlineStr">
        <is>
          <t>Estandaritzar regulació de l’ús públic i social en base al model acordat per govern</t>
        </is>
      </c>
    </row>
    <row r="101">
      <c r="A101" t="inlineStr">
        <is>
          <t>11.1.3</t>
        </is>
      </c>
      <c r="B101" t="inlineStr">
        <is>
          <t>Regular l'escalada i alpinisme, barranquisme, i espeleologia en base al model de Pla de protecció</t>
        </is>
      </c>
      <c r="C101" t="inlineStr">
        <is>
          <t>Regular vies ferrades, activitats hivernals de neu, barranquisme, i espeleologia</t>
        </is>
      </c>
      <c r="D101" t="inlineStr">
        <is>
          <t>5. Ús públic i social</t>
        </is>
      </c>
      <c r="E101" t="inlineStr">
        <is>
          <t>US</t>
        </is>
      </c>
      <c r="F101" t="inlineStr">
        <is>
          <t>ORDENAR L'ÚS PÚBLIC I SOCIAL per a la protecció dels hàbitats, espècies i elements geològics</t>
        </is>
      </c>
      <c r="G101" t="inlineStr">
        <is>
          <t>Estandaritzar regulació de l’ús públic i social en base al model acordat per govern</t>
        </is>
      </c>
    </row>
    <row r="102">
      <c r="A102" t="inlineStr">
        <is>
          <t>11.1.4</t>
        </is>
      </c>
      <c r="B102" t="inlineStr">
        <is>
          <t>Regular les curses i altres activitats esportives organitzades en base al model de Pla de protecció</t>
        </is>
      </c>
      <c r="C102" t="inlineStr">
        <is>
          <t>Regular les curses i altres activitats esportives organitzades</t>
        </is>
      </c>
      <c r="D102" t="inlineStr">
        <is>
          <t>5. Ús públic i social</t>
        </is>
      </c>
      <c r="E102" t="inlineStr">
        <is>
          <t>US</t>
        </is>
      </c>
      <c r="F102" t="inlineStr">
        <is>
          <t>ORDENAR L'ÚS PÚBLIC I SOCIAL per a la protecció dels hàbitats, espècies i elements geològics</t>
        </is>
      </c>
      <c r="G102" t="inlineStr">
        <is>
          <t>Estandaritzar regulació de l’ús públic i social en base al model acordat per govern</t>
        </is>
      </c>
    </row>
    <row r="103">
      <c r="A103" t="inlineStr">
        <is>
          <t>11.1.5</t>
        </is>
      </c>
      <c r="B103" t="inlineStr">
        <is>
          <t>Regular els enregistraments i l'observació de fauna i natura en base al model de Pla de protecció</t>
        </is>
      </c>
      <c r="C103" t="inlineStr">
        <is>
          <t>Regular els enregistraments i l'observació de fauna i natura</t>
        </is>
      </c>
      <c r="D103" t="inlineStr">
        <is>
          <t>5. Ús públic i social</t>
        </is>
      </c>
      <c r="E103" t="inlineStr">
        <is>
          <t>US</t>
        </is>
      </c>
      <c r="F103" t="inlineStr">
        <is>
          <t>ORDENAR L'ÚS PÚBLIC I SOCIAL per a la protecció dels hàbitats, espècies i elements geològics</t>
        </is>
      </c>
      <c r="G103" t="inlineStr">
        <is>
          <t>Estandaritzar regulació de l’ús públic i social en base al model acordat per govern</t>
        </is>
      </c>
    </row>
    <row r="104">
      <c r="A104" t="inlineStr">
        <is>
          <t>11.1.6</t>
        </is>
      </c>
      <c r="B104" t="inlineStr">
        <is>
          <t>Regular les activitats científiques en base al model de Pla de protecció</t>
        </is>
      </c>
      <c r="C104" t="inlineStr">
        <is>
          <t>Regular les activitats científiques en base al Decret de creació del Parc</t>
        </is>
      </c>
      <c r="D104" t="inlineStr">
        <is>
          <t>5. Ús públic i social</t>
        </is>
      </c>
      <c r="E104" t="inlineStr">
        <is>
          <t>US</t>
        </is>
      </c>
      <c r="F104" t="inlineStr">
        <is>
          <t>ORDENAR L'ÚS PÚBLIC I SOCIAL per a la protecció dels hàbitats, espècies i elements geològics</t>
        </is>
      </c>
      <c r="G104" t="inlineStr">
        <is>
          <t>Estandaritzar regulació de l’ús públic i social en base al model acordat per govern</t>
        </is>
      </c>
    </row>
    <row r="105">
      <c r="A105" t="inlineStr">
        <is>
          <t>11.1.7</t>
        </is>
      </c>
      <c r="B105" t="inlineStr">
        <is>
          <t>Regular les zones de bany</t>
        </is>
      </c>
      <c r="C105" t="inlineStr">
        <is>
          <t>Regular les zones de bany</t>
        </is>
      </c>
      <c r="D105" t="inlineStr">
        <is>
          <t>5. Ús públic i social</t>
        </is>
      </c>
      <c r="E105" t="inlineStr">
        <is>
          <t>US</t>
        </is>
      </c>
      <c r="F105" t="inlineStr">
        <is>
          <t>ORDENAR L'ÚS PÚBLIC I SOCIAL per a la protecció dels hàbitats, espècies i elements geològics</t>
        </is>
      </c>
      <c r="G105" t="inlineStr">
        <is>
          <t>Estandaritzar regulació de l’ús públic i social en base al model acordat per govern</t>
        </is>
      </c>
    </row>
    <row r="106">
      <c r="A106" t="inlineStr">
        <is>
          <t>11.1.8</t>
        </is>
      </c>
      <c r="B106" t="inlineStr">
        <is>
          <t>Regular l'enlairament i aterratge sense motor</t>
        </is>
      </c>
      <c r="C106" t="inlineStr">
        <is>
          <t>Regular l'enlairament i aterratge sense motor</t>
        </is>
      </c>
      <c r="D106" t="inlineStr">
        <is>
          <t>5. Ús públic i social</t>
        </is>
      </c>
      <c r="E106" t="inlineStr">
        <is>
          <t>US</t>
        </is>
      </c>
      <c r="F106" t="inlineStr">
        <is>
          <t>ORDENAR L'ÚS PÚBLIC I SOCIAL per a la protecció dels hàbitats, espècies i elements geològics</t>
        </is>
      </c>
      <c r="G106" t="inlineStr">
        <is>
          <t>Estandaritzar regulació de l’ús públic i social en base al model acordat per govern</t>
        </is>
      </c>
    </row>
    <row r="107">
      <c r="A107" t="inlineStr">
        <is>
          <t>11.1.9</t>
        </is>
      </c>
      <c r="B107" t="inlineStr">
        <is>
          <t>Regular el submarinisme i l'snorkel</t>
        </is>
      </c>
      <c r="C107" t="inlineStr">
        <is>
          <t>Regular el submarinisme en estanys alpins</t>
        </is>
      </c>
      <c r="D107" t="inlineStr">
        <is>
          <t>5. Ús públic i social</t>
        </is>
      </c>
      <c r="E107" t="inlineStr">
        <is>
          <t>US</t>
        </is>
      </c>
      <c r="F107" t="inlineStr">
        <is>
          <t>ORDENAR L'ÚS PÚBLIC I SOCIAL per a la protecció dels hàbitats, espècies i elements geològics</t>
        </is>
      </c>
      <c r="G107" t="inlineStr">
        <is>
          <t>Estandaritzar regulació de l’ús públic i social en base al model acordat per govern</t>
        </is>
      </c>
    </row>
    <row r="108">
      <c r="A108" t="inlineStr">
        <is>
          <t>11.1.10</t>
        </is>
      </c>
      <c r="B108" t="inlineStr">
        <is>
          <t>Regular les activitats aquàtiques i nàutiques i zones de fondeig</t>
        </is>
      </c>
      <c r="C108" t="inlineStr">
        <is>
          <t>Regular les activitats aquàtiques (kayak) dins del Parc</t>
        </is>
      </c>
      <c r="D108" t="inlineStr">
        <is>
          <t>5. Ús públic i social</t>
        </is>
      </c>
      <c r="E108" t="inlineStr">
        <is>
          <t>US</t>
        </is>
      </c>
      <c r="F108" t="inlineStr">
        <is>
          <t>ORDENAR L'ÚS PÚBLIC I SOCIAL per a la protecció dels hàbitats, espècies i elements geològics</t>
        </is>
      </c>
      <c r="G108" t="inlineStr">
        <is>
          <t>Estandaritzar regulació de l’ús públic i social en base al model acordat per govern</t>
        </is>
      </c>
    </row>
    <row r="109">
      <c r="A109" t="inlineStr">
        <is>
          <t>11.1.11</t>
        </is>
      </c>
      <c r="B109" t="inlineStr">
        <is>
          <t>Regular la presència d'animals de companyia</t>
        </is>
      </c>
      <c r="C109" t="inlineStr">
        <is>
          <t>Regular la presència d'animals de companyia</t>
        </is>
      </c>
      <c r="D109" t="inlineStr">
        <is>
          <t>5. Ús públic i social</t>
        </is>
      </c>
      <c r="E109" t="inlineStr">
        <is>
          <t>US</t>
        </is>
      </c>
      <c r="F109" t="inlineStr">
        <is>
          <t>ORDENAR L'ÚS PÚBLIC I SOCIAL per a la protecció dels hàbitats, espècies i elements geològics</t>
        </is>
      </c>
      <c r="G109" t="inlineStr">
        <is>
          <t>Estandaritzar regulació de l’ús públic i social en base al model acordat per govern</t>
        </is>
      </c>
    </row>
    <row r="110">
      <c r="A110" t="inlineStr">
        <is>
          <t>11.1.12</t>
        </is>
      </c>
      <c r="B110" t="inlineStr">
        <is>
          <t>Regular lels activitats d'educació ambiental i el lleure educatiu</t>
        </is>
      </c>
      <c r="C110" t="inlineStr">
        <is>
          <t>Estar informats de les activitats de lleure educatiu</t>
        </is>
      </c>
      <c r="D110" t="inlineStr">
        <is>
          <t>5. Ús públic i social</t>
        </is>
      </c>
      <c r="E110" t="inlineStr">
        <is>
          <t>US</t>
        </is>
      </c>
      <c r="F110" t="inlineStr">
        <is>
          <t>ORDENAR L'ÚS PÚBLIC I SOCIAL per a la protecció dels hàbitats, espècies i elements geològics</t>
        </is>
      </c>
      <c r="G110" t="inlineStr">
        <is>
          <t>Estandaritzar regulació de l’ús públic i social en base al model acordat per govern</t>
        </is>
      </c>
    </row>
    <row r="111">
      <c r="A111" t="inlineStr">
        <is>
          <t>11.2.1</t>
        </is>
      </c>
      <c r="B111" t="inlineStr">
        <is>
          <t>Identificar i classificar la xarxa viària bàsica, secundària, senders i itineraris senyalitzats d'acord amb els ajuntaments</t>
        </is>
      </c>
      <c r="C111" t="inlineStr">
        <is>
          <t>Identificar i classificar la xarxa viària bàsica, secundària, senders i itineraris senyalitzats d'acord amb els ajuntaments</t>
        </is>
      </c>
      <c r="D111" t="inlineStr">
        <is>
          <t>5. Ús públic i social</t>
        </is>
      </c>
      <c r="E111" t="inlineStr">
        <is>
          <t>US</t>
        </is>
      </c>
      <c r="F111" t="inlineStr">
        <is>
          <t>ORDENAR L'ÚS PÚBLIC I SOCIAL per a la protecció dels hàbitats, espècies i elements geològics</t>
        </is>
      </c>
      <c r="G111" t="inlineStr">
        <is>
          <t>Disposar de la xarxa viària i itineraris oficials de l'ENP</t>
        </is>
      </c>
    </row>
    <row r="112">
      <c r="A112" t="inlineStr">
        <is>
          <t>11.2.2</t>
        </is>
      </c>
      <c r="B112" t="inlineStr">
        <is>
          <t>Treballar conjuntament amb els principals canals d’informació de rutes per prioritzar itineraris oficials dins l’ENP</t>
        </is>
      </c>
      <c r="C112" t="inlineStr">
        <is>
          <t>Treballar conjuntament amb els principals canals d’informació de rutes per prioritzar itineraris oficials dins l’ENP</t>
        </is>
      </c>
      <c r="D112" t="inlineStr">
        <is>
          <t>5. Ús públic i social</t>
        </is>
      </c>
      <c r="E112" t="inlineStr">
        <is>
          <t>US</t>
        </is>
      </c>
      <c r="F112" t="inlineStr">
        <is>
          <t>ORDENAR L'ÚS PÚBLIC I SOCIAL per a la protecció dels hàbitats, espècies i elements geològics</t>
        </is>
      </c>
      <c r="G112" t="inlineStr">
        <is>
          <t>Disposar de la xarxa viària i itineraris oficials de l'ENP</t>
        </is>
      </c>
    </row>
    <row r="113">
      <c r="A113" t="inlineStr">
        <is>
          <t>11.3.1</t>
        </is>
      </c>
      <c r="B113" t="inlineStr">
        <is>
          <t>Regular l'accés i la circulació</t>
        </is>
      </c>
      <c r="C113" t="inlineStr">
        <is>
          <t>Regular l'accés i la circulació</t>
        </is>
      </c>
      <c r="D113" t="inlineStr">
        <is>
          <t>5. Ús públic i social</t>
        </is>
      </c>
      <c r="E113" t="inlineStr">
        <is>
          <t>US</t>
        </is>
      </c>
      <c r="F113" t="inlineStr">
        <is>
          <t>ORDENAR L'ÚS PÚBLIC I SOCIAL per a la protecció dels hàbitats, espècies i elements geològics</t>
        </is>
      </c>
      <c r="G113" t="inlineStr">
        <is>
          <t>Implementar el protocol estandarditzat basat en el pla per la regulació al accés, circulació i ús de la xarxa viària</t>
        </is>
      </c>
    </row>
    <row r="114">
      <c r="A114" t="inlineStr">
        <is>
          <t>11.3.2</t>
        </is>
      </c>
      <c r="B114" t="inlineStr">
        <is>
          <t>Regular la xarxa viària principal, secundària i restringida</t>
        </is>
      </c>
      <c r="C114" t="inlineStr">
        <is>
          <t>Regular la xarxa viària principal, secundària i restringida</t>
        </is>
      </c>
      <c r="D114" t="inlineStr">
        <is>
          <t>5. Ús públic i social</t>
        </is>
      </c>
      <c r="E114" t="inlineStr">
        <is>
          <t>US</t>
        </is>
      </c>
      <c r="F114" t="inlineStr">
        <is>
          <t>ORDENAR L'ÚS PÚBLIC I SOCIAL per a la protecció dels hàbitats, espècies i elements geològics</t>
        </is>
      </c>
      <c r="G114" t="inlineStr">
        <is>
          <t>Implementar el protocol estandarditzat basat en el pla per la regulació al accés, circulació i ús de la xarxa viària</t>
        </is>
      </c>
    </row>
    <row r="115">
      <c r="A115" t="inlineStr">
        <is>
          <t>11.3.3</t>
        </is>
      </c>
      <c r="B115" t="inlineStr">
        <is>
          <t>Regular l'ús de drons, l'enlairament i l'aterratge</t>
        </is>
      </c>
      <c r="C115" t="inlineStr">
        <is>
          <t>Regular l'ús de drons, l'enlairament i l'aterratge</t>
        </is>
      </c>
      <c r="D115" t="inlineStr">
        <is>
          <t>5. Ús públic i social</t>
        </is>
      </c>
      <c r="E115" t="inlineStr">
        <is>
          <t>US</t>
        </is>
      </c>
      <c r="F115" t="inlineStr">
        <is>
          <t>ORDENAR L'ÚS PÚBLIC I SOCIAL per a la protecció dels hàbitats, espècies i elements geològics</t>
        </is>
      </c>
      <c r="G115" t="inlineStr">
        <is>
          <t>Implementar el protocol estandarditzat basat en el pla per la regulació al accés, circulació i ús de la xarxa viària</t>
        </is>
      </c>
    </row>
    <row r="116">
      <c r="A116" t="inlineStr">
        <is>
          <t>11.3.4</t>
        </is>
      </c>
      <c r="B116" t="inlineStr">
        <is>
          <t>Aplicar limitacions temporals d'accés o circulació</t>
        </is>
      </c>
      <c r="C116" t="inlineStr">
        <is>
          <t>Aplicar limitacions temporals d'accés o circulació</t>
        </is>
      </c>
      <c r="D116" t="inlineStr">
        <is>
          <t>5. Ús públic i social</t>
        </is>
      </c>
      <c r="E116" t="inlineStr">
        <is>
          <t>US</t>
        </is>
      </c>
      <c r="F116" t="inlineStr">
        <is>
          <t>ORDENAR L'ÚS PÚBLIC I SOCIAL per a la protecció dels hàbitats, espècies i elements geològics</t>
        </is>
      </c>
      <c r="G116" t="inlineStr">
        <is>
          <t>Implementar el protocol estandarditzat basat en el pla per la regulació al accés, circulació i ús de la xarxa viària</t>
        </is>
      </c>
    </row>
    <row r="117">
      <c r="A117" t="inlineStr">
        <is>
          <t>11.3.5</t>
        </is>
      </c>
      <c r="B117" t="inlineStr">
        <is>
          <t>Regular l'aparcament de vehícles</t>
        </is>
      </c>
      <c r="C117" t="inlineStr">
        <is>
          <t>Regular l'aparcament de vehícles</t>
        </is>
      </c>
      <c r="D117" t="inlineStr">
        <is>
          <t>5. Ús públic i social</t>
        </is>
      </c>
      <c r="E117" t="inlineStr">
        <is>
          <t>US</t>
        </is>
      </c>
      <c r="F117" t="inlineStr">
        <is>
          <t>ORDENAR L'ÚS PÚBLIC I SOCIAL per a la protecció dels hàbitats, espècies i elements geològics</t>
        </is>
      </c>
      <c r="G117" t="inlineStr">
        <is>
          <t>Implementar el protocol estandarditzat basat en el pla per la regulació al accés, circulació i ús de la xarxa viària</t>
        </is>
      </c>
    </row>
    <row r="118">
      <c r="A118" t="inlineStr">
        <is>
          <t>11.4.1</t>
        </is>
      </c>
      <c r="B118" t="inlineStr">
        <is>
          <t>Implementar l'ordenació de l'ús públic en col·laboració amb els agents del territori</t>
        </is>
      </c>
      <c r="C118" t="inlineStr">
        <is>
          <t>Implementar l'ordenació de l'ús públic en col·laboració amb els agents del territori</t>
        </is>
      </c>
      <c r="D118" t="inlineStr">
        <is>
          <t>5. Ús públic i social</t>
        </is>
      </c>
      <c r="E118" t="inlineStr">
        <is>
          <t>US</t>
        </is>
      </c>
      <c r="F118" t="inlineStr">
        <is>
          <t>ORDENAR L'ÚS PÚBLIC I SOCIAL per a la protecció dels hàbitats, espècies i elements geològics</t>
        </is>
      </c>
      <c r="G118" t="inlineStr">
        <is>
          <t>Enfortir la col·laboració i coordinació amb els agents d'ús públic (empreses, entitats i ajuntaments)</t>
        </is>
      </c>
    </row>
    <row r="119">
      <c r="A119" t="inlineStr">
        <is>
          <t>11.4.2</t>
        </is>
      </c>
      <c r="B119" t="inlineStr">
        <is>
          <t>Promoció i acompanyament en l'ordenació de l'ús públic de l'ENP des de l'àmbit municipal</t>
        </is>
      </c>
      <c r="C119" t="inlineStr">
        <is>
          <t>Promoció i acompanyament en l'ordenació de l'ús públic de l'ENP des de l'àmbit municipal</t>
        </is>
      </c>
      <c r="D119" t="inlineStr">
        <is>
          <t>5. Ús públic i social</t>
        </is>
      </c>
      <c r="E119" t="inlineStr">
        <is>
          <t>US</t>
        </is>
      </c>
      <c r="F119" t="inlineStr">
        <is>
          <t>ORDENAR L'ÚS PÚBLIC I SOCIAL per a la protecció dels hàbitats, espècies i elements geològics</t>
        </is>
      </c>
      <c r="G119" t="inlineStr">
        <is>
          <t>Enfortir la col·laboració i coordinació amb els agents d'ús públic (empreses, entitats i ajuntaments)</t>
        </is>
      </c>
    </row>
    <row r="120">
      <c r="A120" t="inlineStr">
        <is>
          <t>11.5.1</t>
        </is>
      </c>
      <c r="B120" t="inlineStr">
        <is>
          <t>Realitzar l'inventari de senyalització de l'ENP</t>
        </is>
      </c>
      <c r="C120" t="inlineStr">
        <is>
          <t>Realitzar l'inventari de senyalització de l'ENP</t>
        </is>
      </c>
      <c r="D120" t="inlineStr">
        <is>
          <t>5. Ús públic i social</t>
        </is>
      </c>
      <c r="E120" t="inlineStr">
        <is>
          <t>US</t>
        </is>
      </c>
      <c r="F120" t="inlineStr">
        <is>
          <t>ORDENAR L'ÚS PÚBLIC I SOCIAL per a la protecció dels hàbitats, espècies i elements geològics</t>
        </is>
      </c>
      <c r="G120" t="inlineStr">
        <is>
          <t>Mantenir i millorar la senyalització de l'ENP</t>
        </is>
      </c>
    </row>
    <row r="121">
      <c r="A121" t="inlineStr">
        <is>
          <t>11.5.2</t>
        </is>
      </c>
      <c r="B121" t="inlineStr">
        <is>
          <t>Implantar el programa de senyalització i manteniment</t>
        </is>
      </c>
      <c r="C121" t="inlineStr">
        <is>
          <t>Implantar el programa de senyalització i manteniment</t>
        </is>
      </c>
      <c r="D121" t="inlineStr">
        <is>
          <t>5. Ús públic i social</t>
        </is>
      </c>
      <c r="E121" t="inlineStr">
        <is>
          <t>US</t>
        </is>
      </c>
      <c r="F121" t="inlineStr">
        <is>
          <t>ORDENAR L'ÚS PÚBLIC I SOCIAL per a la protecció dels hàbitats, espècies i elements geològics</t>
        </is>
      </c>
      <c r="G121" t="inlineStr">
        <is>
          <t>Mantenir i millorar la senyalització de l'ENP</t>
        </is>
      </c>
    </row>
    <row r="122">
      <c r="A122" t="inlineStr">
        <is>
          <t>11.6.1</t>
        </is>
      </c>
      <c r="B122" t="inlineStr">
        <is>
          <t>Potenciar la visita a espais alternatius dins de l'àmbit d'influència de l'espai natural per reduir la pressió en zones sensibles</t>
        </is>
      </c>
      <c r="C122" t="inlineStr">
        <is>
          <t>Potenciar la visita a espais alternatius dins de l'àmbit d'influència de l'espai natural per reduir la pressió en zones sensibles</t>
        </is>
      </c>
      <c r="D122" t="inlineStr">
        <is>
          <t>5. Ús públic i social</t>
        </is>
      </c>
      <c r="E122" t="inlineStr">
        <is>
          <t>US</t>
        </is>
      </c>
      <c r="F122" t="inlineStr">
        <is>
          <t>ORDENAR L'ÚS PÚBLIC I SOCIAL per a la protecció dels hàbitats, espècies i elements geològics</t>
        </is>
      </c>
      <c r="G122" t="inlineStr">
        <is>
          <t>Prevenir i gestionar els impactes derivats de la sobrefreqüentació</t>
        </is>
      </c>
    </row>
    <row r="123">
      <c r="A123" t="inlineStr">
        <is>
          <t>11.6.2</t>
        </is>
      </c>
      <c r="B123" t="inlineStr">
        <is>
          <t>Implementar les mesures extraordinàries de regulació de l'ús públic</t>
        </is>
      </c>
      <c r="C123" t="inlineStr">
        <is>
          <t>Implementar les mesures extraordinàries de regulació de l'ús públic</t>
        </is>
      </c>
      <c r="D123" t="inlineStr">
        <is>
          <t>5. Ús públic i social</t>
        </is>
      </c>
      <c r="E123" t="inlineStr">
        <is>
          <t>US</t>
        </is>
      </c>
      <c r="F123" t="inlineStr">
        <is>
          <t>ORDENAR L'ÚS PÚBLIC I SOCIAL per a la protecció dels hàbitats, espècies i elements geològics</t>
        </is>
      </c>
      <c r="G123" t="inlineStr">
        <is>
          <t>Prevenir i gestionar els impactes derivats de la sobrefreqüentació</t>
        </is>
      </c>
    </row>
    <row r="124">
      <c r="A124" t="inlineStr">
        <is>
          <t>11.7.1</t>
        </is>
      </c>
      <c r="B124" t="inlineStr">
        <is>
          <t>Adequar els principals accessos, aparcaments i centres d'interès amb un ús elevat</t>
        </is>
      </c>
      <c r="C124" t="inlineStr">
        <is>
          <t>Adequar els principals accessos, aparcaments i centres d'interès amb un ús elevat</t>
        </is>
      </c>
      <c r="D124" t="inlineStr">
        <is>
          <t>5. Ús públic i social</t>
        </is>
      </c>
      <c r="E124" t="inlineStr">
        <is>
          <t>US</t>
        </is>
      </c>
      <c r="F124" t="inlineStr">
        <is>
          <t>ORDENAR L'ÚS PÚBLIC I SOCIAL per a la protecció dels hàbitats, espècies i elements geològics</t>
        </is>
      </c>
      <c r="G124" t="inlineStr">
        <is>
          <t>Ordenar i estandaritzar els espais d'acollida de visitants i equipaments d'ús públic, i garantir un correcte servei d'atenció i acollida dels visitants</t>
        </is>
      </c>
    </row>
    <row r="125">
      <c r="A125" t="inlineStr">
        <is>
          <t>11.7.2</t>
        </is>
      </c>
      <c r="B125" t="inlineStr">
        <is>
          <t>Disposar dels equipaments i infraestructures necessàries, accessibles i inclusives per acollir, informar, facilitar la visita i garantir la seguretat dels visitants i la protecció de l'entorn</t>
        </is>
      </c>
      <c r="C125" t="inlineStr">
        <is>
          <t>Disposar dels equipaments i infraestructures necessàries, accessibles i inclusives per acollir, informar, facilitar la visita i garantir la seguretat dels visitants i la protecció de l'entorn</t>
        </is>
      </c>
      <c r="D125" t="inlineStr">
        <is>
          <t>5. Ús públic i social</t>
        </is>
      </c>
      <c r="E125" t="inlineStr">
        <is>
          <t>US</t>
        </is>
      </c>
      <c r="F125" t="inlineStr">
        <is>
          <t>ORDENAR L'ÚS PÚBLIC I SOCIAL per a la protecció dels hàbitats, espècies i elements geològics</t>
        </is>
      </c>
      <c r="G125" t="inlineStr">
        <is>
          <t>Ordenar i estandaritzar els espais d'acollida de visitants i equipaments d'ús públic, i garantir un correcte servei d'atenció i acollida dels visitants</t>
        </is>
      </c>
    </row>
    <row r="126">
      <c r="A126" t="inlineStr">
        <is>
          <t>11.7.3</t>
        </is>
      </c>
      <c r="B126" t="inlineStr">
        <is>
          <t>Desenvolupar el Pla d'acollida als visitants en base al model de la DG</t>
        </is>
      </c>
      <c r="C126" t="inlineStr">
        <is>
          <t>Desenvolupar el Pla d'acollida als visitants en base al model de la DG</t>
        </is>
      </c>
      <c r="D126" t="inlineStr">
        <is>
          <t>5. Ús públic i social</t>
        </is>
      </c>
      <c r="E126" t="inlineStr">
        <is>
          <t>US</t>
        </is>
      </c>
      <c r="F126" t="inlineStr">
        <is>
          <t>ORDENAR L'ÚS PÚBLIC I SOCIAL per a la protecció dels hàbitats, espècies i elements geològics</t>
        </is>
      </c>
      <c r="G126" t="inlineStr">
        <is>
          <t>Ordenar i estandaritzar els espais d'acollida de visitants i equipaments d'ús públic, i garantir un correcte servei d'atenció i acollida dels visitants</t>
        </is>
      </c>
    </row>
    <row r="127">
      <c r="A127" t="inlineStr">
        <is>
          <t>11.7.4</t>
        </is>
      </c>
      <c r="B127" t="inlineStr">
        <is>
          <t>Adaptar els missatges a donar des d'oficines d’informació, pròpies i alienes, d'acord amb el model de la DG</t>
        </is>
      </c>
      <c r="C127" t="inlineStr">
        <is>
          <t>Adaptar els missatges a donar des d'oficines d’informació, pròpies i alienes, d'acord amb el model de la DG</t>
        </is>
      </c>
      <c r="D127" t="inlineStr">
        <is>
          <t>5. Ús públic i social</t>
        </is>
      </c>
      <c r="E127" t="inlineStr">
        <is>
          <t>US</t>
        </is>
      </c>
      <c r="F127" t="inlineStr">
        <is>
          <t>ORDENAR L'ÚS PÚBLIC I SOCIAL per a la protecció dels hàbitats, espècies i elements geològics</t>
        </is>
      </c>
      <c r="G127" t="inlineStr">
        <is>
          <t>Ordenar i estandaritzar els espais d'acollida de visitants i equipaments d'ús públic, i garantir un correcte servei d'atenció i acollida dels visitants</t>
        </is>
      </c>
    </row>
    <row r="128">
      <c r="A128" t="inlineStr">
        <is>
          <t>11.8.1</t>
        </is>
      </c>
      <c r="B128" t="inlineStr">
        <is>
          <t>Elaborar i executar el Pla de vigilància de l’espai d'acord amb els cossos d’inspecció i seguretat</t>
        </is>
      </c>
      <c r="C128" t="inlineStr">
        <is>
          <t>Elaborar i executar el Pla de vigilància de l’espai d'acord amb els cossos d’inspecció i seguretat</t>
        </is>
      </c>
      <c r="D128" t="inlineStr">
        <is>
          <t>5. Ús públic i social</t>
        </is>
      </c>
      <c r="E128" t="inlineStr">
        <is>
          <t>US</t>
        </is>
      </c>
      <c r="F128" t="inlineStr">
        <is>
          <t>ORDENAR L'ÚS PÚBLIC I SOCIAL per a la protecció dels hàbitats, espècies i elements geològics</t>
        </is>
      </c>
      <c r="G128" t="inlineStr">
        <is>
          <t>Garantir el compliment de la normativa dins els ENP, especialment en l'accés motoritzat, zones amb hiperfreqüentació i elements amb aprofitament comercial</t>
        </is>
      </c>
    </row>
    <row r="129">
      <c r="A129" t="inlineStr">
        <is>
          <t>11.8.2</t>
        </is>
      </c>
      <c r="B129" t="inlineStr">
        <is>
          <t>Millorar la coordinació amb els cossos de seguretat per efectuar accions de control i vigilància</t>
        </is>
      </c>
      <c r="C129" t="inlineStr">
        <is>
          <t>Millorar la coordinació amb els cossos de seguretat per efectuar accions de control i vigilància</t>
        </is>
      </c>
      <c r="D129" t="inlineStr">
        <is>
          <t>5. Ús públic i social</t>
        </is>
      </c>
      <c r="E129" t="inlineStr">
        <is>
          <t>US</t>
        </is>
      </c>
      <c r="F129" t="inlineStr">
        <is>
          <t>ORDENAR L'ÚS PÚBLIC I SOCIAL per a la protecció dels hàbitats, espècies i elements geològics</t>
        </is>
      </c>
      <c r="G129" t="inlineStr">
        <is>
          <t>Garantir el compliment de la normativa dins els ENP, especialment en l'accés motoritzat, zones amb hiperfreqüentació i elements amb aprofitament comercial</t>
        </is>
      </c>
    </row>
    <row r="130">
      <c r="A130" t="inlineStr">
        <is>
          <t>11.8.3</t>
        </is>
      </c>
      <c r="B130" t="inlineStr">
        <is>
          <t>Vetllar pel compliment d'informes i la vigilància tècnica de l'espai</t>
        </is>
      </c>
      <c r="C130" t="inlineStr">
        <is>
          <t>Vetllar pel compliment d'informes i la vigilància tècnica de l'espai</t>
        </is>
      </c>
      <c r="D130" t="inlineStr">
        <is>
          <t>5. Ús públic i social</t>
        </is>
      </c>
      <c r="E130" t="inlineStr">
        <is>
          <t>US</t>
        </is>
      </c>
      <c r="F130" t="inlineStr">
        <is>
          <t>ORDENAR L'ÚS PÚBLIC I SOCIAL per a la protecció dels hàbitats, espècies i elements geològics</t>
        </is>
      </c>
      <c r="G130" t="inlineStr">
        <is>
          <t>Garantir el compliment de la normativa dins els ENP, especialment en l'accés motoritzat, zones amb hiperfreqüentació i elements amb aprofitament comercial</t>
        </is>
      </c>
    </row>
    <row r="131">
      <c r="A131" t="inlineStr">
        <is>
          <t>12.1.1</t>
        </is>
      </c>
      <c r="B131" t="inlineStr">
        <is>
          <t>Ordenar el pla d’emergències</t>
        </is>
      </c>
      <c r="C131" t="inlineStr">
        <is>
          <t>Ordenar el pla d’emergències</t>
        </is>
      </c>
      <c r="D131" t="inlineStr">
        <is>
          <t>5. Ús públic i social</t>
        </is>
      </c>
      <c r="E131" t="inlineStr">
        <is>
          <t>US</t>
        </is>
      </c>
      <c r="F131" t="inlineStr">
        <is>
          <t>GESTIONAR ELS RISCOS NATURALS per a l'autoprotecció de la població local</t>
        </is>
      </c>
      <c r="G131" t="inlineStr">
        <is>
          <t>Col·laborar amb les autoritats competents per a la gestió de riscos dins l’ENP</t>
        </is>
      </c>
    </row>
    <row r="132">
      <c r="A132" t="inlineStr">
        <is>
          <t>12.1.2</t>
        </is>
      </c>
      <c r="B132" t="inlineStr">
        <is>
          <t>Contribuir a la protecció dels assentaments humans respecte dels riscos naturals</t>
        </is>
      </c>
      <c r="C132" t="inlineStr">
        <is>
          <t>Contribuir a la protecció dels assentaments humans respecte dels riscos naturals</t>
        </is>
      </c>
      <c r="D132" t="inlineStr">
        <is>
          <t>5. Ús públic i social</t>
        </is>
      </c>
      <c r="E132" t="inlineStr">
        <is>
          <t>US</t>
        </is>
      </c>
      <c r="F132" t="inlineStr">
        <is>
          <t>GESTIONAR ELS RISCOS NATURALS per a l'autoprotecció de la població local</t>
        </is>
      </c>
      <c r="G132" t="inlineStr">
        <is>
          <t>Col·laborar amb les autoritats competents per a la gestió de riscos dins l’ENP</t>
        </is>
      </c>
    </row>
    <row r="133">
      <c r="A133" t="inlineStr">
        <is>
          <t>13.1.1</t>
        </is>
      </c>
      <c r="B133" t="inlineStr">
        <is>
          <t>Definir el model de Xarxa d'Escoles de l'Espai Natural (XEEN) a l'ENP amb els agents educatius del territori</t>
        </is>
      </c>
      <c r="C133" t="inlineStr">
        <is>
          <t>Definir el model de Xarxa d'Escoles de l'Espai Natural (XEEN) a l'ENP amb els agents educatius del territori</t>
        </is>
      </c>
      <c r="D133" t="inlineStr">
        <is>
          <t>6. Educació, voluntariat i comunicació</t>
        </is>
      </c>
      <c r="E133" t="inlineStr">
        <is>
          <t>ED</t>
        </is>
      </c>
      <c r="F133" t="inlineStr">
        <is>
          <t>FORMAR I SENSIBILITZAR la població incrementant la valoració i estima social de l'ENP</t>
        </is>
      </c>
      <c r="G133" t="inlineStr">
        <is>
          <t>Afavorir la vinculació entre la comunitat educativa de l'entorn i l'ENP</t>
        </is>
      </c>
    </row>
    <row r="134">
      <c r="A134" t="inlineStr">
        <is>
          <t>13.1.2</t>
        </is>
      </c>
      <c r="B134" t="inlineStr">
        <is>
          <t>Desplegar el model de Xarxa d'Escoles de l'Espai Natural (XEEN) a l'ENP d'acord amb el model general</t>
        </is>
      </c>
      <c r="C134" t="inlineStr">
        <is>
          <t>Treballar de forma coordinada amb centres educatius de l'ENP</t>
        </is>
      </c>
      <c r="D134" t="inlineStr">
        <is>
          <t>6. Educació, voluntariat i comunicació</t>
        </is>
      </c>
      <c r="E134" t="inlineStr">
        <is>
          <t>ED</t>
        </is>
      </c>
      <c r="F134" t="inlineStr">
        <is>
          <t>FORMAR I SENSIBILITZAR la població incrementant la valoració i estima social de l'ENP</t>
        </is>
      </c>
      <c r="G134" t="inlineStr">
        <is>
          <t>Afavorir la vinculació entre la comunitat educativa de l'entorn i l'ENP</t>
        </is>
      </c>
    </row>
    <row r="135">
      <c r="A135" t="inlineStr">
        <is>
          <t>13.1.3</t>
        </is>
      </c>
      <c r="B135" t="inlineStr">
        <is>
          <t>Formar i capacitar al professorat de la XEEN</t>
        </is>
      </c>
      <c r="C135" t="inlineStr">
        <is>
          <t>Formar i capacitar al professorat de la XEEN</t>
        </is>
      </c>
      <c r="D135" t="inlineStr">
        <is>
          <t>6. Educació, voluntariat i comunicació</t>
        </is>
      </c>
      <c r="E135" t="inlineStr">
        <is>
          <t>ED</t>
        </is>
      </c>
      <c r="F135" t="inlineStr">
        <is>
          <t>FORMAR I SENSIBILITZAR la població incrementant la valoració i estima social de l'ENP</t>
        </is>
      </c>
      <c r="G135" t="inlineStr">
        <is>
          <t>Afavorir la vinculació entre la comunitat educativa de l'entorn i l'ENP</t>
        </is>
      </c>
    </row>
    <row r="136">
      <c r="A136" t="inlineStr">
        <is>
          <t>13.2.1</t>
        </is>
      </c>
      <c r="B136" t="inlineStr">
        <is>
          <t>Adaptar i millorar l'oferta pedagògica de l'ENP generant situacions d'aprenentatge i treballs per projecte</t>
        </is>
      </c>
      <c r="C136" t="inlineStr">
        <is>
          <t>Adaptar i millorar l'oferta pedagògica de l'ENP generant situacions d'aprenentatge i treballs per projecte</t>
        </is>
      </c>
      <c r="D136" t="inlineStr">
        <is>
          <t>6. Educació, voluntariat i comunicació</t>
        </is>
      </c>
      <c r="E136" t="inlineStr">
        <is>
          <t>ED</t>
        </is>
      </c>
      <c r="F136" t="inlineStr">
        <is>
          <t>FORMAR I SENSIBILITZAR la població incrementant la valoració i estima social de l'ENP</t>
        </is>
      </c>
      <c r="G136" t="inlineStr">
        <is>
          <t>Promoure una oferta pedagògica basada en metodologies innovadores i actives que estiguin alineades amb el currículum educatiu del Departament d'Educació</t>
        </is>
      </c>
    </row>
    <row r="137">
      <c r="A137" t="inlineStr">
        <is>
          <t>13.2.2</t>
        </is>
      </c>
      <c r="B137" t="inlineStr">
        <is>
          <t>Dissenyar projectes d'ApS ambiental i Ciència ciutadana i projectes compartits amb entitats del territori que s'incloguin dins de l'oferta pedagògica.</t>
        </is>
      </c>
      <c r="C137" t="inlineStr">
        <is>
          <t>Col·laborar amb projectes d'ApS ambiental i Ciència ciutadana i projectes compartits amb entitats del territori</t>
        </is>
      </c>
      <c r="D137" t="inlineStr">
        <is>
          <t>6. Educació, voluntariat i comunicació</t>
        </is>
      </c>
      <c r="E137" t="inlineStr">
        <is>
          <t>ED</t>
        </is>
      </c>
      <c r="F137" t="inlineStr">
        <is>
          <t>FORMAR I SENSIBILITZAR la població incrementant la valoració i estima social de l'ENP</t>
        </is>
      </c>
      <c r="G137" t="inlineStr">
        <is>
          <t>Promoure una oferta pedagògica basada en metodologies innovadores i actives que estiguin alineades amb el currículum educatiu del Departament d'Educació</t>
        </is>
      </c>
    </row>
    <row r="138">
      <c r="A138" t="inlineStr">
        <is>
          <t>13.2.3</t>
        </is>
      </c>
      <c r="B138" t="inlineStr">
        <is>
          <t>Elaborar recursos educatius sobre l’espai (que tinguin en compte les problemàtiques singulars del seu espai) i posar-los a disposició dels centres educatius</t>
        </is>
      </c>
      <c r="C138" t="inlineStr">
        <is>
          <t>Elaborar recursos educatius sobre l’espai (que tinguin en compte les problemàtiques singulars del seu espai) i posar-los a disposició dels centres educatius</t>
        </is>
      </c>
      <c r="D138" t="inlineStr">
        <is>
          <t>6. Educació, voluntariat i comunicació</t>
        </is>
      </c>
      <c r="E138" t="inlineStr">
        <is>
          <t>ED</t>
        </is>
      </c>
      <c r="F138" t="inlineStr">
        <is>
          <t>FORMAR I SENSIBILITZAR la població incrementant la valoració i estima social de l'ENP</t>
        </is>
      </c>
      <c r="G138" t="inlineStr">
        <is>
          <t>Promoure una oferta pedagògica basada en metodologies innovadores i actives que estiguin alineades amb el currículum educatiu del Departament d'Educació</t>
        </is>
      </c>
    </row>
    <row r="139">
      <c r="A139" t="inlineStr">
        <is>
          <t>13.2.4</t>
        </is>
      </c>
      <c r="B139" t="inlineStr">
        <is>
          <t>Oferir projectes de recerca vinculats a l'espai natural per a l'alumnat universitari i de la XEEN</t>
        </is>
      </c>
      <c r="C139" t="inlineStr">
        <is>
          <t>Oferir projectes de recerca vinculats a l'espai natural per a l'alumnat universitari i de la XEEN</t>
        </is>
      </c>
      <c r="D139" t="inlineStr">
        <is>
          <t>6. Educació, voluntariat i comunicació</t>
        </is>
      </c>
      <c r="E139" t="inlineStr">
        <is>
          <t>ED</t>
        </is>
      </c>
      <c r="F139" t="inlineStr">
        <is>
          <t>FORMAR I SENSIBILITZAR la població incrementant la valoració i estima social de l'ENP</t>
        </is>
      </c>
      <c r="G139" t="inlineStr">
        <is>
          <t>Promoure una oferta pedagògica basada en metodologies innovadores i actives que estiguin alineades amb el currículum educatiu del Departament d'Educació</t>
        </is>
      </c>
    </row>
    <row r="140">
      <c r="A140" t="inlineStr">
        <is>
          <t>13.3.1</t>
        </is>
      </c>
      <c r="B140" t="inlineStr">
        <is>
          <t>Establir un model de coordinació territorial amb agents clau de l'educació ambiental</t>
        </is>
      </c>
      <c r="C140" t="inlineStr">
        <is>
          <t>Establir un model de coordinació territorial amb agents clau de l'educació ambiental</t>
        </is>
      </c>
      <c r="D140" t="inlineStr">
        <is>
          <t>6. Educació, voluntariat i comunicació</t>
        </is>
      </c>
      <c r="E140" t="inlineStr">
        <is>
          <t>ED</t>
        </is>
      </c>
      <c r="F140" t="inlineStr">
        <is>
          <t>FORMAR I SENSIBILITZAR la població incrementant la valoració i estima social de l'ENP</t>
        </is>
      </c>
      <c r="G140" t="inlineStr">
        <is>
          <t>Establir mecanismes estables de formació, treball i coordinació amb els col·lectius implicats en la sensibilització i l'educació dins el ENP</t>
        </is>
      </c>
    </row>
    <row r="141">
      <c r="A141" t="inlineStr">
        <is>
          <t>13.3.2</t>
        </is>
      </c>
      <c r="B141" t="inlineStr">
        <is>
          <t>Cercar i establir col·laboracions i projectes conjunts amb agents clau del territori</t>
        </is>
      </c>
      <c r="C141" t="inlineStr">
        <is>
          <t>Cercar i establir col·laboracions i projectes conjunts amb agents clau del territori</t>
        </is>
      </c>
      <c r="D141" t="inlineStr">
        <is>
          <t>6. Educació, voluntariat i comunicació</t>
        </is>
      </c>
      <c r="E141" t="inlineStr">
        <is>
          <t>ED</t>
        </is>
      </c>
      <c r="F141" t="inlineStr">
        <is>
          <t>FORMAR I SENSIBILITZAR la població incrementant la valoració i estima social de l'ENP</t>
        </is>
      </c>
      <c r="G141" t="inlineStr">
        <is>
          <t>Establir mecanismes estables de formació, treball i coordinació amb els col·lectius implicats en la sensibilització i l'educació dins el ENP</t>
        </is>
      </c>
    </row>
    <row r="142">
      <c r="A142" t="inlineStr">
        <is>
          <t>13.3.3</t>
        </is>
      </c>
      <c r="B142" t="inlineStr">
        <is>
          <t>Elaborar formacions dirigides als informadors, educadors i altres prescriptors del territori</t>
        </is>
      </c>
      <c r="C142" t="inlineStr">
        <is>
          <t>Elaborar formacions dirigides als informadors, educadors i altres prescriptors del territori</t>
        </is>
      </c>
      <c r="D142" t="inlineStr">
        <is>
          <t>6. Educació, voluntariat i comunicació</t>
        </is>
      </c>
      <c r="E142" t="inlineStr">
        <is>
          <t>ED</t>
        </is>
      </c>
      <c r="F142" t="inlineStr">
        <is>
          <t>FORMAR I SENSIBILITZAR la població incrementant la valoració i estima social de l'ENP</t>
        </is>
      </c>
      <c r="G142" t="inlineStr">
        <is>
          <t>Establir mecanismes estables de formació, treball i coordinació amb els col·lectius implicats en la sensibilització i l'educació dins el ENP</t>
        </is>
      </c>
    </row>
    <row r="143">
      <c r="A143" t="inlineStr">
        <is>
          <t>13.4.1</t>
        </is>
      </c>
      <c r="B143" t="inlineStr">
        <is>
          <t>Desplegar en el territori les campanyes de sensibilització i bones pràctiques que s'impulsin des de la DG</t>
        </is>
      </c>
      <c r="C143" t="inlineStr">
        <is>
          <t>Desplegar en el territori les campanyes de sensibilització i bones pràctiques que s'impulsin des de la DG</t>
        </is>
      </c>
      <c r="D143" t="inlineStr">
        <is>
          <t>6. Educació, voluntariat i comunicació</t>
        </is>
      </c>
      <c r="E143" t="inlineStr">
        <is>
          <t>ED</t>
        </is>
      </c>
      <c r="F143" t="inlineStr">
        <is>
          <t>FORMAR I SENSIBILITZAR la població incrementant la valoració i estima social de l'ENP</t>
        </is>
      </c>
      <c r="G143" t="inlineStr">
        <is>
          <t>Desplegar un programa de divulgació i sensibilització per a visitants</t>
        </is>
      </c>
    </row>
    <row r="144">
      <c r="A144" t="inlineStr">
        <is>
          <t>13.4.2</t>
        </is>
      </c>
      <c r="B144" t="inlineStr">
        <is>
          <t>Adaptar el programa de divulgació i sensibilització de l'ENP perquè incorpori una oferta d’activitats adequada per a famílies</t>
        </is>
      </c>
      <c r="C144" t="inlineStr">
        <is>
          <t>Adaptar el programa de divulgació i sensibilització de l'ENP perquè incorpori una oferta d’activitats adequada per a famílies i altres perfils</t>
        </is>
      </c>
      <c r="D144" t="inlineStr">
        <is>
          <t>6. Educació, voluntariat i comunicació</t>
        </is>
      </c>
      <c r="E144" t="inlineStr">
        <is>
          <t>ED</t>
        </is>
      </c>
      <c r="F144" t="inlineStr">
        <is>
          <t>FORMAR I SENSIBILITZAR la població incrementant la valoració i estima social de l'ENP</t>
        </is>
      </c>
      <c r="G144" t="inlineStr">
        <is>
          <t>Desplegar un programa de divulgació i sensibilització per a visitants</t>
        </is>
      </c>
    </row>
    <row r="145">
      <c r="A145" t="inlineStr">
        <is>
          <t>13.4.3</t>
        </is>
      </c>
      <c r="B145" t="inlineStr">
        <is>
          <t>Adaptar el programa de divulgació i sensibilització de l'ENP perquè incorpori una oferta d’activitats adequada per a altres perfils</t>
        </is>
      </c>
      <c r="C145" t="inlineStr">
        <is>
          <t>Adaptar el programa de divulgació i sensibilització de l'ENP perquè incorpori una oferta d’activitats adequada per a altres perfils</t>
        </is>
      </c>
      <c r="D145" t="inlineStr">
        <is>
          <t>6. Educació, voluntariat i comunicació</t>
        </is>
      </c>
      <c r="E145" t="inlineStr">
        <is>
          <t>ED</t>
        </is>
      </c>
      <c r="F145" t="inlineStr">
        <is>
          <t>FORMAR I SENSIBILITZAR la població incrementant la valoració i estima social de l'ENP</t>
        </is>
      </c>
      <c r="G145" t="inlineStr">
        <is>
          <t>Desplegar un programa de divulgació i sensibilització per a visitants</t>
        </is>
      </c>
    </row>
    <row r="146">
      <c r="A146" t="inlineStr">
        <is>
          <t>13.4.4</t>
        </is>
      </c>
      <c r="B146" t="inlineStr">
        <is>
          <t>Adaptar el programa de divulgació i sensibilització de l'ENP perquè incorpori una oferta d’activitats dirigida al lleure educatiu</t>
        </is>
      </c>
      <c r="C146" t="inlineStr">
        <is>
          <t>Adaptar el programa de divulgació i sensibilització de l'ENP perquè incorpori una oferta d’activitats dirigida al lleure educatiu</t>
        </is>
      </c>
      <c r="D146" t="inlineStr">
        <is>
          <t>6. Educació, voluntariat i comunicació</t>
        </is>
      </c>
      <c r="E146" t="inlineStr">
        <is>
          <t>ED</t>
        </is>
      </c>
      <c r="F146" t="inlineStr">
        <is>
          <t>FORMAR I SENSIBILITZAR la població incrementant la valoració i estima social de l'ENP</t>
        </is>
      </c>
      <c r="G146" t="inlineStr">
        <is>
          <t>Desplegar un programa de divulgació i sensibilització per a visitants</t>
        </is>
      </c>
    </row>
    <row r="147">
      <c r="A147" t="inlineStr">
        <is>
          <t>13.5.1</t>
        </is>
      </c>
      <c r="B147" t="inlineStr">
        <is>
          <t>Identificar col·lectius estratègics implicats en la gestió i l'ús del territori</t>
        </is>
      </c>
      <c r="C147" t="inlineStr">
        <is>
          <t>Identificar col·lectius estratègics implicats en la gestió i l'ús del territori</t>
        </is>
      </c>
      <c r="D147" t="inlineStr">
        <is>
          <t>6. Educació, voluntariat i comunicació</t>
        </is>
      </c>
      <c r="E147" t="inlineStr">
        <is>
          <t>ED</t>
        </is>
      </c>
      <c r="F147" t="inlineStr">
        <is>
          <t>FORMAR I SENSIBILITZAR la població incrementant la valoració i estima social de l'ENP</t>
        </is>
      </c>
      <c r="G147" t="inlineStr">
        <is>
          <t>Desplegar un programa de sensibilització i formació per als col·lectius del territori estratègics en la conservació de la natura</t>
        </is>
      </c>
    </row>
    <row r="148">
      <c r="A148" t="inlineStr">
        <is>
          <t>13.5.2</t>
        </is>
      </c>
      <c r="B148" t="inlineStr">
        <is>
          <t>Executar els projectes de sensibilització i formació dirigits al sector turístic, esportiu i de lleure</t>
        </is>
      </c>
      <c r="C148" t="inlineStr">
        <is>
          <t>Executar els projectes de sensibilització i formació dirigits al sector esportiu i de lleure</t>
        </is>
      </c>
      <c r="D148" t="inlineStr">
        <is>
          <t>6. Educació, voluntariat i comunicació</t>
        </is>
      </c>
      <c r="E148" t="inlineStr">
        <is>
          <t>ED</t>
        </is>
      </c>
      <c r="F148" t="inlineStr">
        <is>
          <t>FORMAR I SENSIBILITZAR la població incrementant la valoració i estima social de l'ENP</t>
        </is>
      </c>
      <c r="G148" t="inlineStr">
        <is>
          <t>Desplegar un programa de sensibilització i formació per als col·lectius del territori estratègics en la conservació de la natura</t>
        </is>
      </c>
    </row>
    <row r="149">
      <c r="A149" t="inlineStr">
        <is>
          <t>13.5.3</t>
        </is>
      </c>
      <c r="B149" t="inlineStr">
        <is>
          <t>Executar els projectes de sensibilització i formació dirigits als agents de lleure educatiu</t>
        </is>
      </c>
      <c r="C149" t="inlineStr">
        <is>
          <t>Executar els projectes de sensibilització i formació dirigits als agents de lleure educatiu</t>
        </is>
      </c>
      <c r="D149" t="inlineStr">
        <is>
          <t>6. Educació, voluntariat i comunicació</t>
        </is>
      </c>
      <c r="E149" t="inlineStr">
        <is>
          <t>ED</t>
        </is>
      </c>
      <c r="F149" t="inlineStr">
        <is>
          <t>FORMAR I SENSIBILITZAR la població incrementant la valoració i estima social de l'ENP</t>
        </is>
      </c>
      <c r="G149" t="inlineStr">
        <is>
          <t>Desplegar un programa de sensibilització i formació per als col·lectius del territori estratègics en la conservació de la natura</t>
        </is>
      </c>
    </row>
    <row r="150">
      <c r="A150" t="inlineStr">
        <is>
          <t>13.5.4</t>
        </is>
      </c>
      <c r="B150" t="inlineStr">
        <is>
          <t>Executar els projectes de sensibilització i formació dirigits als agents del sector primari</t>
        </is>
      </c>
      <c r="C150" t="inlineStr">
        <is>
          <t>Executar els projectes de sensibilització i formació dirigits als agents del sector primari</t>
        </is>
      </c>
      <c r="D150" t="inlineStr">
        <is>
          <t>6. Educació, voluntariat i comunicació</t>
        </is>
      </c>
      <c r="E150" t="inlineStr">
        <is>
          <t>ED</t>
        </is>
      </c>
      <c r="F150" t="inlineStr">
        <is>
          <t>FORMAR I SENSIBILITZAR la població incrementant la valoració i estima social de l'ENP</t>
        </is>
      </c>
      <c r="G150" t="inlineStr">
        <is>
          <t>Desplegar un programa de sensibilització i formació per als col·lectius del territori estratègics en la conservació de la natura</t>
        </is>
      </c>
    </row>
    <row r="151">
      <c r="A151" t="inlineStr">
        <is>
          <t>13.5.5</t>
        </is>
      </c>
      <c r="B151" t="inlineStr">
        <is>
          <t>Elaborar i renovar periòdicament un programa d’educació ambiental adreçat a la població local que contribueixi a fomentar el sentiment de pertinença i la implicació en la conservació de l'ENP.</t>
        </is>
      </c>
      <c r="C151" t="inlineStr">
        <is>
          <t>Elaborar i renovar periòdicament un programa d’educació ambiental adreçat a la població local que contribueixi a fomentar el sentiment de pertinença i la implicació en la conservació de l'ENP.</t>
        </is>
      </c>
      <c r="D151" t="inlineStr">
        <is>
          <t>6. Educació, voluntariat i comunicació</t>
        </is>
      </c>
      <c r="E151" t="inlineStr">
        <is>
          <t>ED</t>
        </is>
      </c>
      <c r="F151" t="inlineStr">
        <is>
          <t>FORMAR I SENSIBILITZAR la població incrementant la valoració i estima social de l'ENP</t>
        </is>
      </c>
      <c r="G151" t="inlineStr">
        <is>
          <t>Desplegar un programa de sensibilització i formació per als col·lectius del territori estratègics en la conservació de la natura</t>
        </is>
      </c>
    </row>
    <row r="152">
      <c r="A152" t="inlineStr">
        <is>
          <t>13.6.1</t>
        </is>
      </c>
      <c r="B152" t="inlineStr">
        <is>
          <t>Identificar els programes, projectes i accions en marxa o previstos a l’ENP que poden rebre el suport del voluntariat</t>
        </is>
      </c>
      <c r="C152" t="inlineStr">
        <is>
          <t>Identificar els programes, projectes i accions en marxa o previstos a l’ENP que poden rebre el suport del voluntariat</t>
        </is>
      </c>
      <c r="D152" t="inlineStr">
        <is>
          <t>6. Educació, voluntariat i comunicació</t>
        </is>
      </c>
      <c r="E152" t="inlineStr">
        <is>
          <t>ED</t>
        </is>
      </c>
      <c r="F152" t="inlineStr">
        <is>
          <t>FORMAR I SENSIBILITZAR la població incrementant la valoració i estima social de l'ENP</t>
        </is>
      </c>
      <c r="G152" t="inlineStr">
        <is>
          <t>Fomentar accions de voluntariat per conservar el patrimoni natural i cultural</t>
        </is>
      </c>
    </row>
    <row r="153">
      <c r="A153" t="inlineStr">
        <is>
          <t>13.6.2</t>
        </is>
      </c>
      <c r="B153" t="inlineStr">
        <is>
          <t>Establir un model de coordinació territorial amb agents clau del voluntariat ambiental</t>
        </is>
      </c>
      <c r="C153" t="inlineStr">
        <is>
          <t>Establir un model de coordinació territorial amb agents clau del voluntariat ambiental</t>
        </is>
      </c>
      <c r="D153" t="inlineStr">
        <is>
          <t>6. Educació, voluntariat i comunicació</t>
        </is>
      </c>
      <c r="E153" t="inlineStr">
        <is>
          <t>ED</t>
        </is>
      </c>
      <c r="F153" t="inlineStr">
        <is>
          <t>FORMAR I SENSIBILITZAR la població incrementant la valoració i estima social de l'ENP</t>
        </is>
      </c>
      <c r="G153" t="inlineStr">
        <is>
          <t>Fomentar accions de voluntariat per conservar el patrimoni natural i cultural</t>
        </is>
      </c>
    </row>
    <row r="154">
      <c r="A154" t="inlineStr">
        <is>
          <t>13.7.1</t>
        </is>
      </c>
      <c r="B154" t="inlineStr">
        <is>
          <t>Dissenyar i adaptar activitats inclusives per a persones amb necessitats específiques</t>
        </is>
      </c>
      <c r="C154" t="inlineStr">
        <is>
          <t>Dissenyar i adaptar activitats inclusives per a persones amb necessitats específiques</t>
        </is>
      </c>
      <c r="D154" t="inlineStr">
        <is>
          <t>6. Educació, voluntariat i comunicació</t>
        </is>
      </c>
      <c r="E154" t="inlineStr">
        <is>
          <t>ED</t>
        </is>
      </c>
      <c r="F154" t="inlineStr">
        <is>
          <t>FORMAR I SENSIBILITZAR la població incrementant la valoració i estima social de l'ENP</t>
        </is>
      </c>
      <c r="G154" t="inlineStr">
        <is>
          <t>Treballar per a la universalitat de les accions d’educació, sensibilització i voluntariat ambiental</t>
        </is>
      </c>
    </row>
    <row r="155">
      <c r="A155" t="inlineStr">
        <is>
          <t>13.7.2</t>
        </is>
      </c>
      <c r="B155" t="inlineStr">
        <is>
          <t>Formar el personal de l'ENP (informadors i personal que treballa de cara al públic) en accessibilitat, diversitat funcional i diversitat de gènere</t>
        </is>
      </c>
      <c r="C155" t="inlineStr">
        <is>
          <t>Formar el personal de l'ENP (informadors i personal que treballa de cara al públic) en accessibilitat, diversitat funcional i diversitat de gènere</t>
        </is>
      </c>
      <c r="D155" t="inlineStr">
        <is>
          <t>6. Educació, voluntariat i comunicació</t>
        </is>
      </c>
      <c r="E155" t="inlineStr">
        <is>
          <t>ED</t>
        </is>
      </c>
      <c r="F155" t="inlineStr">
        <is>
          <t>FORMAR I SENSIBILITZAR la població incrementant la valoració i estima social de l'ENP</t>
        </is>
      </c>
      <c r="G155" t="inlineStr">
        <is>
          <t>Treballar per a la universalitat de les accions d’educació, sensibilització i voluntariat ambiental</t>
        </is>
      </c>
    </row>
    <row r="156">
      <c r="A156" t="inlineStr">
        <is>
          <t>13.7.3</t>
        </is>
      </c>
      <c r="B156" t="inlineStr">
        <is>
          <t>Incorporar la perspectiva de gènere als continguts i activitats de l'ENP</t>
        </is>
      </c>
      <c r="C156" t="inlineStr">
        <is>
          <t>Incorporar la perspectiva de gènere als continguts i activitats de l'ENP</t>
        </is>
      </c>
      <c r="D156" t="inlineStr">
        <is>
          <t>6. Educació, voluntariat i comunicació</t>
        </is>
      </c>
      <c r="E156" t="inlineStr">
        <is>
          <t>ED</t>
        </is>
      </c>
      <c r="F156" t="inlineStr">
        <is>
          <t>FORMAR I SENSIBILITZAR la població incrementant la valoració i estima social de l'ENP</t>
        </is>
      </c>
      <c r="G156" t="inlineStr">
        <is>
          <t>Treballar per a la universalitat de les accions d’educació, sensibilització i voluntariat ambiental</t>
        </is>
      </c>
    </row>
    <row r="157">
      <c r="A157" t="inlineStr">
        <is>
          <t>13.8.1</t>
        </is>
      </c>
      <c r="B157" t="inlineStr">
        <is>
          <t>Dissenyar, implementar i fomentar itineraris saludables dins dels itineraris oficials dels ENP i en la zona d'influència</t>
        </is>
      </c>
      <c r="C157" t="inlineStr">
        <is>
          <t>Dissenyar, implementar i fomentar itineraris saludables dins dels itineraris oficials dels ENP i en la zona d'influència</t>
        </is>
      </c>
      <c r="D157" t="inlineStr">
        <is>
          <t>6. Educació, voluntariat i comunicació</t>
        </is>
      </c>
      <c r="E157" t="inlineStr">
        <is>
          <t>ED</t>
        </is>
      </c>
      <c r="F157" t="inlineStr">
        <is>
          <t>FORMAR I SENSIBILITZAR la població incrementant la valoració i estima social de l'ENP</t>
        </is>
      </c>
      <c r="G157" t="inlineStr">
        <is>
          <t>Desplegar i adaptar el programa Salut i Natura de la DG en l'àmbit de l'ENP</t>
        </is>
      </c>
    </row>
    <row r="158">
      <c r="A158" t="inlineStr">
        <is>
          <t>13.8.2</t>
        </is>
      </c>
      <c r="B158" t="inlineStr">
        <is>
          <t>Identificar els agents clau i els àmbits de col·laboració per implementar el binomi salut i natura</t>
        </is>
      </c>
      <c r="C158" t="inlineStr">
        <is>
          <t>Identificar els agents clau i els àmbits de col·laboració per implementar el binomi salut i natura</t>
        </is>
      </c>
      <c r="D158" t="inlineStr">
        <is>
          <t>6. Educació, voluntariat i comunicació</t>
        </is>
      </c>
      <c r="E158" t="inlineStr">
        <is>
          <t>ED</t>
        </is>
      </c>
      <c r="F158" t="inlineStr">
        <is>
          <t>FORMAR I SENSIBILITZAR la població incrementant la valoració i estima social de l'ENP</t>
        </is>
      </c>
      <c r="G158" t="inlineStr">
        <is>
          <t>Desplegar i adaptar el programa Salut i Natura de la DG en l'àmbit de l'ENP</t>
        </is>
      </c>
    </row>
    <row r="159">
      <c r="A159" t="inlineStr">
        <is>
          <t>13.8.3</t>
        </is>
      </c>
      <c r="B159" t="inlineStr">
        <is>
          <t>Incloure el concepte de salut i natura en els missatges educatius i comunicatius de l'ENP</t>
        </is>
      </c>
      <c r="C159" t="inlineStr">
        <is>
          <t>Incloure el concepte de salut i natura en els missatges educatius i comunicatius de l'ENP</t>
        </is>
      </c>
      <c r="D159" t="inlineStr">
        <is>
          <t>6. Educació, voluntariat i comunicació</t>
        </is>
      </c>
      <c r="E159" t="inlineStr">
        <is>
          <t>ED</t>
        </is>
      </c>
      <c r="F159" t="inlineStr">
        <is>
          <t>FORMAR I SENSIBILITZAR la població incrementant la valoració i estima social de l'ENP</t>
        </is>
      </c>
      <c r="G159" t="inlineStr">
        <is>
          <t>Desplegar i adaptar el programa Salut i Natura de la DG en l'àmbit de l'ENP</t>
        </is>
      </c>
    </row>
    <row r="160">
      <c r="A160" t="inlineStr">
        <is>
          <t>13.8.4</t>
        </is>
      </c>
      <c r="B160" t="inlineStr">
        <is>
          <t>Participar a les Taules territorials de Salut i Natura</t>
        </is>
      </c>
      <c r="C160" t="inlineStr">
        <is>
          <t>Participar a les Taules territorials de Salut i Natura</t>
        </is>
      </c>
      <c r="D160" t="inlineStr">
        <is>
          <t>6. Educació, voluntariat i comunicació</t>
        </is>
      </c>
      <c r="E160" t="inlineStr">
        <is>
          <t>ED</t>
        </is>
      </c>
      <c r="F160" t="inlineStr">
        <is>
          <t>FORMAR I SENSIBILITZAR la població incrementant la valoració i estima social de l'ENP</t>
        </is>
      </c>
      <c r="G160" t="inlineStr">
        <is>
          <t>Desplegar i adaptar el programa Salut i Natura de la DG en l'àmbit de l'ENP</t>
        </is>
      </c>
    </row>
    <row r="161">
      <c r="A161" t="inlineStr">
        <is>
          <t>14.1.1</t>
        </is>
      </c>
      <c r="B161" t="inlineStr">
        <is>
          <t>Informar periòdicament sobre les tasques, projectes i actuacions que duu a terme l'ENP a la població</t>
        </is>
      </c>
      <c r="C161" t="inlineStr">
        <is>
          <t>Informar periòdicament sobre les tasques, projectes i actuacions que duu a terme l'ENP a la població</t>
        </is>
      </c>
      <c r="D161" t="inlineStr">
        <is>
          <t>6. Educació, voluntariat i comunicació</t>
        </is>
      </c>
      <c r="E161" t="inlineStr">
        <is>
          <t>ED</t>
        </is>
      </c>
      <c r="F161" t="inlineStr">
        <is>
          <t>COMUNICAR I DIFONDRE ELS VALORS DE L'ENP, contribuint a l'educació ambiental de la societat</t>
        </is>
      </c>
      <c r="G161" t="inlineStr">
        <is>
          <t>Augmentar el coneixement de l'ENP entre la població</t>
        </is>
      </c>
    </row>
    <row r="162">
      <c r="A162" t="inlineStr">
        <is>
          <t>14.1.2</t>
        </is>
      </c>
      <c r="B162" t="inlineStr">
        <is>
          <t>Garantir l'accessibilitat i gestió del coneixement disponible sobre l'ENP</t>
        </is>
      </c>
      <c r="C162" t="inlineStr">
        <is>
          <t>Garantir l'accessibilitat i gestió del coneixement disponible sobre l'ENP</t>
        </is>
      </c>
      <c r="D162" t="inlineStr">
        <is>
          <t>6. Educació, voluntariat i comunicació</t>
        </is>
      </c>
      <c r="E162" t="inlineStr">
        <is>
          <t>ED</t>
        </is>
      </c>
      <c r="F162" t="inlineStr">
        <is>
          <t>COMUNICAR I DIFONDRE ELS VALORS DE L'ENP, contribuint a l'educació ambiental de la societat</t>
        </is>
      </c>
      <c r="G162" t="inlineStr">
        <is>
          <t>Augmentar el coneixement de l'ENP entre la població</t>
        </is>
      </c>
    </row>
    <row r="163">
      <c r="A163" t="inlineStr">
        <is>
          <t>14.2.1</t>
        </is>
      </c>
      <c r="B163" t="inlineStr">
        <is>
          <t>Sensibilitzar als diferents agents sobre els valors de l'ENP</t>
        </is>
      </c>
      <c r="C163" t="inlineStr">
        <is>
          <t>Sensibilitzar als diferents agents sobre els valors de l'ENP</t>
        </is>
      </c>
      <c r="D163" t="inlineStr">
        <is>
          <t>6. Educació, voluntariat i comunicació</t>
        </is>
      </c>
      <c r="E163" t="inlineStr">
        <is>
          <t>ED</t>
        </is>
      </c>
      <c r="F163" t="inlineStr">
        <is>
          <t>COMUNICAR I DIFONDRE ELS VALORS DE L'ENP, contribuint a l'educació ambiental de la societat</t>
        </is>
      </c>
      <c r="G163" t="inlineStr">
        <is>
          <t>Conscienciar sobre els valors de l'ENP als diferents públics objectiu</t>
        </is>
      </c>
    </row>
    <row r="164">
      <c r="A164" t="inlineStr">
        <is>
          <t>14.3.1</t>
        </is>
      </c>
      <c r="B164" t="inlineStr">
        <is>
          <t>Optimitzar els canals de comunicació</t>
        </is>
      </c>
      <c r="C164" t="inlineStr">
        <is>
          <t>Optimitzar els canals de comunicació</t>
        </is>
      </c>
      <c r="D164" t="inlineStr">
        <is>
          <t>6. Educació, voluntariat i comunicació</t>
        </is>
      </c>
      <c r="E164" t="inlineStr">
        <is>
          <t>ED</t>
        </is>
      </c>
      <c r="F164" t="inlineStr">
        <is>
          <t>COMUNICAR I DIFONDRE ELS VALORS DE L'ENP, contribuint a l'educació ambiental de la societat</t>
        </is>
      </c>
      <c r="G164" t="inlineStr">
        <is>
          <t>Disposar d'una comunicació ordenada efectiva, positiva i coordinada que arribi a la ciutadania i aquesta pugui reconèixer fàcilment</t>
        </is>
      </c>
    </row>
    <row r="165">
      <c r="A165" t="inlineStr">
        <is>
          <t>14.3.2</t>
        </is>
      </c>
      <c r="B165" t="inlineStr">
        <is>
          <t>Garantir l'harmonització de la comunicació com a Parc, Xarxa i Generalitat.</t>
        </is>
      </c>
      <c r="C165" t="inlineStr">
        <is>
          <t>Garantir l'harmonització de la comunicació com a Parc, Xarxa i Generalitat.</t>
        </is>
      </c>
      <c r="D165" t="inlineStr">
        <is>
          <t>6. Educació, voluntariat i comunicació</t>
        </is>
      </c>
      <c r="E165" t="inlineStr">
        <is>
          <t>ED</t>
        </is>
      </c>
      <c r="F165" t="inlineStr">
        <is>
          <t>COMUNICAR I DIFONDRE ELS VALORS DE L'ENP, contribuint a l'educació ambiental de la societat</t>
        </is>
      </c>
      <c r="G165" t="inlineStr">
        <is>
          <t>Disposar d'una comunicació ordenada efectiva, positiva i coordinada que arribi a la ciutadania i aquesta pugui reconèixer fàcilment</t>
        </is>
      </c>
    </row>
    <row r="166">
      <c r="A166" t="inlineStr">
        <is>
          <t>15.1.1</t>
        </is>
      </c>
      <c r="B166" t="inlineStr">
        <is>
          <t>Crear una taula de treball amb els agents prioritaris per a la gestió de l'ENP i els grups de treball temàtics necessaris</t>
        </is>
      </c>
      <c r="C166" t="inlineStr">
        <is>
          <t>Crear una taula de treball amb els agents prioritaris per a la gestió de l'ENP i els grups de treball temàtics necessaris</t>
        </is>
      </c>
      <c r="D166" t="inlineStr">
        <is>
          <t>7. Gestió i administració</t>
        </is>
      </c>
      <c r="E166" t="inlineStr">
        <is>
          <t>GE</t>
        </is>
      </c>
      <c r="F166" t="inlineStr">
        <is>
          <t>ESTABLIR EL MARC PER A LA GOVERNANÇA i la gestió eficient de l'espai i la xarxa d'ENP</t>
        </is>
      </c>
      <c r="G166" t="inlineStr">
        <is>
          <t>Disposar d'espais per a la participació de personal expert i agents del territori en la governança de l'ENP</t>
        </is>
      </c>
    </row>
    <row r="167">
      <c r="A167" t="inlineStr">
        <is>
          <t>15.1.2</t>
        </is>
      </c>
      <c r="B167" t="inlineStr">
        <is>
          <t>Disposar d'assessorament científic en l'ENP</t>
        </is>
      </c>
      <c r="C167" t="inlineStr">
        <is>
          <t>Disposar d'assessorament científic en l'ENP</t>
        </is>
      </c>
      <c r="D167" t="inlineStr">
        <is>
          <t>7. Gestió i administració</t>
        </is>
      </c>
      <c r="E167" t="inlineStr">
        <is>
          <t>GE</t>
        </is>
      </c>
      <c r="F167" t="inlineStr">
        <is>
          <t>ESTABLIR EL MARC PER A LA GOVERNANÇA i la gestió eficient de l'espai i la xarxa d'ENP</t>
        </is>
      </c>
      <c r="G167" t="inlineStr">
        <is>
          <t>Disposar d'espais per a la participació de personal expert i agents del territori en la governança de l'ENP</t>
        </is>
      </c>
    </row>
    <row r="168">
      <c r="A168" t="inlineStr">
        <is>
          <t>15.1.3</t>
        </is>
      </c>
      <c r="B168" t="inlineStr">
        <is>
          <t>Incloure entitats i organismes científics i culturals de referència en els mecanismes de presa de decisions de l'ENP</t>
        </is>
      </c>
      <c r="C168" t="inlineStr">
        <is>
          <t>Incloure entitats i organismes científics i culturals de referència en els mecanismes de presa de decisions de l'ENP</t>
        </is>
      </c>
      <c r="D168" t="inlineStr">
        <is>
          <t>7. Gestió i administració</t>
        </is>
      </c>
      <c r="E168" t="inlineStr">
        <is>
          <t>GE</t>
        </is>
      </c>
      <c r="F168" t="inlineStr">
        <is>
          <t>ESTABLIR EL MARC PER A LA GOVERNANÇA i la gestió eficient de l'espai i la xarxa d'ENP</t>
        </is>
      </c>
      <c r="G168" t="inlineStr">
        <is>
          <t>Disposar d'espais per a la participació de personal expert i agents del territori en la governança de l'ENP</t>
        </is>
      </c>
    </row>
    <row r="169">
      <c r="A169" t="inlineStr">
        <is>
          <t>15.1.4</t>
        </is>
      </c>
      <c r="B169" t="inlineStr">
        <is>
          <t>Adaptar i desplegar el model de governança dels espais naturals protegits</t>
        </is>
      </c>
      <c r="C169" t="inlineStr">
        <is>
          <t>Adaptar i desplegar el model de governança dels espais naturals protegits</t>
        </is>
      </c>
      <c r="D169" t="inlineStr">
        <is>
          <t>7. Gestió i administració</t>
        </is>
      </c>
      <c r="E169" t="inlineStr">
        <is>
          <t>GE</t>
        </is>
      </c>
      <c r="F169" t="inlineStr">
        <is>
          <t>ESTABLIR EL MARC PER A LA GOVERNANÇA i la gestió eficient de l'espai i la xarxa d'ENP</t>
        </is>
      </c>
      <c r="G169" t="inlineStr">
        <is>
          <t>Disposar d'espais per a la participació de personal expert i agents del territori en la governança de l'ENP</t>
        </is>
      </c>
    </row>
    <row r="170">
      <c r="A170" t="inlineStr">
        <is>
          <t>16.1.1</t>
        </is>
      </c>
      <c r="B170" t="inlineStr">
        <is>
          <t>Millorar el sistema de control de l'execució del pressupost, d'acord amb les indicacions de Serveis Centrals</t>
        </is>
      </c>
      <c r="C170" t="inlineStr">
        <is>
          <t>Millorar el sistema de control de l'execució del pressupost, d'acord amb les indicacions de Serveis Centrals</t>
        </is>
      </c>
      <c r="D170" t="inlineStr">
        <is>
          <t>7. Gestió i administració</t>
        </is>
      </c>
      <c r="E170" t="inlineStr">
        <is>
          <t>GE</t>
        </is>
      </c>
      <c r="F170" t="inlineStr">
        <is>
          <t>MILLORAR L'EFICIÈNCIA de la gestió administrativa</t>
        </is>
      </c>
      <c r="G170" t="inlineStr">
        <is>
          <t>Optimitzar l'aplicació pressupostaria</t>
        </is>
      </c>
    </row>
    <row r="171">
      <c r="A171" t="inlineStr">
        <is>
          <t>16.2.1</t>
        </is>
      </c>
      <c r="B171" t="inlineStr">
        <is>
          <t>Planificar i detectar les necessitats de contractació del l'ENP per a l'optimització dels contractes a nivell de Xarxa</t>
        </is>
      </c>
      <c r="C171" t="inlineStr">
        <is>
          <t>Planificar i detectar les necessitats de contractació del l'ENP per a l'optimització dels contractes a nivell de Xarxa</t>
        </is>
      </c>
      <c r="D171" t="inlineStr">
        <is>
          <t>7. Gestió i administració</t>
        </is>
      </c>
      <c r="E171" t="inlineStr">
        <is>
          <t>GE</t>
        </is>
      </c>
      <c r="F171" t="inlineStr">
        <is>
          <t>MILLORAR L'EFICIÈNCIA de la gestió administrativa</t>
        </is>
      </c>
      <c r="G171" t="inlineStr">
        <is>
          <t>Planificar i optimitzar els processos de contractació, concessió d'ajuts, i les col·laboracions amb ens públics i privats</t>
        </is>
      </c>
    </row>
    <row r="172">
      <c r="A172" t="inlineStr">
        <is>
          <t>16.2.2</t>
        </is>
      </c>
      <c r="B172" t="inlineStr">
        <is>
          <t>Planificar i detectar les tasques de convocatòries d'ajuts de l'ENP</t>
        </is>
      </c>
      <c r="C172" t="inlineStr">
        <is>
          <t>Planificar i detectar les tasques de convocatòries d'ajuts de l'ENP</t>
        </is>
      </c>
      <c r="D172" t="inlineStr">
        <is>
          <t>7. Gestió i administració</t>
        </is>
      </c>
      <c r="E172" t="inlineStr">
        <is>
          <t>GE</t>
        </is>
      </c>
      <c r="F172" t="inlineStr">
        <is>
          <t>MILLORAR L'EFICIÈNCIA de la gestió administrativa</t>
        </is>
      </c>
      <c r="G172" t="inlineStr">
        <is>
          <t>Planificar i optimitzar els processos de contractació, concessió d'ajuts, i les col·laboracions amb ens públics i privats</t>
        </is>
      </c>
    </row>
    <row r="173">
      <c r="A173" t="inlineStr">
        <is>
          <t>16.2.3</t>
        </is>
      </c>
      <c r="B173" t="inlineStr">
        <is>
          <t>Establir i renovar en temps i forma convenis de col·laboració, convenis marc, acords, protocols i altres instruments de col·laboració.</t>
        </is>
      </c>
      <c r="C173" t="inlineStr">
        <is>
          <t>Establir i renovar en temps i forma convenis de col·laboració, convenis marc, acords, protocols i altres instruments de col·laboració.</t>
        </is>
      </c>
      <c r="D173" t="inlineStr">
        <is>
          <t>7. Gestió i administració</t>
        </is>
      </c>
      <c r="E173" t="inlineStr">
        <is>
          <t>GE</t>
        </is>
      </c>
      <c r="F173" t="inlineStr">
        <is>
          <t>MILLORAR L'EFICIÈNCIA de la gestió administrativa</t>
        </is>
      </c>
      <c r="G173" t="inlineStr">
        <is>
          <t>Planificar i optimitzar els processos de contractació, concessió d'ajuts, i les col·laboracions amb ens públics i privats</t>
        </is>
      </c>
    </row>
    <row r="174">
      <c r="A174" t="inlineStr">
        <is>
          <t>16.3.1</t>
        </is>
      </c>
      <c r="B174" t="inlineStr">
        <is>
          <t>Optimitzar l'elaboració d'informes</t>
        </is>
      </c>
      <c r="C174" t="inlineStr">
        <is>
          <t>Optimitzar l'elaboració d'informes</t>
        </is>
      </c>
      <c r="D174" t="inlineStr">
        <is>
          <t>7. Gestió i administració</t>
        </is>
      </c>
      <c r="E174" t="inlineStr">
        <is>
          <t>GE</t>
        </is>
      </c>
      <c r="F174" t="inlineStr">
        <is>
          <t>MILLORAR L'EFICIÈNCIA de la gestió administrativa</t>
        </is>
      </c>
      <c r="G174" t="inlineStr">
        <is>
          <t>Agilitzar, incrementar l'eficiència i incrementar l’assoliment dels procediments administratius</t>
        </is>
      </c>
    </row>
    <row r="175">
      <c r="A175" t="inlineStr">
        <is>
          <t>16.3.2</t>
        </is>
      </c>
      <c r="B175" t="inlineStr">
        <is>
          <t>Adequar i actualitzar els procediments i tramitacions realitzats des de l'ENP als nous processos i eines conjuntes proposades des de Serveis Centrals</t>
        </is>
      </c>
      <c r="C175" t="inlineStr">
        <is>
          <t>Adequar i actualitzar els procediments i tramitacions realitzats des de l'ENP als nous processos i eines conjuntes proposades des de Serveis Centrals</t>
        </is>
      </c>
      <c r="D175" t="inlineStr">
        <is>
          <t>7. Gestió i administració</t>
        </is>
      </c>
      <c r="E175" t="inlineStr">
        <is>
          <t>GE</t>
        </is>
      </c>
      <c r="F175" t="inlineStr">
        <is>
          <t>MILLORAR L'EFICIÈNCIA de la gestió administrativa</t>
        </is>
      </c>
      <c r="G175" t="inlineStr">
        <is>
          <t>Agilitzar, incrementar l'eficiència i incrementar l’assoliment dels procediments administratius</t>
        </is>
      </c>
    </row>
    <row r="176">
      <c r="A176" t="inlineStr">
        <is>
          <t>16.3.3</t>
        </is>
      </c>
      <c r="B176" t="inlineStr">
        <is>
          <t>Augmentar el coneixement de l'equip de treball en matèria de procediment administratiu</t>
        </is>
      </c>
      <c r="C176" t="inlineStr">
        <is>
          <t>Augmentar el coneixement de l'equip de treball en matèria de procediment administratiu</t>
        </is>
      </c>
      <c r="D176" t="inlineStr">
        <is>
          <t>7. Gestió i administració</t>
        </is>
      </c>
      <c r="E176" t="inlineStr">
        <is>
          <t>GE</t>
        </is>
      </c>
      <c r="F176" t="inlineStr">
        <is>
          <t>MILLORAR L'EFICIÈNCIA de la gestió administrativa</t>
        </is>
      </c>
      <c r="G176" t="inlineStr">
        <is>
          <t>Agilitzar, incrementar l'eficiència i incrementar l’assoliment dels procediments administratius</t>
        </is>
      </c>
    </row>
    <row r="177">
      <c r="A177" t="inlineStr">
        <is>
          <t>16.3.4</t>
        </is>
      </c>
      <c r="B177" t="inlineStr">
        <is>
          <t>Garantir la transparència administrativa</t>
        </is>
      </c>
      <c r="C177" t="inlineStr">
        <is>
          <t>Garantir la transparència administrativa</t>
        </is>
      </c>
      <c r="D177" t="inlineStr">
        <is>
          <t>7. Gestió i administració</t>
        </is>
      </c>
      <c r="E177" t="inlineStr">
        <is>
          <t>GE</t>
        </is>
      </c>
      <c r="F177" t="inlineStr">
        <is>
          <t>MILLORAR L'EFICIÈNCIA de la gestió administrativa</t>
        </is>
      </c>
      <c r="G177" t="inlineStr">
        <is>
          <t>Agilitzar, incrementar l'eficiència i incrementar l’assoliment dels procediments administratius</t>
        </is>
      </c>
    </row>
    <row r="178">
      <c r="A178" t="inlineStr">
        <is>
          <t>16.3.5</t>
        </is>
      </c>
      <c r="B178" t="inlineStr">
        <is>
          <t>Millorar i mantenir el material i infraestructures de gestió</t>
        </is>
      </c>
      <c r="C178" t="inlineStr">
        <is>
          <t>Millorar i mantenir el material i infraestructures de gestió</t>
        </is>
      </c>
      <c r="D178" t="inlineStr">
        <is>
          <t>7. Gestió i administració</t>
        </is>
      </c>
      <c r="E178" t="inlineStr">
        <is>
          <t>GE</t>
        </is>
      </c>
      <c r="F178" t="inlineStr">
        <is>
          <t>MILLORAR L'EFICIÈNCIA de la gestió administrativa</t>
        </is>
      </c>
      <c r="G178" t="inlineStr">
        <is>
          <t>Agilitzar, incrementar l'eficiència i incrementar l’assoliment dels procediments administratius</t>
        </is>
      </c>
    </row>
    <row r="179">
      <c r="A179" t="inlineStr">
        <is>
          <t>16.4.1</t>
        </is>
      </c>
      <c r="B179" t="inlineStr">
        <is>
          <t>Revisar l’estat dels béns patrimonials i la situació administrativa-legal dels equipaments del parc</t>
        </is>
      </c>
      <c r="C179" t="inlineStr">
        <is>
          <t>Revisar l’estat dels béns patrimonials i la situació administrativa-legal dels equipaments del parc</t>
        </is>
      </c>
      <c r="D179" t="inlineStr">
        <is>
          <t>7. Gestió i administració</t>
        </is>
      </c>
      <c r="E179" t="inlineStr">
        <is>
          <t>GE</t>
        </is>
      </c>
      <c r="F179" t="inlineStr">
        <is>
          <t>MILLORAR L'EFICIÈNCIA de la gestió administrativa</t>
        </is>
      </c>
      <c r="G179" t="inlineStr">
        <is>
          <t>Ordenar l'estat dels béns patrimonials</t>
        </is>
      </c>
    </row>
    <row r="180">
      <c r="A180" t="inlineStr">
        <is>
          <t>16.4.2</t>
        </is>
      </c>
      <c r="B180" t="inlineStr">
        <is>
          <t>Tenir cobertes les pèrdues o danys materials del patrimoni de la Direcció General que hi ha a l'àmbit territorial del Parc, com a conseqüència de la materialització de qualsevol dels riscs emparats en el plec de prescripcions tècniques de la pòlissa.</t>
        </is>
      </c>
      <c r="C180" t="inlineStr">
        <is>
          <t>Tenir cobertes les pèrdues o danys materials del patrimoni de la Direcció General que hi ha a l'àmbit territorial del Parc, com a conseqüència de la materialització de qualsevol dels riscs emparats en el plec de prescripcions tècniques de la pòlissa.</t>
        </is>
      </c>
      <c r="D180" t="inlineStr">
        <is>
          <t>7. Gestió i administració</t>
        </is>
      </c>
      <c r="E180" t="inlineStr">
        <is>
          <t>GE</t>
        </is>
      </c>
      <c r="F180" t="inlineStr">
        <is>
          <t>MILLORAR L'EFICIÈNCIA de la gestió administrativa</t>
        </is>
      </c>
      <c r="G180" t="inlineStr">
        <is>
          <t>Ordenar l'estat dels béns patrimonials</t>
        </is>
      </c>
    </row>
    <row r="181">
      <c r="A181" t="inlineStr">
        <is>
          <t>16.5.1</t>
        </is>
      </c>
      <c r="B181" t="inlineStr">
        <is>
          <t>Millorar l'accessibilitat i la gestió documental del centre o punt de documentació de l'ENP</t>
        </is>
      </c>
      <c r="C181" t="inlineStr">
        <is>
          <t>Millorar l'accessibilitat i la gestió documental del centre o punt de documentació de l'ENP</t>
        </is>
      </c>
      <c r="D181" t="inlineStr">
        <is>
          <t>7. Gestió i administració</t>
        </is>
      </c>
      <c r="E181" t="inlineStr">
        <is>
          <t>GE</t>
        </is>
      </c>
      <c r="F181" t="inlineStr">
        <is>
          <t>MILLORAR L'EFICIÈNCIA de la gestió administrativa</t>
        </is>
      </c>
      <c r="G181" t="inlineStr">
        <is>
          <t>Estructurar la gestió documental</t>
        </is>
      </c>
    </row>
    <row r="182">
      <c r="A182" t="inlineStr">
        <is>
          <t>16.6.1</t>
        </is>
      </c>
      <c r="B182" t="inlineStr">
        <is>
          <t>Gestió de la brigada de manteniment</t>
        </is>
      </c>
      <c r="C182" t="inlineStr">
        <is>
          <t>Gestió de la brigada de manteniment</t>
        </is>
      </c>
      <c r="D182" t="inlineStr">
        <is>
          <t>7. Gestió i administració</t>
        </is>
      </c>
      <c r="E182" t="inlineStr">
        <is>
          <t>GE</t>
        </is>
      </c>
      <c r="F182" t="inlineStr">
        <is>
          <t>MILLORAR L'EFICIÈNCIA de la gestió administrativa</t>
        </is>
      </c>
      <c r="G182" t="inlineStr">
        <is>
          <t>Gestionar recursos humans</t>
        </is>
      </c>
    </row>
    <row r="183">
      <c r="A183" t="inlineStr">
        <is>
          <t>16.6.2</t>
        </is>
      </c>
      <c r="B183" t="inlineStr">
        <is>
          <t>Gestió de personal</t>
        </is>
      </c>
      <c r="C183" t="inlineStr">
        <is>
          <t>Dotació de personal estructural del parc</t>
        </is>
      </c>
      <c r="D183" t="inlineStr">
        <is>
          <t>7. Gestió i administració</t>
        </is>
      </c>
      <c r="E183" t="inlineStr">
        <is>
          <t>GE</t>
        </is>
      </c>
      <c r="F183" t="inlineStr">
        <is>
          <t>MILLORAR L'EFICIÈNCIA de la gestió administrativa</t>
        </is>
      </c>
      <c r="G183" t="inlineStr">
        <is>
          <t>Gestionar recursos humans</t>
        </is>
      </c>
    </row>
  </sheetData>
  <pageMargins left="0.75" right="0.75" top="1" bottom="1" header="0.5" footer="0.5"/>
</worksheet>
</file>

<file path=xl/worksheets/sheet7.xml><?xml version="1.0" encoding="utf-8"?>
<worksheet xmlns="http://schemas.openxmlformats.org/spreadsheetml/2006/main">
  <sheetPr>
    <tabColor rgb="009E9E9E"/>
    <outlinePr summaryBelow="1" summaryRight="1"/>
    <pageSetUpPr/>
  </sheetPr>
  <dimension ref="A1:A13"/>
  <sheetViews>
    <sheetView workbookViewId="0">
      <selection activeCell="A1" sqref="A1"/>
    </sheetView>
  </sheetViews>
  <sheetFormatPr baseColWidth="8" defaultRowHeight="15"/>
  <cols>
    <col width="40" customWidth="1" min="1" max="1"/>
  </cols>
  <sheetData>
    <row r="1" ht="48" customHeight="1">
      <c r="A1" s="9" t="inlineStr">
        <is>
          <t>Gestors de l'espai</t>
        </is>
      </c>
    </row>
    <row r="2">
      <c r="A2" t="inlineStr">
        <is>
          <t>Daniel Maresma Fernandez</t>
        </is>
      </c>
    </row>
    <row r="3">
      <c r="A3" t="inlineStr">
        <is>
          <t>Josep Pique Palacin</t>
        </is>
      </c>
    </row>
    <row r="4">
      <c r="A4" t="inlineStr">
        <is>
          <t>Marc Garriga Lujan</t>
        </is>
      </c>
    </row>
    <row r="5">
      <c r="A5" t="inlineStr">
        <is>
          <t>Maria de las Merce Frade Palau</t>
        </is>
      </c>
    </row>
    <row r="6">
      <c r="A6" t="inlineStr">
        <is>
          <t>Mariona Martinez Salvador</t>
        </is>
      </c>
    </row>
    <row r="7">
      <c r="A7" t="inlineStr">
        <is>
          <t>Moises Villanueva Coello</t>
        </is>
      </c>
    </row>
    <row r="8">
      <c r="A8" t="inlineStr">
        <is>
          <t>Neus Artigas Piñero</t>
        </is>
      </c>
    </row>
    <row r="9">
      <c r="A9" t="inlineStr">
        <is>
          <t>Nil Bacardit Tudela</t>
        </is>
      </c>
    </row>
    <row r="10">
      <c r="A10" t="inlineStr">
        <is>
          <t>Nuria Canals Sangra</t>
        </is>
      </c>
    </row>
    <row r="11">
      <c r="A11" t="inlineStr">
        <is>
          <t>Oriol Grau Fernandez</t>
        </is>
      </c>
    </row>
    <row r="12">
      <c r="A12" t="inlineStr">
        <is>
          <t>Oriol Martinez Cañas</t>
        </is>
      </c>
    </row>
    <row r="13">
      <c r="A13" t="inlineStr">
        <is>
          <t>Pol Alcalde Floriach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2026-10-24T07:16:27Z</dcterms:created>
  <dcterms:modified xmlns:dcterms="http://purl.org/dc/terms/" xmlns:xsi="http://www.w3.org/2001/XMLSchema-instance" xsi:type="dcterms:W3CDTF">2026-10-24T07:16:28Z</dcterms:modified>
</cp:coreProperties>
</file>